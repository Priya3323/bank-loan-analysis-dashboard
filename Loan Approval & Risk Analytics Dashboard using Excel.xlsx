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41176bc0d564f88e/Documents/"/>
    </mc:Choice>
  </mc:AlternateContent>
  <xr:revisionPtr revIDLastSave="99" documentId="8_{117B9429-AA78-4ACA-9C7F-44A27EB28676}" xr6:coauthVersionLast="47" xr6:coauthVersionMax="47" xr10:uidLastSave="{967E1A7C-62B6-41A2-A42B-260FBFD61ACD}"/>
  <bookViews>
    <workbookView xWindow="-110" yWindow="-110" windowWidth="19420" windowHeight="11500" activeTab="3" xr2:uid="{EF290B3A-05AF-4990-9B18-D6D19E3B23BC}"/>
  </bookViews>
  <sheets>
    <sheet name="Raw_Data" sheetId="2" r:id="rId1"/>
    <sheet name="Clean_Data" sheetId="5" r:id="rId2"/>
    <sheet name="Pivot_Data" sheetId="6" r:id="rId3"/>
    <sheet name="Dashboard" sheetId="3" r:id="rId4"/>
  </sheets>
  <definedNames>
    <definedName name="Slicer_Clean_Gender">#N/A</definedName>
    <definedName name="Slicer_Education">#N/A</definedName>
    <definedName name="Slicer_Property_Area">#N/A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5" l="1"/>
  <c r="O29" i="5"/>
  <c r="O45" i="5"/>
  <c r="O60" i="5"/>
  <c r="O61" i="5"/>
  <c r="O62" i="5"/>
  <c r="O93" i="5"/>
  <c r="O94" i="5"/>
  <c r="O101" i="5"/>
  <c r="O113" i="5"/>
  <c r="O117" i="5"/>
  <c r="O119" i="5"/>
  <c r="O125" i="5"/>
  <c r="O129" i="5"/>
  <c r="O130" i="5"/>
  <c r="O149" i="5"/>
  <c r="O161" i="5"/>
  <c r="O165" i="5"/>
  <c r="O166" i="5"/>
  <c r="O167" i="5"/>
  <c r="O177" i="5"/>
  <c r="O197" i="5"/>
  <c r="O209" i="5"/>
  <c r="O213" i="5"/>
  <c r="O215" i="5"/>
  <c r="O237" i="5"/>
  <c r="O238" i="5"/>
  <c r="O239" i="5"/>
  <c r="O240" i="5"/>
  <c r="O241" i="5"/>
  <c r="O245" i="5"/>
  <c r="O257" i="5"/>
  <c r="O285" i="5"/>
  <c r="O286" i="5"/>
  <c r="O287" i="5"/>
  <c r="O293" i="5"/>
  <c r="O305" i="5"/>
  <c r="O317" i="5"/>
  <c r="O333" i="5"/>
  <c r="O334" i="5"/>
  <c r="O335" i="5"/>
  <c r="O353" i="5"/>
  <c r="O369" i="5"/>
  <c r="O381" i="5"/>
  <c r="O401" i="5"/>
  <c r="O413" i="5"/>
  <c r="O417" i="5"/>
  <c r="O429" i="5"/>
  <c r="O437" i="5"/>
  <c r="O449" i="5"/>
  <c r="O453" i="5"/>
  <c r="O454" i="5"/>
  <c r="O455" i="5"/>
  <c r="O458" i="5"/>
  <c r="O485" i="5"/>
  <c r="O486" i="5"/>
  <c r="O497" i="5"/>
  <c r="O501" i="5"/>
  <c r="O503" i="5"/>
  <c r="O506" i="5"/>
  <c r="O533" i="5"/>
  <c r="O561" i="5"/>
  <c r="O562" i="5"/>
  <c r="O573" i="5"/>
  <c r="O574" i="5"/>
  <c r="O575" i="5"/>
  <c r="O605" i="5"/>
  <c r="O609" i="5"/>
  <c r="O621" i="5"/>
  <c r="O622" i="5"/>
  <c r="O623" i="5"/>
  <c r="O629" i="5"/>
  <c r="O630" i="5"/>
  <c r="O641" i="5"/>
  <c r="O645" i="5"/>
  <c r="O646" i="5"/>
  <c r="O647" i="5"/>
  <c r="O677" i="5"/>
  <c r="O689" i="5"/>
  <c r="O693" i="5"/>
  <c r="O695" i="5"/>
  <c r="O725" i="5"/>
  <c r="O734" i="5"/>
  <c r="O765" i="5"/>
  <c r="O766" i="5"/>
  <c r="O767" i="5"/>
  <c r="O773" i="5"/>
  <c r="O797" i="5"/>
  <c r="O801" i="5"/>
  <c r="O802" i="5"/>
  <c r="O803" i="5"/>
  <c r="O813" i="5"/>
  <c r="O821" i="5"/>
  <c r="O849" i="5"/>
  <c r="O850" i="5"/>
  <c r="O851" i="5"/>
  <c r="O852" i="5"/>
  <c r="O853" i="5"/>
  <c r="O861" i="5"/>
  <c r="O881" i="5"/>
  <c r="O885" i="5"/>
  <c r="O893" i="5"/>
  <c r="O897" i="5"/>
  <c r="O898" i="5"/>
  <c r="O929" i="5"/>
  <c r="O933" i="5"/>
  <c r="O945" i="5"/>
  <c r="O946" i="5"/>
  <c r="O947" i="5"/>
  <c r="O948" i="5"/>
  <c r="O977" i="5"/>
  <c r="O981" i="5"/>
  <c r="O989" i="5"/>
  <c r="O1013" i="5"/>
  <c r="O1024" i="5"/>
  <c r="O1025" i="5"/>
  <c r="O1030" i="5"/>
  <c r="O1031" i="5"/>
  <c r="O1048" i="5"/>
  <c r="O1049" i="5"/>
  <c r="O1066" i="5"/>
  <c r="O1067" i="5"/>
  <c r="O1068" i="5"/>
  <c r="O1069" i="5"/>
  <c r="O1084" i="5"/>
  <c r="O1085" i="5"/>
  <c r="O1096" i="5"/>
  <c r="O1097" i="5"/>
  <c r="O1102" i="5"/>
  <c r="O1103" i="5"/>
  <c r="O1120" i="5"/>
  <c r="O1121" i="5"/>
  <c r="O1138" i="5"/>
  <c r="O1139" i="5"/>
  <c r="O1140" i="5"/>
  <c r="O1141" i="5"/>
  <c r="O1156" i="5"/>
  <c r="O1157" i="5"/>
  <c r="O1168" i="5"/>
  <c r="O1169" i="5"/>
  <c r="O1192" i="5"/>
  <c r="O1193" i="5"/>
  <c r="M2" i="5"/>
  <c r="O2" i="5" s="1"/>
  <c r="M3" i="5"/>
  <c r="O3" i="5" s="1"/>
  <c r="M4" i="5"/>
  <c r="O4" i="5" s="1"/>
  <c r="M5" i="5"/>
  <c r="O5" i="5" s="1"/>
  <c r="M6" i="5"/>
  <c r="O6" i="5" s="1"/>
  <c r="M7" i="5"/>
  <c r="O7" i="5" s="1"/>
  <c r="M8" i="5"/>
  <c r="O8" i="5" s="1"/>
  <c r="M9" i="5"/>
  <c r="O9" i="5" s="1"/>
  <c r="M10" i="5"/>
  <c r="O10" i="5" s="1"/>
  <c r="M11" i="5"/>
  <c r="O11" i="5" s="1"/>
  <c r="M12" i="5"/>
  <c r="O12" i="5" s="1"/>
  <c r="M13" i="5"/>
  <c r="O13" i="5" s="1"/>
  <c r="M14" i="5"/>
  <c r="O14" i="5" s="1"/>
  <c r="M15" i="5"/>
  <c r="O15" i="5" s="1"/>
  <c r="M16" i="5"/>
  <c r="O16" i="5" s="1"/>
  <c r="M17" i="5"/>
  <c r="M18" i="5"/>
  <c r="O18" i="5" s="1"/>
  <c r="M19" i="5"/>
  <c r="O19" i="5" s="1"/>
  <c r="M20" i="5"/>
  <c r="O20" i="5" s="1"/>
  <c r="M21" i="5"/>
  <c r="O21" i="5" s="1"/>
  <c r="M22" i="5"/>
  <c r="O22" i="5" s="1"/>
  <c r="M23" i="5"/>
  <c r="O23" i="5" s="1"/>
  <c r="M24" i="5"/>
  <c r="O24" i="5" s="1"/>
  <c r="M25" i="5"/>
  <c r="O25" i="5" s="1"/>
  <c r="M26" i="5"/>
  <c r="O26" i="5" s="1"/>
  <c r="M27" i="5"/>
  <c r="O27" i="5" s="1"/>
  <c r="M28" i="5"/>
  <c r="O28" i="5" s="1"/>
  <c r="M29" i="5"/>
  <c r="M30" i="5"/>
  <c r="O30" i="5" s="1"/>
  <c r="M31" i="5"/>
  <c r="O31" i="5" s="1"/>
  <c r="M32" i="5"/>
  <c r="O32" i="5" s="1"/>
  <c r="M33" i="5"/>
  <c r="O33" i="5" s="1"/>
  <c r="M34" i="5"/>
  <c r="O34" i="5" s="1"/>
  <c r="M35" i="5"/>
  <c r="O35" i="5" s="1"/>
  <c r="M36" i="5"/>
  <c r="O36" i="5" s="1"/>
  <c r="M37" i="5"/>
  <c r="O37" i="5" s="1"/>
  <c r="M38" i="5"/>
  <c r="O38" i="5" s="1"/>
  <c r="M39" i="5"/>
  <c r="O39" i="5" s="1"/>
  <c r="M40" i="5"/>
  <c r="O40" i="5" s="1"/>
  <c r="M41" i="5"/>
  <c r="O41" i="5" s="1"/>
  <c r="M42" i="5"/>
  <c r="O42" i="5" s="1"/>
  <c r="M43" i="5"/>
  <c r="O43" i="5" s="1"/>
  <c r="M44" i="5"/>
  <c r="O44" i="5" s="1"/>
  <c r="M45" i="5"/>
  <c r="M46" i="5"/>
  <c r="O46" i="5" s="1"/>
  <c r="M47" i="5"/>
  <c r="O47" i="5" s="1"/>
  <c r="M48" i="5"/>
  <c r="O48" i="5" s="1"/>
  <c r="M49" i="5"/>
  <c r="O49" i="5" s="1"/>
  <c r="M50" i="5"/>
  <c r="O50" i="5" s="1"/>
  <c r="M51" i="5"/>
  <c r="O51" i="5" s="1"/>
  <c r="M52" i="5"/>
  <c r="O52" i="5" s="1"/>
  <c r="M53" i="5"/>
  <c r="O53" i="5" s="1"/>
  <c r="M54" i="5"/>
  <c r="O54" i="5" s="1"/>
  <c r="M55" i="5"/>
  <c r="O55" i="5" s="1"/>
  <c r="M56" i="5"/>
  <c r="O56" i="5" s="1"/>
  <c r="M57" i="5"/>
  <c r="O57" i="5" s="1"/>
  <c r="M58" i="5"/>
  <c r="O58" i="5" s="1"/>
  <c r="M59" i="5"/>
  <c r="O59" i="5" s="1"/>
  <c r="M60" i="5"/>
  <c r="M61" i="5"/>
  <c r="M62" i="5"/>
  <c r="M63" i="5"/>
  <c r="O63" i="5" s="1"/>
  <c r="M64" i="5"/>
  <c r="O64" i="5" s="1"/>
  <c r="M65" i="5"/>
  <c r="O65" i="5" s="1"/>
  <c r="M66" i="5"/>
  <c r="O66" i="5" s="1"/>
  <c r="M67" i="5"/>
  <c r="O67" i="5" s="1"/>
  <c r="M68" i="5"/>
  <c r="O68" i="5" s="1"/>
  <c r="M69" i="5"/>
  <c r="O69" i="5" s="1"/>
  <c r="M70" i="5"/>
  <c r="O70" i="5" s="1"/>
  <c r="M71" i="5"/>
  <c r="O71" i="5" s="1"/>
  <c r="M72" i="5"/>
  <c r="O72" i="5" s="1"/>
  <c r="M73" i="5"/>
  <c r="O73" i="5" s="1"/>
  <c r="M74" i="5"/>
  <c r="O74" i="5" s="1"/>
  <c r="M75" i="5"/>
  <c r="O75" i="5" s="1"/>
  <c r="M76" i="5"/>
  <c r="O76" i="5" s="1"/>
  <c r="M77" i="5"/>
  <c r="O77" i="5" s="1"/>
  <c r="M78" i="5"/>
  <c r="O78" i="5" s="1"/>
  <c r="M79" i="5"/>
  <c r="O79" i="5" s="1"/>
  <c r="M80" i="5"/>
  <c r="O80" i="5" s="1"/>
  <c r="M81" i="5"/>
  <c r="O81" i="5" s="1"/>
  <c r="M82" i="5"/>
  <c r="O82" i="5" s="1"/>
  <c r="M83" i="5"/>
  <c r="O83" i="5" s="1"/>
  <c r="M84" i="5"/>
  <c r="O84" i="5" s="1"/>
  <c r="M85" i="5"/>
  <c r="O85" i="5" s="1"/>
  <c r="M86" i="5"/>
  <c r="O86" i="5" s="1"/>
  <c r="M87" i="5"/>
  <c r="O87" i="5" s="1"/>
  <c r="M88" i="5"/>
  <c r="O88" i="5" s="1"/>
  <c r="M89" i="5"/>
  <c r="O89" i="5" s="1"/>
  <c r="M90" i="5"/>
  <c r="O90" i="5" s="1"/>
  <c r="M91" i="5"/>
  <c r="O91" i="5" s="1"/>
  <c r="M92" i="5"/>
  <c r="O92" i="5" s="1"/>
  <c r="M93" i="5"/>
  <c r="M94" i="5"/>
  <c r="M95" i="5"/>
  <c r="O95" i="5" s="1"/>
  <c r="M96" i="5"/>
  <c r="O96" i="5" s="1"/>
  <c r="M97" i="5"/>
  <c r="O97" i="5" s="1"/>
  <c r="M98" i="5"/>
  <c r="O98" i="5" s="1"/>
  <c r="M99" i="5"/>
  <c r="O99" i="5" s="1"/>
  <c r="M100" i="5"/>
  <c r="O100" i="5" s="1"/>
  <c r="M101" i="5"/>
  <c r="M102" i="5"/>
  <c r="O102" i="5" s="1"/>
  <c r="M103" i="5"/>
  <c r="O103" i="5" s="1"/>
  <c r="M104" i="5"/>
  <c r="O104" i="5" s="1"/>
  <c r="M105" i="5"/>
  <c r="O105" i="5" s="1"/>
  <c r="M106" i="5"/>
  <c r="O106" i="5" s="1"/>
  <c r="M107" i="5"/>
  <c r="O107" i="5" s="1"/>
  <c r="M108" i="5"/>
  <c r="O108" i="5" s="1"/>
  <c r="M109" i="5"/>
  <c r="O109" i="5" s="1"/>
  <c r="M110" i="5"/>
  <c r="O110" i="5" s="1"/>
  <c r="M111" i="5"/>
  <c r="O111" i="5" s="1"/>
  <c r="M112" i="5"/>
  <c r="O112" i="5" s="1"/>
  <c r="M113" i="5"/>
  <c r="M114" i="5"/>
  <c r="O114" i="5" s="1"/>
  <c r="M115" i="5"/>
  <c r="O115" i="5" s="1"/>
  <c r="M116" i="5"/>
  <c r="O116" i="5" s="1"/>
  <c r="M117" i="5"/>
  <c r="M118" i="5"/>
  <c r="O118" i="5" s="1"/>
  <c r="M119" i="5"/>
  <c r="M120" i="5"/>
  <c r="O120" i="5" s="1"/>
  <c r="M121" i="5"/>
  <c r="O121" i="5" s="1"/>
  <c r="M122" i="5"/>
  <c r="O122" i="5" s="1"/>
  <c r="M123" i="5"/>
  <c r="O123" i="5" s="1"/>
  <c r="M124" i="5"/>
  <c r="O124" i="5" s="1"/>
  <c r="M125" i="5"/>
  <c r="M126" i="5"/>
  <c r="O126" i="5" s="1"/>
  <c r="M127" i="5"/>
  <c r="O127" i="5" s="1"/>
  <c r="M128" i="5"/>
  <c r="O128" i="5" s="1"/>
  <c r="M129" i="5"/>
  <c r="M130" i="5"/>
  <c r="M131" i="5"/>
  <c r="O131" i="5" s="1"/>
  <c r="M132" i="5"/>
  <c r="O132" i="5" s="1"/>
  <c r="M133" i="5"/>
  <c r="O133" i="5" s="1"/>
  <c r="M134" i="5"/>
  <c r="O134" i="5" s="1"/>
  <c r="M135" i="5"/>
  <c r="O135" i="5" s="1"/>
  <c r="M136" i="5"/>
  <c r="O136" i="5" s="1"/>
  <c r="M137" i="5"/>
  <c r="O137" i="5" s="1"/>
  <c r="M138" i="5"/>
  <c r="O138" i="5" s="1"/>
  <c r="M139" i="5"/>
  <c r="O139" i="5" s="1"/>
  <c r="M140" i="5"/>
  <c r="O140" i="5" s="1"/>
  <c r="M141" i="5"/>
  <c r="O141" i="5" s="1"/>
  <c r="M142" i="5"/>
  <c r="O142" i="5" s="1"/>
  <c r="M143" i="5"/>
  <c r="O143" i="5" s="1"/>
  <c r="M144" i="5"/>
  <c r="O144" i="5" s="1"/>
  <c r="M145" i="5"/>
  <c r="O145" i="5" s="1"/>
  <c r="M146" i="5"/>
  <c r="O146" i="5" s="1"/>
  <c r="M147" i="5"/>
  <c r="O147" i="5" s="1"/>
  <c r="M148" i="5"/>
  <c r="O148" i="5" s="1"/>
  <c r="M149" i="5"/>
  <c r="M150" i="5"/>
  <c r="O150" i="5" s="1"/>
  <c r="M151" i="5"/>
  <c r="O151" i="5" s="1"/>
  <c r="M152" i="5"/>
  <c r="O152" i="5" s="1"/>
  <c r="M153" i="5"/>
  <c r="O153" i="5" s="1"/>
  <c r="M154" i="5"/>
  <c r="O154" i="5" s="1"/>
  <c r="M155" i="5"/>
  <c r="O155" i="5" s="1"/>
  <c r="M156" i="5"/>
  <c r="O156" i="5" s="1"/>
  <c r="M157" i="5"/>
  <c r="O157" i="5" s="1"/>
  <c r="M158" i="5"/>
  <c r="O158" i="5" s="1"/>
  <c r="M159" i="5"/>
  <c r="O159" i="5" s="1"/>
  <c r="M160" i="5"/>
  <c r="O160" i="5" s="1"/>
  <c r="M161" i="5"/>
  <c r="M162" i="5"/>
  <c r="O162" i="5" s="1"/>
  <c r="M163" i="5"/>
  <c r="O163" i="5" s="1"/>
  <c r="M164" i="5"/>
  <c r="O164" i="5" s="1"/>
  <c r="M165" i="5"/>
  <c r="M166" i="5"/>
  <c r="M167" i="5"/>
  <c r="M168" i="5"/>
  <c r="O168" i="5" s="1"/>
  <c r="M169" i="5"/>
  <c r="O169" i="5" s="1"/>
  <c r="M170" i="5"/>
  <c r="O170" i="5" s="1"/>
  <c r="M171" i="5"/>
  <c r="O171" i="5" s="1"/>
  <c r="M172" i="5"/>
  <c r="O172" i="5" s="1"/>
  <c r="M173" i="5"/>
  <c r="O173" i="5" s="1"/>
  <c r="M174" i="5"/>
  <c r="O174" i="5" s="1"/>
  <c r="M175" i="5"/>
  <c r="O175" i="5" s="1"/>
  <c r="M176" i="5"/>
  <c r="O176" i="5" s="1"/>
  <c r="M177" i="5"/>
  <c r="M178" i="5"/>
  <c r="O178" i="5" s="1"/>
  <c r="M179" i="5"/>
  <c r="O179" i="5" s="1"/>
  <c r="M180" i="5"/>
  <c r="O180" i="5" s="1"/>
  <c r="M181" i="5"/>
  <c r="O181" i="5" s="1"/>
  <c r="M182" i="5"/>
  <c r="O182" i="5" s="1"/>
  <c r="M183" i="5"/>
  <c r="O183" i="5" s="1"/>
  <c r="M184" i="5"/>
  <c r="O184" i="5" s="1"/>
  <c r="M185" i="5"/>
  <c r="O185" i="5" s="1"/>
  <c r="M186" i="5"/>
  <c r="O186" i="5" s="1"/>
  <c r="M187" i="5"/>
  <c r="O187" i="5" s="1"/>
  <c r="M188" i="5"/>
  <c r="O188" i="5" s="1"/>
  <c r="M189" i="5"/>
  <c r="O189" i="5" s="1"/>
  <c r="M190" i="5"/>
  <c r="O190" i="5" s="1"/>
  <c r="M191" i="5"/>
  <c r="O191" i="5" s="1"/>
  <c r="M192" i="5"/>
  <c r="O192" i="5" s="1"/>
  <c r="M193" i="5"/>
  <c r="O193" i="5" s="1"/>
  <c r="M194" i="5"/>
  <c r="O194" i="5" s="1"/>
  <c r="M195" i="5"/>
  <c r="O195" i="5" s="1"/>
  <c r="M196" i="5"/>
  <c r="O196" i="5" s="1"/>
  <c r="M197" i="5"/>
  <c r="M198" i="5"/>
  <c r="O198" i="5" s="1"/>
  <c r="M199" i="5"/>
  <c r="O199" i="5" s="1"/>
  <c r="M200" i="5"/>
  <c r="O200" i="5" s="1"/>
  <c r="M201" i="5"/>
  <c r="O201" i="5" s="1"/>
  <c r="M202" i="5"/>
  <c r="O202" i="5" s="1"/>
  <c r="M203" i="5"/>
  <c r="O203" i="5" s="1"/>
  <c r="M204" i="5"/>
  <c r="O204" i="5" s="1"/>
  <c r="M205" i="5"/>
  <c r="O205" i="5" s="1"/>
  <c r="M206" i="5"/>
  <c r="O206" i="5" s="1"/>
  <c r="M207" i="5"/>
  <c r="O207" i="5" s="1"/>
  <c r="M208" i="5"/>
  <c r="O208" i="5" s="1"/>
  <c r="M209" i="5"/>
  <c r="M210" i="5"/>
  <c r="O210" i="5" s="1"/>
  <c r="M211" i="5"/>
  <c r="O211" i="5" s="1"/>
  <c r="M212" i="5"/>
  <c r="O212" i="5" s="1"/>
  <c r="M213" i="5"/>
  <c r="M214" i="5"/>
  <c r="O214" i="5" s="1"/>
  <c r="M215" i="5"/>
  <c r="M216" i="5"/>
  <c r="O216" i="5" s="1"/>
  <c r="M217" i="5"/>
  <c r="O217" i="5" s="1"/>
  <c r="M218" i="5"/>
  <c r="O218" i="5" s="1"/>
  <c r="M219" i="5"/>
  <c r="O219" i="5" s="1"/>
  <c r="M220" i="5"/>
  <c r="O220" i="5" s="1"/>
  <c r="M221" i="5"/>
  <c r="O221" i="5" s="1"/>
  <c r="M222" i="5"/>
  <c r="O222" i="5" s="1"/>
  <c r="M223" i="5"/>
  <c r="O223" i="5" s="1"/>
  <c r="M224" i="5"/>
  <c r="O224" i="5" s="1"/>
  <c r="M225" i="5"/>
  <c r="O225" i="5" s="1"/>
  <c r="M226" i="5"/>
  <c r="O226" i="5" s="1"/>
  <c r="M227" i="5"/>
  <c r="O227" i="5" s="1"/>
  <c r="M228" i="5"/>
  <c r="O228" i="5" s="1"/>
  <c r="M229" i="5"/>
  <c r="O229" i="5" s="1"/>
  <c r="M230" i="5"/>
  <c r="O230" i="5" s="1"/>
  <c r="M231" i="5"/>
  <c r="O231" i="5" s="1"/>
  <c r="M232" i="5"/>
  <c r="O232" i="5" s="1"/>
  <c r="M233" i="5"/>
  <c r="O233" i="5" s="1"/>
  <c r="M234" i="5"/>
  <c r="O234" i="5" s="1"/>
  <c r="M235" i="5"/>
  <c r="O235" i="5" s="1"/>
  <c r="M236" i="5"/>
  <c r="O236" i="5" s="1"/>
  <c r="M237" i="5"/>
  <c r="M238" i="5"/>
  <c r="M239" i="5"/>
  <c r="M240" i="5"/>
  <c r="M241" i="5"/>
  <c r="M242" i="5"/>
  <c r="O242" i="5" s="1"/>
  <c r="M243" i="5"/>
  <c r="O243" i="5" s="1"/>
  <c r="M244" i="5"/>
  <c r="O244" i="5" s="1"/>
  <c r="M245" i="5"/>
  <c r="M246" i="5"/>
  <c r="O246" i="5" s="1"/>
  <c r="M247" i="5"/>
  <c r="O247" i="5" s="1"/>
  <c r="M248" i="5"/>
  <c r="O248" i="5" s="1"/>
  <c r="M249" i="5"/>
  <c r="O249" i="5" s="1"/>
  <c r="M250" i="5"/>
  <c r="O250" i="5" s="1"/>
  <c r="M251" i="5"/>
  <c r="O251" i="5" s="1"/>
  <c r="M252" i="5"/>
  <c r="O252" i="5" s="1"/>
  <c r="M253" i="5"/>
  <c r="O253" i="5" s="1"/>
  <c r="M254" i="5"/>
  <c r="O254" i="5" s="1"/>
  <c r="M255" i="5"/>
  <c r="O255" i="5" s="1"/>
  <c r="M256" i="5"/>
  <c r="O256" i="5" s="1"/>
  <c r="M257" i="5"/>
  <c r="M258" i="5"/>
  <c r="O258" i="5" s="1"/>
  <c r="M259" i="5"/>
  <c r="O259" i="5" s="1"/>
  <c r="M260" i="5"/>
  <c r="O260" i="5" s="1"/>
  <c r="M261" i="5"/>
  <c r="O261" i="5" s="1"/>
  <c r="M262" i="5"/>
  <c r="O262" i="5" s="1"/>
  <c r="M263" i="5"/>
  <c r="O263" i="5" s="1"/>
  <c r="M264" i="5"/>
  <c r="O264" i="5" s="1"/>
  <c r="M265" i="5"/>
  <c r="O265" i="5" s="1"/>
  <c r="M266" i="5"/>
  <c r="O266" i="5" s="1"/>
  <c r="M267" i="5"/>
  <c r="O267" i="5" s="1"/>
  <c r="M268" i="5"/>
  <c r="O268" i="5" s="1"/>
  <c r="M269" i="5"/>
  <c r="O269" i="5" s="1"/>
  <c r="M270" i="5"/>
  <c r="O270" i="5" s="1"/>
  <c r="M271" i="5"/>
  <c r="O271" i="5" s="1"/>
  <c r="M272" i="5"/>
  <c r="O272" i="5" s="1"/>
  <c r="M273" i="5"/>
  <c r="O273" i="5" s="1"/>
  <c r="M274" i="5"/>
  <c r="O274" i="5" s="1"/>
  <c r="M275" i="5"/>
  <c r="O275" i="5" s="1"/>
  <c r="M276" i="5"/>
  <c r="O276" i="5" s="1"/>
  <c r="M277" i="5"/>
  <c r="O277" i="5" s="1"/>
  <c r="M278" i="5"/>
  <c r="O278" i="5" s="1"/>
  <c r="M279" i="5"/>
  <c r="O279" i="5" s="1"/>
  <c r="M280" i="5"/>
  <c r="O280" i="5" s="1"/>
  <c r="M281" i="5"/>
  <c r="O281" i="5" s="1"/>
  <c r="M282" i="5"/>
  <c r="O282" i="5" s="1"/>
  <c r="M283" i="5"/>
  <c r="O283" i="5" s="1"/>
  <c r="M284" i="5"/>
  <c r="O284" i="5" s="1"/>
  <c r="M285" i="5"/>
  <c r="M286" i="5"/>
  <c r="M287" i="5"/>
  <c r="M288" i="5"/>
  <c r="O288" i="5" s="1"/>
  <c r="M289" i="5"/>
  <c r="O289" i="5" s="1"/>
  <c r="M290" i="5"/>
  <c r="O290" i="5" s="1"/>
  <c r="M291" i="5"/>
  <c r="O291" i="5" s="1"/>
  <c r="M292" i="5"/>
  <c r="O292" i="5" s="1"/>
  <c r="M293" i="5"/>
  <c r="M294" i="5"/>
  <c r="O294" i="5" s="1"/>
  <c r="M295" i="5"/>
  <c r="O295" i="5" s="1"/>
  <c r="M296" i="5"/>
  <c r="O296" i="5" s="1"/>
  <c r="M297" i="5"/>
  <c r="O297" i="5" s="1"/>
  <c r="M298" i="5"/>
  <c r="O298" i="5" s="1"/>
  <c r="M299" i="5"/>
  <c r="O299" i="5" s="1"/>
  <c r="M300" i="5"/>
  <c r="O300" i="5" s="1"/>
  <c r="M301" i="5"/>
  <c r="O301" i="5" s="1"/>
  <c r="M302" i="5"/>
  <c r="O302" i="5" s="1"/>
  <c r="M303" i="5"/>
  <c r="O303" i="5" s="1"/>
  <c r="M304" i="5"/>
  <c r="O304" i="5" s="1"/>
  <c r="M305" i="5"/>
  <c r="M306" i="5"/>
  <c r="O306" i="5" s="1"/>
  <c r="M307" i="5"/>
  <c r="O307" i="5" s="1"/>
  <c r="M308" i="5"/>
  <c r="O308" i="5" s="1"/>
  <c r="M309" i="5"/>
  <c r="O309" i="5" s="1"/>
  <c r="M310" i="5"/>
  <c r="O310" i="5" s="1"/>
  <c r="M311" i="5"/>
  <c r="O311" i="5" s="1"/>
  <c r="M312" i="5"/>
  <c r="O312" i="5" s="1"/>
  <c r="M313" i="5"/>
  <c r="O313" i="5" s="1"/>
  <c r="M314" i="5"/>
  <c r="O314" i="5" s="1"/>
  <c r="M315" i="5"/>
  <c r="O315" i="5" s="1"/>
  <c r="M316" i="5"/>
  <c r="O316" i="5" s="1"/>
  <c r="M317" i="5"/>
  <c r="M318" i="5"/>
  <c r="O318" i="5" s="1"/>
  <c r="M319" i="5"/>
  <c r="O319" i="5" s="1"/>
  <c r="M320" i="5"/>
  <c r="O320" i="5" s="1"/>
  <c r="M321" i="5"/>
  <c r="O321" i="5" s="1"/>
  <c r="M322" i="5"/>
  <c r="O322" i="5" s="1"/>
  <c r="M323" i="5"/>
  <c r="O323" i="5" s="1"/>
  <c r="M324" i="5"/>
  <c r="O324" i="5" s="1"/>
  <c r="M325" i="5"/>
  <c r="O325" i="5" s="1"/>
  <c r="M326" i="5"/>
  <c r="O326" i="5" s="1"/>
  <c r="M327" i="5"/>
  <c r="O327" i="5" s="1"/>
  <c r="M328" i="5"/>
  <c r="O328" i="5" s="1"/>
  <c r="M329" i="5"/>
  <c r="O329" i="5" s="1"/>
  <c r="M330" i="5"/>
  <c r="O330" i="5" s="1"/>
  <c r="M331" i="5"/>
  <c r="O331" i="5" s="1"/>
  <c r="M332" i="5"/>
  <c r="O332" i="5" s="1"/>
  <c r="M333" i="5"/>
  <c r="M334" i="5"/>
  <c r="M335" i="5"/>
  <c r="M336" i="5"/>
  <c r="O336" i="5" s="1"/>
  <c r="M337" i="5"/>
  <c r="O337" i="5" s="1"/>
  <c r="M338" i="5"/>
  <c r="O338" i="5" s="1"/>
  <c r="M339" i="5"/>
  <c r="O339" i="5" s="1"/>
  <c r="M340" i="5"/>
  <c r="O340" i="5" s="1"/>
  <c r="M341" i="5"/>
  <c r="O341" i="5" s="1"/>
  <c r="M342" i="5"/>
  <c r="O342" i="5" s="1"/>
  <c r="M343" i="5"/>
  <c r="O343" i="5" s="1"/>
  <c r="M344" i="5"/>
  <c r="O344" i="5" s="1"/>
  <c r="M345" i="5"/>
  <c r="O345" i="5" s="1"/>
  <c r="M346" i="5"/>
  <c r="O346" i="5" s="1"/>
  <c r="M347" i="5"/>
  <c r="O347" i="5" s="1"/>
  <c r="M348" i="5"/>
  <c r="O348" i="5" s="1"/>
  <c r="M349" i="5"/>
  <c r="O349" i="5" s="1"/>
  <c r="M350" i="5"/>
  <c r="O350" i="5" s="1"/>
  <c r="M351" i="5"/>
  <c r="O351" i="5" s="1"/>
  <c r="M352" i="5"/>
  <c r="O352" i="5" s="1"/>
  <c r="M353" i="5"/>
  <c r="M354" i="5"/>
  <c r="O354" i="5" s="1"/>
  <c r="M355" i="5"/>
  <c r="O355" i="5" s="1"/>
  <c r="M356" i="5"/>
  <c r="O356" i="5" s="1"/>
  <c r="M357" i="5"/>
  <c r="O357" i="5" s="1"/>
  <c r="M358" i="5"/>
  <c r="O358" i="5" s="1"/>
  <c r="M359" i="5"/>
  <c r="O359" i="5" s="1"/>
  <c r="M360" i="5"/>
  <c r="O360" i="5" s="1"/>
  <c r="M361" i="5"/>
  <c r="O361" i="5" s="1"/>
  <c r="M362" i="5"/>
  <c r="O362" i="5" s="1"/>
  <c r="M363" i="5"/>
  <c r="O363" i="5" s="1"/>
  <c r="M364" i="5"/>
  <c r="O364" i="5" s="1"/>
  <c r="M365" i="5"/>
  <c r="O365" i="5" s="1"/>
  <c r="M366" i="5"/>
  <c r="O366" i="5" s="1"/>
  <c r="M367" i="5"/>
  <c r="O367" i="5" s="1"/>
  <c r="M368" i="5"/>
  <c r="O368" i="5" s="1"/>
  <c r="M369" i="5"/>
  <c r="M370" i="5"/>
  <c r="O370" i="5" s="1"/>
  <c r="M371" i="5"/>
  <c r="O371" i="5" s="1"/>
  <c r="M372" i="5"/>
  <c r="O372" i="5" s="1"/>
  <c r="M373" i="5"/>
  <c r="O373" i="5" s="1"/>
  <c r="M374" i="5"/>
  <c r="O374" i="5" s="1"/>
  <c r="M375" i="5"/>
  <c r="O375" i="5" s="1"/>
  <c r="M376" i="5"/>
  <c r="O376" i="5" s="1"/>
  <c r="M377" i="5"/>
  <c r="O377" i="5" s="1"/>
  <c r="M378" i="5"/>
  <c r="O378" i="5" s="1"/>
  <c r="M379" i="5"/>
  <c r="O379" i="5" s="1"/>
  <c r="M380" i="5"/>
  <c r="O380" i="5" s="1"/>
  <c r="M381" i="5"/>
  <c r="M382" i="5"/>
  <c r="O382" i="5" s="1"/>
  <c r="M383" i="5"/>
  <c r="O383" i="5" s="1"/>
  <c r="M384" i="5"/>
  <c r="O384" i="5" s="1"/>
  <c r="M385" i="5"/>
  <c r="O385" i="5" s="1"/>
  <c r="M386" i="5"/>
  <c r="O386" i="5" s="1"/>
  <c r="M387" i="5"/>
  <c r="O387" i="5" s="1"/>
  <c r="M388" i="5"/>
  <c r="O388" i="5" s="1"/>
  <c r="M389" i="5"/>
  <c r="O389" i="5" s="1"/>
  <c r="M390" i="5"/>
  <c r="O390" i="5" s="1"/>
  <c r="M391" i="5"/>
  <c r="O391" i="5" s="1"/>
  <c r="M392" i="5"/>
  <c r="O392" i="5" s="1"/>
  <c r="M393" i="5"/>
  <c r="O393" i="5" s="1"/>
  <c r="M394" i="5"/>
  <c r="O394" i="5" s="1"/>
  <c r="M395" i="5"/>
  <c r="O395" i="5" s="1"/>
  <c r="M396" i="5"/>
  <c r="O396" i="5" s="1"/>
  <c r="M397" i="5"/>
  <c r="O397" i="5" s="1"/>
  <c r="M398" i="5"/>
  <c r="O398" i="5" s="1"/>
  <c r="M399" i="5"/>
  <c r="O399" i="5" s="1"/>
  <c r="M400" i="5"/>
  <c r="O400" i="5" s="1"/>
  <c r="M401" i="5"/>
  <c r="M402" i="5"/>
  <c r="O402" i="5" s="1"/>
  <c r="M403" i="5"/>
  <c r="O403" i="5" s="1"/>
  <c r="M404" i="5"/>
  <c r="O404" i="5" s="1"/>
  <c r="M405" i="5"/>
  <c r="O405" i="5" s="1"/>
  <c r="M406" i="5"/>
  <c r="O406" i="5" s="1"/>
  <c r="M407" i="5"/>
  <c r="O407" i="5" s="1"/>
  <c r="M408" i="5"/>
  <c r="O408" i="5" s="1"/>
  <c r="M409" i="5"/>
  <c r="O409" i="5" s="1"/>
  <c r="M410" i="5"/>
  <c r="O410" i="5" s="1"/>
  <c r="M411" i="5"/>
  <c r="O411" i="5" s="1"/>
  <c r="M412" i="5"/>
  <c r="O412" i="5" s="1"/>
  <c r="M413" i="5"/>
  <c r="M414" i="5"/>
  <c r="O414" i="5" s="1"/>
  <c r="M415" i="5"/>
  <c r="O415" i="5" s="1"/>
  <c r="M416" i="5"/>
  <c r="O416" i="5" s="1"/>
  <c r="M417" i="5"/>
  <c r="M418" i="5"/>
  <c r="O418" i="5" s="1"/>
  <c r="M419" i="5"/>
  <c r="O419" i="5" s="1"/>
  <c r="M420" i="5"/>
  <c r="O420" i="5" s="1"/>
  <c r="M421" i="5"/>
  <c r="O421" i="5" s="1"/>
  <c r="M422" i="5"/>
  <c r="O422" i="5" s="1"/>
  <c r="M423" i="5"/>
  <c r="O423" i="5" s="1"/>
  <c r="M424" i="5"/>
  <c r="O424" i="5" s="1"/>
  <c r="M425" i="5"/>
  <c r="O425" i="5" s="1"/>
  <c r="M426" i="5"/>
  <c r="O426" i="5" s="1"/>
  <c r="M427" i="5"/>
  <c r="O427" i="5" s="1"/>
  <c r="M428" i="5"/>
  <c r="O428" i="5" s="1"/>
  <c r="M429" i="5"/>
  <c r="M430" i="5"/>
  <c r="O430" i="5" s="1"/>
  <c r="M431" i="5"/>
  <c r="O431" i="5" s="1"/>
  <c r="M432" i="5"/>
  <c r="O432" i="5" s="1"/>
  <c r="M433" i="5"/>
  <c r="O433" i="5" s="1"/>
  <c r="M434" i="5"/>
  <c r="O434" i="5" s="1"/>
  <c r="M435" i="5"/>
  <c r="O435" i="5" s="1"/>
  <c r="M436" i="5"/>
  <c r="O436" i="5" s="1"/>
  <c r="M437" i="5"/>
  <c r="M438" i="5"/>
  <c r="O438" i="5" s="1"/>
  <c r="M439" i="5"/>
  <c r="O439" i="5" s="1"/>
  <c r="M440" i="5"/>
  <c r="O440" i="5" s="1"/>
  <c r="M441" i="5"/>
  <c r="O441" i="5" s="1"/>
  <c r="M442" i="5"/>
  <c r="O442" i="5" s="1"/>
  <c r="M443" i="5"/>
  <c r="O443" i="5" s="1"/>
  <c r="M444" i="5"/>
  <c r="O444" i="5" s="1"/>
  <c r="M445" i="5"/>
  <c r="O445" i="5" s="1"/>
  <c r="M446" i="5"/>
  <c r="O446" i="5" s="1"/>
  <c r="M447" i="5"/>
  <c r="O447" i="5" s="1"/>
  <c r="M448" i="5"/>
  <c r="O448" i="5" s="1"/>
  <c r="M449" i="5"/>
  <c r="M450" i="5"/>
  <c r="O450" i="5" s="1"/>
  <c r="M451" i="5"/>
  <c r="O451" i="5" s="1"/>
  <c r="M452" i="5"/>
  <c r="O452" i="5" s="1"/>
  <c r="M453" i="5"/>
  <c r="M454" i="5"/>
  <c r="M455" i="5"/>
  <c r="M456" i="5"/>
  <c r="O456" i="5" s="1"/>
  <c r="M457" i="5"/>
  <c r="O457" i="5" s="1"/>
  <c r="M458" i="5"/>
  <c r="M459" i="5"/>
  <c r="O459" i="5" s="1"/>
  <c r="M460" i="5"/>
  <c r="O460" i="5" s="1"/>
  <c r="M461" i="5"/>
  <c r="O461" i="5" s="1"/>
  <c r="M462" i="5"/>
  <c r="O462" i="5" s="1"/>
  <c r="M463" i="5"/>
  <c r="O463" i="5" s="1"/>
  <c r="M464" i="5"/>
  <c r="O464" i="5" s="1"/>
  <c r="M465" i="5"/>
  <c r="O465" i="5" s="1"/>
  <c r="M466" i="5"/>
  <c r="O466" i="5" s="1"/>
  <c r="M467" i="5"/>
  <c r="O467" i="5" s="1"/>
  <c r="M468" i="5"/>
  <c r="O468" i="5" s="1"/>
  <c r="M469" i="5"/>
  <c r="O469" i="5" s="1"/>
  <c r="M470" i="5"/>
  <c r="O470" i="5" s="1"/>
  <c r="M471" i="5"/>
  <c r="O471" i="5" s="1"/>
  <c r="M472" i="5"/>
  <c r="O472" i="5" s="1"/>
  <c r="M473" i="5"/>
  <c r="O473" i="5" s="1"/>
  <c r="M474" i="5"/>
  <c r="O474" i="5" s="1"/>
  <c r="M475" i="5"/>
  <c r="O475" i="5" s="1"/>
  <c r="M476" i="5"/>
  <c r="O476" i="5" s="1"/>
  <c r="M477" i="5"/>
  <c r="O477" i="5" s="1"/>
  <c r="M478" i="5"/>
  <c r="O478" i="5" s="1"/>
  <c r="M479" i="5"/>
  <c r="O479" i="5" s="1"/>
  <c r="M480" i="5"/>
  <c r="O480" i="5" s="1"/>
  <c r="M481" i="5"/>
  <c r="O481" i="5" s="1"/>
  <c r="M482" i="5"/>
  <c r="O482" i="5" s="1"/>
  <c r="M483" i="5"/>
  <c r="O483" i="5" s="1"/>
  <c r="M484" i="5"/>
  <c r="O484" i="5" s="1"/>
  <c r="M485" i="5"/>
  <c r="M486" i="5"/>
  <c r="M487" i="5"/>
  <c r="O487" i="5" s="1"/>
  <c r="M488" i="5"/>
  <c r="O488" i="5" s="1"/>
  <c r="M489" i="5"/>
  <c r="O489" i="5" s="1"/>
  <c r="M490" i="5"/>
  <c r="O490" i="5" s="1"/>
  <c r="M491" i="5"/>
  <c r="O491" i="5" s="1"/>
  <c r="M492" i="5"/>
  <c r="O492" i="5" s="1"/>
  <c r="M493" i="5"/>
  <c r="O493" i="5" s="1"/>
  <c r="M494" i="5"/>
  <c r="O494" i="5" s="1"/>
  <c r="M495" i="5"/>
  <c r="O495" i="5" s="1"/>
  <c r="M496" i="5"/>
  <c r="O496" i="5" s="1"/>
  <c r="M497" i="5"/>
  <c r="M498" i="5"/>
  <c r="O498" i="5" s="1"/>
  <c r="M499" i="5"/>
  <c r="O499" i="5" s="1"/>
  <c r="M500" i="5"/>
  <c r="O500" i="5" s="1"/>
  <c r="M501" i="5"/>
  <c r="M502" i="5"/>
  <c r="O502" i="5" s="1"/>
  <c r="M503" i="5"/>
  <c r="M504" i="5"/>
  <c r="O504" i="5" s="1"/>
  <c r="M505" i="5"/>
  <c r="O505" i="5" s="1"/>
  <c r="M506" i="5"/>
  <c r="M507" i="5"/>
  <c r="O507" i="5" s="1"/>
  <c r="M508" i="5"/>
  <c r="O508" i="5" s="1"/>
  <c r="M509" i="5"/>
  <c r="O509" i="5" s="1"/>
  <c r="M510" i="5"/>
  <c r="O510" i="5" s="1"/>
  <c r="M511" i="5"/>
  <c r="O511" i="5" s="1"/>
  <c r="M512" i="5"/>
  <c r="O512" i="5" s="1"/>
  <c r="M513" i="5"/>
  <c r="O513" i="5" s="1"/>
  <c r="M514" i="5"/>
  <c r="O514" i="5" s="1"/>
  <c r="M515" i="5"/>
  <c r="O515" i="5" s="1"/>
  <c r="M516" i="5"/>
  <c r="O516" i="5" s="1"/>
  <c r="M517" i="5"/>
  <c r="O517" i="5" s="1"/>
  <c r="M518" i="5"/>
  <c r="O518" i="5" s="1"/>
  <c r="M519" i="5"/>
  <c r="O519" i="5" s="1"/>
  <c r="M520" i="5"/>
  <c r="O520" i="5" s="1"/>
  <c r="M521" i="5"/>
  <c r="O521" i="5" s="1"/>
  <c r="M522" i="5"/>
  <c r="O522" i="5" s="1"/>
  <c r="M523" i="5"/>
  <c r="O523" i="5" s="1"/>
  <c r="M524" i="5"/>
  <c r="O524" i="5" s="1"/>
  <c r="M525" i="5"/>
  <c r="O525" i="5" s="1"/>
  <c r="M526" i="5"/>
  <c r="O526" i="5" s="1"/>
  <c r="M527" i="5"/>
  <c r="O527" i="5" s="1"/>
  <c r="M528" i="5"/>
  <c r="O528" i="5" s="1"/>
  <c r="M529" i="5"/>
  <c r="O529" i="5" s="1"/>
  <c r="M530" i="5"/>
  <c r="O530" i="5" s="1"/>
  <c r="M531" i="5"/>
  <c r="O531" i="5" s="1"/>
  <c r="M532" i="5"/>
  <c r="O532" i="5" s="1"/>
  <c r="M533" i="5"/>
  <c r="M534" i="5"/>
  <c r="O534" i="5" s="1"/>
  <c r="M535" i="5"/>
  <c r="O535" i="5" s="1"/>
  <c r="M536" i="5"/>
  <c r="O536" i="5" s="1"/>
  <c r="M537" i="5"/>
  <c r="O537" i="5" s="1"/>
  <c r="M538" i="5"/>
  <c r="O538" i="5" s="1"/>
  <c r="M539" i="5"/>
  <c r="O539" i="5" s="1"/>
  <c r="M540" i="5"/>
  <c r="O540" i="5" s="1"/>
  <c r="M541" i="5"/>
  <c r="O541" i="5" s="1"/>
  <c r="M542" i="5"/>
  <c r="O542" i="5" s="1"/>
  <c r="M543" i="5"/>
  <c r="O543" i="5" s="1"/>
  <c r="M544" i="5"/>
  <c r="O544" i="5" s="1"/>
  <c r="M545" i="5"/>
  <c r="O545" i="5" s="1"/>
  <c r="M546" i="5"/>
  <c r="O546" i="5" s="1"/>
  <c r="M547" i="5"/>
  <c r="O547" i="5" s="1"/>
  <c r="M548" i="5"/>
  <c r="O548" i="5" s="1"/>
  <c r="M549" i="5"/>
  <c r="O549" i="5" s="1"/>
  <c r="M550" i="5"/>
  <c r="O550" i="5" s="1"/>
  <c r="M551" i="5"/>
  <c r="O551" i="5" s="1"/>
  <c r="M552" i="5"/>
  <c r="O552" i="5" s="1"/>
  <c r="M553" i="5"/>
  <c r="O553" i="5" s="1"/>
  <c r="M554" i="5"/>
  <c r="O554" i="5" s="1"/>
  <c r="M555" i="5"/>
  <c r="O555" i="5" s="1"/>
  <c r="M556" i="5"/>
  <c r="O556" i="5" s="1"/>
  <c r="M557" i="5"/>
  <c r="O557" i="5" s="1"/>
  <c r="M558" i="5"/>
  <c r="O558" i="5" s="1"/>
  <c r="M559" i="5"/>
  <c r="O559" i="5" s="1"/>
  <c r="M560" i="5"/>
  <c r="O560" i="5" s="1"/>
  <c r="M561" i="5"/>
  <c r="M562" i="5"/>
  <c r="M563" i="5"/>
  <c r="O563" i="5" s="1"/>
  <c r="M564" i="5"/>
  <c r="O564" i="5" s="1"/>
  <c r="M565" i="5"/>
  <c r="O565" i="5" s="1"/>
  <c r="M566" i="5"/>
  <c r="O566" i="5" s="1"/>
  <c r="M567" i="5"/>
  <c r="O567" i="5" s="1"/>
  <c r="M568" i="5"/>
  <c r="O568" i="5" s="1"/>
  <c r="M569" i="5"/>
  <c r="O569" i="5" s="1"/>
  <c r="M570" i="5"/>
  <c r="O570" i="5" s="1"/>
  <c r="M571" i="5"/>
  <c r="O571" i="5" s="1"/>
  <c r="M572" i="5"/>
  <c r="O572" i="5" s="1"/>
  <c r="M573" i="5"/>
  <c r="M574" i="5"/>
  <c r="M575" i="5"/>
  <c r="M576" i="5"/>
  <c r="O576" i="5" s="1"/>
  <c r="M577" i="5"/>
  <c r="O577" i="5" s="1"/>
  <c r="M578" i="5"/>
  <c r="O578" i="5" s="1"/>
  <c r="M579" i="5"/>
  <c r="O579" i="5" s="1"/>
  <c r="M580" i="5"/>
  <c r="O580" i="5" s="1"/>
  <c r="M581" i="5"/>
  <c r="O581" i="5" s="1"/>
  <c r="M582" i="5"/>
  <c r="O582" i="5" s="1"/>
  <c r="M583" i="5"/>
  <c r="O583" i="5" s="1"/>
  <c r="M584" i="5"/>
  <c r="O584" i="5" s="1"/>
  <c r="M585" i="5"/>
  <c r="O585" i="5" s="1"/>
  <c r="M586" i="5"/>
  <c r="O586" i="5" s="1"/>
  <c r="M587" i="5"/>
  <c r="O587" i="5" s="1"/>
  <c r="M588" i="5"/>
  <c r="O588" i="5" s="1"/>
  <c r="M589" i="5"/>
  <c r="O589" i="5" s="1"/>
  <c r="M590" i="5"/>
  <c r="O590" i="5" s="1"/>
  <c r="M591" i="5"/>
  <c r="O591" i="5" s="1"/>
  <c r="M592" i="5"/>
  <c r="O592" i="5" s="1"/>
  <c r="M593" i="5"/>
  <c r="O593" i="5" s="1"/>
  <c r="M594" i="5"/>
  <c r="O594" i="5" s="1"/>
  <c r="M595" i="5"/>
  <c r="O595" i="5" s="1"/>
  <c r="M596" i="5"/>
  <c r="O596" i="5" s="1"/>
  <c r="M597" i="5"/>
  <c r="O597" i="5" s="1"/>
  <c r="M598" i="5"/>
  <c r="O598" i="5" s="1"/>
  <c r="M599" i="5"/>
  <c r="O599" i="5" s="1"/>
  <c r="M600" i="5"/>
  <c r="O600" i="5" s="1"/>
  <c r="M601" i="5"/>
  <c r="O601" i="5" s="1"/>
  <c r="M602" i="5"/>
  <c r="O602" i="5" s="1"/>
  <c r="M603" i="5"/>
  <c r="O603" i="5" s="1"/>
  <c r="M604" i="5"/>
  <c r="O604" i="5" s="1"/>
  <c r="M605" i="5"/>
  <c r="M606" i="5"/>
  <c r="O606" i="5" s="1"/>
  <c r="M607" i="5"/>
  <c r="O607" i="5" s="1"/>
  <c r="M608" i="5"/>
  <c r="O608" i="5" s="1"/>
  <c r="M609" i="5"/>
  <c r="M610" i="5"/>
  <c r="O610" i="5" s="1"/>
  <c r="M611" i="5"/>
  <c r="O611" i="5" s="1"/>
  <c r="M612" i="5"/>
  <c r="O612" i="5" s="1"/>
  <c r="M613" i="5"/>
  <c r="O613" i="5" s="1"/>
  <c r="M614" i="5"/>
  <c r="O614" i="5" s="1"/>
  <c r="M615" i="5"/>
  <c r="O615" i="5" s="1"/>
  <c r="M616" i="5"/>
  <c r="O616" i="5" s="1"/>
  <c r="M617" i="5"/>
  <c r="O617" i="5" s="1"/>
  <c r="M618" i="5"/>
  <c r="O618" i="5" s="1"/>
  <c r="M619" i="5"/>
  <c r="O619" i="5" s="1"/>
  <c r="M620" i="5"/>
  <c r="O620" i="5" s="1"/>
  <c r="M621" i="5"/>
  <c r="M622" i="5"/>
  <c r="M623" i="5"/>
  <c r="M624" i="5"/>
  <c r="O624" i="5" s="1"/>
  <c r="M625" i="5"/>
  <c r="O625" i="5" s="1"/>
  <c r="M626" i="5"/>
  <c r="O626" i="5" s="1"/>
  <c r="M627" i="5"/>
  <c r="O627" i="5" s="1"/>
  <c r="M628" i="5"/>
  <c r="O628" i="5" s="1"/>
  <c r="M629" i="5"/>
  <c r="M630" i="5"/>
  <c r="M631" i="5"/>
  <c r="O631" i="5" s="1"/>
  <c r="M632" i="5"/>
  <c r="O632" i="5" s="1"/>
  <c r="M633" i="5"/>
  <c r="O633" i="5" s="1"/>
  <c r="M634" i="5"/>
  <c r="O634" i="5" s="1"/>
  <c r="M635" i="5"/>
  <c r="O635" i="5" s="1"/>
  <c r="M636" i="5"/>
  <c r="O636" i="5" s="1"/>
  <c r="M637" i="5"/>
  <c r="O637" i="5" s="1"/>
  <c r="M638" i="5"/>
  <c r="O638" i="5" s="1"/>
  <c r="M639" i="5"/>
  <c r="O639" i="5" s="1"/>
  <c r="M640" i="5"/>
  <c r="O640" i="5" s="1"/>
  <c r="M641" i="5"/>
  <c r="M642" i="5"/>
  <c r="O642" i="5" s="1"/>
  <c r="M643" i="5"/>
  <c r="O643" i="5" s="1"/>
  <c r="M644" i="5"/>
  <c r="O644" i="5" s="1"/>
  <c r="M645" i="5"/>
  <c r="M646" i="5"/>
  <c r="M647" i="5"/>
  <c r="M648" i="5"/>
  <c r="O648" i="5" s="1"/>
  <c r="M649" i="5"/>
  <c r="O649" i="5" s="1"/>
  <c r="M650" i="5"/>
  <c r="O650" i="5" s="1"/>
  <c r="M651" i="5"/>
  <c r="O651" i="5" s="1"/>
  <c r="M652" i="5"/>
  <c r="O652" i="5" s="1"/>
  <c r="M653" i="5"/>
  <c r="O653" i="5" s="1"/>
  <c r="M654" i="5"/>
  <c r="O654" i="5" s="1"/>
  <c r="M655" i="5"/>
  <c r="O655" i="5" s="1"/>
  <c r="M656" i="5"/>
  <c r="O656" i="5" s="1"/>
  <c r="M657" i="5"/>
  <c r="O657" i="5" s="1"/>
  <c r="M658" i="5"/>
  <c r="O658" i="5" s="1"/>
  <c r="M659" i="5"/>
  <c r="O659" i="5" s="1"/>
  <c r="M660" i="5"/>
  <c r="O660" i="5" s="1"/>
  <c r="M661" i="5"/>
  <c r="O661" i="5" s="1"/>
  <c r="M662" i="5"/>
  <c r="O662" i="5" s="1"/>
  <c r="M663" i="5"/>
  <c r="O663" i="5" s="1"/>
  <c r="M664" i="5"/>
  <c r="O664" i="5" s="1"/>
  <c r="M665" i="5"/>
  <c r="O665" i="5" s="1"/>
  <c r="M666" i="5"/>
  <c r="O666" i="5" s="1"/>
  <c r="M667" i="5"/>
  <c r="O667" i="5" s="1"/>
  <c r="M668" i="5"/>
  <c r="O668" i="5" s="1"/>
  <c r="M669" i="5"/>
  <c r="O669" i="5" s="1"/>
  <c r="M670" i="5"/>
  <c r="O670" i="5" s="1"/>
  <c r="M671" i="5"/>
  <c r="O671" i="5" s="1"/>
  <c r="M672" i="5"/>
  <c r="O672" i="5" s="1"/>
  <c r="M673" i="5"/>
  <c r="O673" i="5" s="1"/>
  <c r="M674" i="5"/>
  <c r="O674" i="5" s="1"/>
  <c r="M675" i="5"/>
  <c r="O675" i="5" s="1"/>
  <c r="M676" i="5"/>
  <c r="O676" i="5" s="1"/>
  <c r="M677" i="5"/>
  <c r="M678" i="5"/>
  <c r="O678" i="5" s="1"/>
  <c r="M679" i="5"/>
  <c r="O679" i="5" s="1"/>
  <c r="M680" i="5"/>
  <c r="O680" i="5" s="1"/>
  <c r="M681" i="5"/>
  <c r="O681" i="5" s="1"/>
  <c r="M682" i="5"/>
  <c r="O682" i="5" s="1"/>
  <c r="M683" i="5"/>
  <c r="O683" i="5" s="1"/>
  <c r="M684" i="5"/>
  <c r="O684" i="5" s="1"/>
  <c r="M685" i="5"/>
  <c r="O685" i="5" s="1"/>
  <c r="M686" i="5"/>
  <c r="O686" i="5" s="1"/>
  <c r="M687" i="5"/>
  <c r="O687" i="5" s="1"/>
  <c r="M688" i="5"/>
  <c r="O688" i="5" s="1"/>
  <c r="M689" i="5"/>
  <c r="M690" i="5"/>
  <c r="O690" i="5" s="1"/>
  <c r="M691" i="5"/>
  <c r="O691" i="5" s="1"/>
  <c r="M692" i="5"/>
  <c r="O692" i="5" s="1"/>
  <c r="M693" i="5"/>
  <c r="M694" i="5"/>
  <c r="O694" i="5" s="1"/>
  <c r="M695" i="5"/>
  <c r="M696" i="5"/>
  <c r="O696" i="5" s="1"/>
  <c r="M697" i="5"/>
  <c r="O697" i="5" s="1"/>
  <c r="M698" i="5"/>
  <c r="O698" i="5" s="1"/>
  <c r="M699" i="5"/>
  <c r="O699" i="5" s="1"/>
  <c r="M700" i="5"/>
  <c r="O700" i="5" s="1"/>
  <c r="M701" i="5"/>
  <c r="O701" i="5" s="1"/>
  <c r="M702" i="5"/>
  <c r="O702" i="5" s="1"/>
  <c r="M703" i="5"/>
  <c r="O703" i="5" s="1"/>
  <c r="M704" i="5"/>
  <c r="O704" i="5" s="1"/>
  <c r="M705" i="5"/>
  <c r="O705" i="5" s="1"/>
  <c r="M706" i="5"/>
  <c r="O706" i="5" s="1"/>
  <c r="M707" i="5"/>
  <c r="O707" i="5" s="1"/>
  <c r="M708" i="5"/>
  <c r="O708" i="5" s="1"/>
  <c r="M709" i="5"/>
  <c r="O709" i="5" s="1"/>
  <c r="M710" i="5"/>
  <c r="O710" i="5" s="1"/>
  <c r="M711" i="5"/>
  <c r="O711" i="5" s="1"/>
  <c r="M712" i="5"/>
  <c r="O712" i="5" s="1"/>
  <c r="M713" i="5"/>
  <c r="O713" i="5" s="1"/>
  <c r="M714" i="5"/>
  <c r="O714" i="5" s="1"/>
  <c r="M715" i="5"/>
  <c r="O715" i="5" s="1"/>
  <c r="M716" i="5"/>
  <c r="O716" i="5" s="1"/>
  <c r="M717" i="5"/>
  <c r="O717" i="5" s="1"/>
  <c r="M718" i="5"/>
  <c r="O718" i="5" s="1"/>
  <c r="M719" i="5"/>
  <c r="O719" i="5" s="1"/>
  <c r="M720" i="5"/>
  <c r="O720" i="5" s="1"/>
  <c r="M721" i="5"/>
  <c r="O721" i="5" s="1"/>
  <c r="M722" i="5"/>
  <c r="O722" i="5" s="1"/>
  <c r="M723" i="5"/>
  <c r="O723" i="5" s="1"/>
  <c r="M724" i="5"/>
  <c r="O724" i="5" s="1"/>
  <c r="M725" i="5"/>
  <c r="M726" i="5"/>
  <c r="O726" i="5" s="1"/>
  <c r="M727" i="5"/>
  <c r="O727" i="5" s="1"/>
  <c r="M728" i="5"/>
  <c r="O728" i="5" s="1"/>
  <c r="M729" i="5"/>
  <c r="O729" i="5" s="1"/>
  <c r="M730" i="5"/>
  <c r="O730" i="5" s="1"/>
  <c r="M731" i="5"/>
  <c r="O731" i="5" s="1"/>
  <c r="M732" i="5"/>
  <c r="O732" i="5" s="1"/>
  <c r="M733" i="5"/>
  <c r="O733" i="5" s="1"/>
  <c r="M734" i="5"/>
  <c r="M735" i="5"/>
  <c r="O735" i="5" s="1"/>
  <c r="M736" i="5"/>
  <c r="O736" i="5" s="1"/>
  <c r="M737" i="5"/>
  <c r="O737" i="5" s="1"/>
  <c r="M738" i="5"/>
  <c r="O738" i="5" s="1"/>
  <c r="M739" i="5"/>
  <c r="O739" i="5" s="1"/>
  <c r="M740" i="5"/>
  <c r="O740" i="5" s="1"/>
  <c r="M741" i="5"/>
  <c r="O741" i="5" s="1"/>
  <c r="M742" i="5"/>
  <c r="O742" i="5" s="1"/>
  <c r="M743" i="5"/>
  <c r="O743" i="5" s="1"/>
  <c r="M744" i="5"/>
  <c r="O744" i="5" s="1"/>
  <c r="M745" i="5"/>
  <c r="O745" i="5" s="1"/>
  <c r="M746" i="5"/>
  <c r="O746" i="5" s="1"/>
  <c r="M747" i="5"/>
  <c r="O747" i="5" s="1"/>
  <c r="M748" i="5"/>
  <c r="O748" i="5" s="1"/>
  <c r="M749" i="5"/>
  <c r="O749" i="5" s="1"/>
  <c r="M750" i="5"/>
  <c r="O750" i="5" s="1"/>
  <c r="M751" i="5"/>
  <c r="O751" i="5" s="1"/>
  <c r="M752" i="5"/>
  <c r="O752" i="5" s="1"/>
  <c r="M753" i="5"/>
  <c r="O753" i="5" s="1"/>
  <c r="M754" i="5"/>
  <c r="O754" i="5" s="1"/>
  <c r="M755" i="5"/>
  <c r="O755" i="5" s="1"/>
  <c r="M756" i="5"/>
  <c r="O756" i="5" s="1"/>
  <c r="M757" i="5"/>
  <c r="O757" i="5" s="1"/>
  <c r="M758" i="5"/>
  <c r="O758" i="5" s="1"/>
  <c r="M759" i="5"/>
  <c r="O759" i="5" s="1"/>
  <c r="M760" i="5"/>
  <c r="O760" i="5" s="1"/>
  <c r="M761" i="5"/>
  <c r="O761" i="5" s="1"/>
  <c r="M762" i="5"/>
  <c r="O762" i="5" s="1"/>
  <c r="M763" i="5"/>
  <c r="O763" i="5" s="1"/>
  <c r="M764" i="5"/>
  <c r="O764" i="5" s="1"/>
  <c r="M765" i="5"/>
  <c r="M766" i="5"/>
  <c r="M767" i="5"/>
  <c r="M768" i="5"/>
  <c r="O768" i="5" s="1"/>
  <c r="M769" i="5"/>
  <c r="O769" i="5" s="1"/>
  <c r="M770" i="5"/>
  <c r="O770" i="5" s="1"/>
  <c r="M771" i="5"/>
  <c r="O771" i="5" s="1"/>
  <c r="M772" i="5"/>
  <c r="O772" i="5" s="1"/>
  <c r="M773" i="5"/>
  <c r="M774" i="5"/>
  <c r="O774" i="5" s="1"/>
  <c r="M775" i="5"/>
  <c r="O775" i="5" s="1"/>
  <c r="M776" i="5"/>
  <c r="O776" i="5" s="1"/>
  <c r="M777" i="5"/>
  <c r="O777" i="5" s="1"/>
  <c r="M778" i="5"/>
  <c r="O778" i="5" s="1"/>
  <c r="M779" i="5"/>
  <c r="O779" i="5" s="1"/>
  <c r="M780" i="5"/>
  <c r="O780" i="5" s="1"/>
  <c r="M781" i="5"/>
  <c r="O781" i="5" s="1"/>
  <c r="M782" i="5"/>
  <c r="O782" i="5" s="1"/>
  <c r="M783" i="5"/>
  <c r="O783" i="5" s="1"/>
  <c r="M784" i="5"/>
  <c r="O784" i="5" s="1"/>
  <c r="M785" i="5"/>
  <c r="O785" i="5" s="1"/>
  <c r="M786" i="5"/>
  <c r="O786" i="5" s="1"/>
  <c r="M787" i="5"/>
  <c r="O787" i="5" s="1"/>
  <c r="M788" i="5"/>
  <c r="O788" i="5" s="1"/>
  <c r="M789" i="5"/>
  <c r="O789" i="5" s="1"/>
  <c r="M790" i="5"/>
  <c r="O790" i="5" s="1"/>
  <c r="M791" i="5"/>
  <c r="O791" i="5" s="1"/>
  <c r="M792" i="5"/>
  <c r="O792" i="5" s="1"/>
  <c r="M793" i="5"/>
  <c r="O793" i="5" s="1"/>
  <c r="M794" i="5"/>
  <c r="O794" i="5" s="1"/>
  <c r="M795" i="5"/>
  <c r="O795" i="5" s="1"/>
  <c r="M796" i="5"/>
  <c r="O796" i="5" s="1"/>
  <c r="M797" i="5"/>
  <c r="M798" i="5"/>
  <c r="O798" i="5" s="1"/>
  <c r="M799" i="5"/>
  <c r="O799" i="5" s="1"/>
  <c r="M800" i="5"/>
  <c r="O800" i="5" s="1"/>
  <c r="M801" i="5"/>
  <c r="M802" i="5"/>
  <c r="M803" i="5"/>
  <c r="M804" i="5"/>
  <c r="O804" i="5" s="1"/>
  <c r="M805" i="5"/>
  <c r="O805" i="5" s="1"/>
  <c r="M806" i="5"/>
  <c r="O806" i="5" s="1"/>
  <c r="M807" i="5"/>
  <c r="O807" i="5" s="1"/>
  <c r="M808" i="5"/>
  <c r="O808" i="5" s="1"/>
  <c r="M809" i="5"/>
  <c r="O809" i="5" s="1"/>
  <c r="M810" i="5"/>
  <c r="O810" i="5" s="1"/>
  <c r="M811" i="5"/>
  <c r="O811" i="5" s="1"/>
  <c r="M812" i="5"/>
  <c r="O812" i="5" s="1"/>
  <c r="M813" i="5"/>
  <c r="M814" i="5"/>
  <c r="O814" i="5" s="1"/>
  <c r="M815" i="5"/>
  <c r="O815" i="5" s="1"/>
  <c r="M816" i="5"/>
  <c r="O816" i="5" s="1"/>
  <c r="M817" i="5"/>
  <c r="O817" i="5" s="1"/>
  <c r="M818" i="5"/>
  <c r="O818" i="5" s="1"/>
  <c r="M819" i="5"/>
  <c r="O819" i="5" s="1"/>
  <c r="M820" i="5"/>
  <c r="O820" i="5" s="1"/>
  <c r="M821" i="5"/>
  <c r="M822" i="5"/>
  <c r="O822" i="5" s="1"/>
  <c r="M823" i="5"/>
  <c r="O823" i="5" s="1"/>
  <c r="M824" i="5"/>
  <c r="O824" i="5" s="1"/>
  <c r="M825" i="5"/>
  <c r="O825" i="5" s="1"/>
  <c r="M826" i="5"/>
  <c r="O826" i="5" s="1"/>
  <c r="M827" i="5"/>
  <c r="O827" i="5" s="1"/>
  <c r="M828" i="5"/>
  <c r="O828" i="5" s="1"/>
  <c r="M829" i="5"/>
  <c r="O829" i="5" s="1"/>
  <c r="M830" i="5"/>
  <c r="O830" i="5" s="1"/>
  <c r="M831" i="5"/>
  <c r="O831" i="5" s="1"/>
  <c r="M832" i="5"/>
  <c r="O832" i="5" s="1"/>
  <c r="M833" i="5"/>
  <c r="O833" i="5" s="1"/>
  <c r="M834" i="5"/>
  <c r="O834" i="5" s="1"/>
  <c r="M835" i="5"/>
  <c r="O835" i="5" s="1"/>
  <c r="M836" i="5"/>
  <c r="O836" i="5" s="1"/>
  <c r="M837" i="5"/>
  <c r="O837" i="5" s="1"/>
  <c r="M838" i="5"/>
  <c r="O838" i="5" s="1"/>
  <c r="M839" i="5"/>
  <c r="O839" i="5" s="1"/>
  <c r="M840" i="5"/>
  <c r="O840" i="5" s="1"/>
  <c r="M841" i="5"/>
  <c r="O841" i="5" s="1"/>
  <c r="M842" i="5"/>
  <c r="O842" i="5" s="1"/>
  <c r="M843" i="5"/>
  <c r="O843" i="5" s="1"/>
  <c r="M844" i="5"/>
  <c r="O844" i="5" s="1"/>
  <c r="M845" i="5"/>
  <c r="O845" i="5" s="1"/>
  <c r="M846" i="5"/>
  <c r="O846" i="5" s="1"/>
  <c r="M847" i="5"/>
  <c r="O847" i="5" s="1"/>
  <c r="M848" i="5"/>
  <c r="O848" i="5" s="1"/>
  <c r="M849" i="5"/>
  <c r="M850" i="5"/>
  <c r="M851" i="5"/>
  <c r="M852" i="5"/>
  <c r="M853" i="5"/>
  <c r="M854" i="5"/>
  <c r="O854" i="5" s="1"/>
  <c r="M855" i="5"/>
  <c r="O855" i="5" s="1"/>
  <c r="M856" i="5"/>
  <c r="O856" i="5" s="1"/>
  <c r="M857" i="5"/>
  <c r="O857" i="5" s="1"/>
  <c r="M858" i="5"/>
  <c r="O858" i="5" s="1"/>
  <c r="M859" i="5"/>
  <c r="O859" i="5" s="1"/>
  <c r="M860" i="5"/>
  <c r="O860" i="5" s="1"/>
  <c r="M861" i="5"/>
  <c r="M862" i="5"/>
  <c r="O862" i="5" s="1"/>
  <c r="M863" i="5"/>
  <c r="O863" i="5" s="1"/>
  <c r="M864" i="5"/>
  <c r="O864" i="5" s="1"/>
  <c r="M865" i="5"/>
  <c r="O865" i="5" s="1"/>
  <c r="M866" i="5"/>
  <c r="O866" i="5" s="1"/>
  <c r="M867" i="5"/>
  <c r="O867" i="5" s="1"/>
  <c r="M868" i="5"/>
  <c r="O868" i="5" s="1"/>
  <c r="M869" i="5"/>
  <c r="O869" i="5" s="1"/>
  <c r="M870" i="5"/>
  <c r="O870" i="5" s="1"/>
  <c r="M871" i="5"/>
  <c r="O871" i="5" s="1"/>
  <c r="M872" i="5"/>
  <c r="O872" i="5" s="1"/>
  <c r="M873" i="5"/>
  <c r="O873" i="5" s="1"/>
  <c r="M874" i="5"/>
  <c r="O874" i="5" s="1"/>
  <c r="M875" i="5"/>
  <c r="O875" i="5" s="1"/>
  <c r="M876" i="5"/>
  <c r="O876" i="5" s="1"/>
  <c r="M877" i="5"/>
  <c r="O877" i="5" s="1"/>
  <c r="M878" i="5"/>
  <c r="O878" i="5" s="1"/>
  <c r="M879" i="5"/>
  <c r="O879" i="5" s="1"/>
  <c r="M880" i="5"/>
  <c r="O880" i="5" s="1"/>
  <c r="M881" i="5"/>
  <c r="M882" i="5"/>
  <c r="O882" i="5" s="1"/>
  <c r="M883" i="5"/>
  <c r="O883" i="5" s="1"/>
  <c r="M884" i="5"/>
  <c r="O884" i="5" s="1"/>
  <c r="M885" i="5"/>
  <c r="M886" i="5"/>
  <c r="O886" i="5" s="1"/>
  <c r="M887" i="5"/>
  <c r="O887" i="5" s="1"/>
  <c r="M888" i="5"/>
  <c r="O888" i="5" s="1"/>
  <c r="M889" i="5"/>
  <c r="O889" i="5" s="1"/>
  <c r="M890" i="5"/>
  <c r="O890" i="5" s="1"/>
  <c r="M891" i="5"/>
  <c r="O891" i="5" s="1"/>
  <c r="M892" i="5"/>
  <c r="O892" i="5" s="1"/>
  <c r="M893" i="5"/>
  <c r="M894" i="5"/>
  <c r="O894" i="5" s="1"/>
  <c r="M895" i="5"/>
  <c r="O895" i="5" s="1"/>
  <c r="M896" i="5"/>
  <c r="O896" i="5" s="1"/>
  <c r="M897" i="5"/>
  <c r="M898" i="5"/>
  <c r="M899" i="5"/>
  <c r="O899" i="5" s="1"/>
  <c r="M900" i="5"/>
  <c r="O900" i="5" s="1"/>
  <c r="M901" i="5"/>
  <c r="O901" i="5" s="1"/>
  <c r="M902" i="5"/>
  <c r="O902" i="5" s="1"/>
  <c r="M903" i="5"/>
  <c r="O903" i="5" s="1"/>
  <c r="M904" i="5"/>
  <c r="O904" i="5" s="1"/>
  <c r="M905" i="5"/>
  <c r="O905" i="5" s="1"/>
  <c r="M906" i="5"/>
  <c r="O906" i="5" s="1"/>
  <c r="M907" i="5"/>
  <c r="O907" i="5" s="1"/>
  <c r="M908" i="5"/>
  <c r="O908" i="5" s="1"/>
  <c r="M909" i="5"/>
  <c r="O909" i="5" s="1"/>
  <c r="M910" i="5"/>
  <c r="O910" i="5" s="1"/>
  <c r="M911" i="5"/>
  <c r="O911" i="5" s="1"/>
  <c r="M912" i="5"/>
  <c r="O912" i="5" s="1"/>
  <c r="M913" i="5"/>
  <c r="O913" i="5" s="1"/>
  <c r="M914" i="5"/>
  <c r="O914" i="5" s="1"/>
  <c r="M915" i="5"/>
  <c r="O915" i="5" s="1"/>
  <c r="M916" i="5"/>
  <c r="O916" i="5" s="1"/>
  <c r="M917" i="5"/>
  <c r="O917" i="5" s="1"/>
  <c r="M918" i="5"/>
  <c r="O918" i="5" s="1"/>
  <c r="M919" i="5"/>
  <c r="O919" i="5" s="1"/>
  <c r="M920" i="5"/>
  <c r="O920" i="5" s="1"/>
  <c r="M921" i="5"/>
  <c r="O921" i="5" s="1"/>
  <c r="M922" i="5"/>
  <c r="O922" i="5" s="1"/>
  <c r="M923" i="5"/>
  <c r="O923" i="5" s="1"/>
  <c r="M924" i="5"/>
  <c r="O924" i="5" s="1"/>
  <c r="M925" i="5"/>
  <c r="O925" i="5" s="1"/>
  <c r="M926" i="5"/>
  <c r="O926" i="5" s="1"/>
  <c r="M927" i="5"/>
  <c r="O927" i="5" s="1"/>
  <c r="M928" i="5"/>
  <c r="O928" i="5" s="1"/>
  <c r="M929" i="5"/>
  <c r="M930" i="5"/>
  <c r="O930" i="5" s="1"/>
  <c r="M931" i="5"/>
  <c r="O931" i="5" s="1"/>
  <c r="M932" i="5"/>
  <c r="O932" i="5" s="1"/>
  <c r="M933" i="5"/>
  <c r="M934" i="5"/>
  <c r="O934" i="5" s="1"/>
  <c r="M935" i="5"/>
  <c r="O935" i="5" s="1"/>
  <c r="M936" i="5"/>
  <c r="O936" i="5" s="1"/>
  <c r="M937" i="5"/>
  <c r="O937" i="5" s="1"/>
  <c r="M938" i="5"/>
  <c r="O938" i="5" s="1"/>
  <c r="M939" i="5"/>
  <c r="O939" i="5" s="1"/>
  <c r="M940" i="5"/>
  <c r="O940" i="5" s="1"/>
  <c r="M941" i="5"/>
  <c r="O941" i="5" s="1"/>
  <c r="M942" i="5"/>
  <c r="O942" i="5" s="1"/>
  <c r="M943" i="5"/>
  <c r="O943" i="5" s="1"/>
  <c r="M944" i="5"/>
  <c r="O944" i="5" s="1"/>
  <c r="M945" i="5"/>
  <c r="M946" i="5"/>
  <c r="M947" i="5"/>
  <c r="M948" i="5"/>
  <c r="M949" i="5"/>
  <c r="O949" i="5" s="1"/>
  <c r="M950" i="5"/>
  <c r="O950" i="5" s="1"/>
  <c r="M951" i="5"/>
  <c r="O951" i="5" s="1"/>
  <c r="M952" i="5"/>
  <c r="O952" i="5" s="1"/>
  <c r="M953" i="5"/>
  <c r="O953" i="5" s="1"/>
  <c r="M954" i="5"/>
  <c r="O954" i="5" s="1"/>
  <c r="M955" i="5"/>
  <c r="O955" i="5" s="1"/>
  <c r="M956" i="5"/>
  <c r="O956" i="5" s="1"/>
  <c r="M957" i="5"/>
  <c r="O957" i="5" s="1"/>
  <c r="M958" i="5"/>
  <c r="O958" i="5" s="1"/>
  <c r="M959" i="5"/>
  <c r="O959" i="5" s="1"/>
  <c r="M960" i="5"/>
  <c r="O960" i="5" s="1"/>
  <c r="M961" i="5"/>
  <c r="O961" i="5" s="1"/>
  <c r="M962" i="5"/>
  <c r="O962" i="5" s="1"/>
  <c r="M963" i="5"/>
  <c r="O963" i="5" s="1"/>
  <c r="M964" i="5"/>
  <c r="O964" i="5" s="1"/>
  <c r="M965" i="5"/>
  <c r="O965" i="5" s="1"/>
  <c r="M966" i="5"/>
  <c r="O966" i="5" s="1"/>
  <c r="M967" i="5"/>
  <c r="O967" i="5" s="1"/>
  <c r="M968" i="5"/>
  <c r="O968" i="5" s="1"/>
  <c r="M969" i="5"/>
  <c r="O969" i="5" s="1"/>
  <c r="M970" i="5"/>
  <c r="O970" i="5" s="1"/>
  <c r="M971" i="5"/>
  <c r="O971" i="5" s="1"/>
  <c r="M972" i="5"/>
  <c r="O972" i="5" s="1"/>
  <c r="M973" i="5"/>
  <c r="O973" i="5" s="1"/>
  <c r="M974" i="5"/>
  <c r="O974" i="5" s="1"/>
  <c r="M975" i="5"/>
  <c r="O975" i="5" s="1"/>
  <c r="M976" i="5"/>
  <c r="O976" i="5" s="1"/>
  <c r="M977" i="5"/>
  <c r="M978" i="5"/>
  <c r="O978" i="5" s="1"/>
  <c r="M979" i="5"/>
  <c r="O979" i="5" s="1"/>
  <c r="M980" i="5"/>
  <c r="O980" i="5" s="1"/>
  <c r="M981" i="5"/>
  <c r="M982" i="5"/>
  <c r="O982" i="5" s="1"/>
  <c r="M983" i="5"/>
  <c r="O983" i="5" s="1"/>
  <c r="M984" i="5"/>
  <c r="O984" i="5" s="1"/>
  <c r="M985" i="5"/>
  <c r="O985" i="5" s="1"/>
  <c r="M986" i="5"/>
  <c r="O986" i="5" s="1"/>
  <c r="M987" i="5"/>
  <c r="O987" i="5" s="1"/>
  <c r="M988" i="5"/>
  <c r="O988" i="5" s="1"/>
  <c r="M989" i="5"/>
  <c r="M990" i="5"/>
  <c r="O990" i="5" s="1"/>
  <c r="M991" i="5"/>
  <c r="O991" i="5" s="1"/>
  <c r="M992" i="5"/>
  <c r="O992" i="5" s="1"/>
  <c r="M993" i="5"/>
  <c r="O993" i="5" s="1"/>
  <c r="M994" i="5"/>
  <c r="O994" i="5" s="1"/>
  <c r="M995" i="5"/>
  <c r="O995" i="5" s="1"/>
  <c r="M996" i="5"/>
  <c r="O996" i="5" s="1"/>
  <c r="M997" i="5"/>
  <c r="O997" i="5" s="1"/>
  <c r="M998" i="5"/>
  <c r="O998" i="5" s="1"/>
  <c r="M999" i="5"/>
  <c r="O999" i="5" s="1"/>
  <c r="M1000" i="5"/>
  <c r="O1000" i="5" s="1"/>
  <c r="M1001" i="5"/>
  <c r="O1001" i="5" s="1"/>
  <c r="M1002" i="5"/>
  <c r="O1002" i="5" s="1"/>
  <c r="M1003" i="5"/>
  <c r="O1003" i="5" s="1"/>
  <c r="M1004" i="5"/>
  <c r="O1004" i="5" s="1"/>
  <c r="M1005" i="5"/>
  <c r="O1005" i="5" s="1"/>
  <c r="M1006" i="5"/>
  <c r="O1006" i="5" s="1"/>
  <c r="M1007" i="5"/>
  <c r="O1007" i="5" s="1"/>
  <c r="M1008" i="5"/>
  <c r="O1008" i="5" s="1"/>
  <c r="M1009" i="5"/>
  <c r="O1009" i="5" s="1"/>
  <c r="M1010" i="5"/>
  <c r="O1010" i="5" s="1"/>
  <c r="M1011" i="5"/>
  <c r="O1011" i="5" s="1"/>
  <c r="M1012" i="5"/>
  <c r="O1012" i="5" s="1"/>
  <c r="M1013" i="5"/>
  <c r="M1014" i="5"/>
  <c r="O1014" i="5" s="1"/>
  <c r="M1015" i="5"/>
  <c r="O1015" i="5" s="1"/>
  <c r="M1016" i="5"/>
  <c r="O1016" i="5" s="1"/>
  <c r="M1017" i="5"/>
  <c r="O1017" i="5" s="1"/>
  <c r="M1018" i="5"/>
  <c r="O1018" i="5" s="1"/>
  <c r="M1019" i="5"/>
  <c r="O1019" i="5" s="1"/>
  <c r="M1020" i="5"/>
  <c r="O1020" i="5" s="1"/>
  <c r="M1021" i="5"/>
  <c r="O1021" i="5" s="1"/>
  <c r="M1022" i="5"/>
  <c r="O1022" i="5" s="1"/>
  <c r="M1023" i="5"/>
  <c r="O1023" i="5" s="1"/>
  <c r="M1024" i="5"/>
  <c r="M1025" i="5"/>
  <c r="M1026" i="5"/>
  <c r="O1026" i="5" s="1"/>
  <c r="M1027" i="5"/>
  <c r="O1027" i="5" s="1"/>
  <c r="M1028" i="5"/>
  <c r="O1028" i="5" s="1"/>
  <c r="M1029" i="5"/>
  <c r="O1029" i="5" s="1"/>
  <c r="M1030" i="5"/>
  <c r="M1031" i="5"/>
  <c r="M1032" i="5"/>
  <c r="O1032" i="5" s="1"/>
  <c r="M1033" i="5"/>
  <c r="O1033" i="5" s="1"/>
  <c r="M1034" i="5"/>
  <c r="O1034" i="5" s="1"/>
  <c r="M1035" i="5"/>
  <c r="O1035" i="5" s="1"/>
  <c r="M1036" i="5"/>
  <c r="O1036" i="5" s="1"/>
  <c r="M1037" i="5"/>
  <c r="O1037" i="5" s="1"/>
  <c r="M1038" i="5"/>
  <c r="O1038" i="5" s="1"/>
  <c r="M1039" i="5"/>
  <c r="O1039" i="5" s="1"/>
  <c r="M1040" i="5"/>
  <c r="O1040" i="5" s="1"/>
  <c r="M1041" i="5"/>
  <c r="O1041" i="5" s="1"/>
  <c r="M1042" i="5"/>
  <c r="O1042" i="5" s="1"/>
  <c r="M1043" i="5"/>
  <c r="O1043" i="5" s="1"/>
  <c r="M1044" i="5"/>
  <c r="O1044" i="5" s="1"/>
  <c r="M1045" i="5"/>
  <c r="O1045" i="5" s="1"/>
  <c r="M1046" i="5"/>
  <c r="O1046" i="5" s="1"/>
  <c r="M1047" i="5"/>
  <c r="O1047" i="5" s="1"/>
  <c r="M1048" i="5"/>
  <c r="M1049" i="5"/>
  <c r="M1050" i="5"/>
  <c r="O1050" i="5" s="1"/>
  <c r="M1051" i="5"/>
  <c r="O1051" i="5" s="1"/>
  <c r="M1052" i="5"/>
  <c r="O1052" i="5" s="1"/>
  <c r="M1053" i="5"/>
  <c r="O1053" i="5" s="1"/>
  <c r="M1054" i="5"/>
  <c r="O1054" i="5" s="1"/>
  <c r="M1055" i="5"/>
  <c r="O1055" i="5" s="1"/>
  <c r="M1056" i="5"/>
  <c r="O1056" i="5" s="1"/>
  <c r="M1057" i="5"/>
  <c r="O1057" i="5" s="1"/>
  <c r="M1058" i="5"/>
  <c r="O1058" i="5" s="1"/>
  <c r="M1059" i="5"/>
  <c r="O1059" i="5" s="1"/>
  <c r="M1060" i="5"/>
  <c r="O1060" i="5" s="1"/>
  <c r="M1061" i="5"/>
  <c r="O1061" i="5" s="1"/>
  <c r="M1062" i="5"/>
  <c r="O1062" i="5" s="1"/>
  <c r="M1063" i="5"/>
  <c r="O1063" i="5" s="1"/>
  <c r="M1064" i="5"/>
  <c r="O1064" i="5" s="1"/>
  <c r="M1065" i="5"/>
  <c r="O1065" i="5" s="1"/>
  <c r="M1066" i="5"/>
  <c r="M1067" i="5"/>
  <c r="M1068" i="5"/>
  <c r="M1069" i="5"/>
  <c r="M1070" i="5"/>
  <c r="O1070" i="5" s="1"/>
  <c r="M1071" i="5"/>
  <c r="O1071" i="5" s="1"/>
  <c r="M1072" i="5"/>
  <c r="O1072" i="5" s="1"/>
  <c r="M1073" i="5"/>
  <c r="O1073" i="5" s="1"/>
  <c r="M1074" i="5"/>
  <c r="O1074" i="5" s="1"/>
  <c r="M1075" i="5"/>
  <c r="O1075" i="5" s="1"/>
  <c r="M1076" i="5"/>
  <c r="O1076" i="5" s="1"/>
  <c r="M1077" i="5"/>
  <c r="O1077" i="5" s="1"/>
  <c r="M1078" i="5"/>
  <c r="O1078" i="5" s="1"/>
  <c r="M1079" i="5"/>
  <c r="O1079" i="5" s="1"/>
  <c r="M1080" i="5"/>
  <c r="O1080" i="5" s="1"/>
  <c r="M1081" i="5"/>
  <c r="O1081" i="5" s="1"/>
  <c r="M1082" i="5"/>
  <c r="O1082" i="5" s="1"/>
  <c r="M1083" i="5"/>
  <c r="O1083" i="5" s="1"/>
  <c r="M1084" i="5"/>
  <c r="M1085" i="5"/>
  <c r="M1086" i="5"/>
  <c r="O1086" i="5" s="1"/>
  <c r="M1087" i="5"/>
  <c r="O1087" i="5" s="1"/>
  <c r="M1088" i="5"/>
  <c r="O1088" i="5" s="1"/>
  <c r="M1089" i="5"/>
  <c r="O1089" i="5" s="1"/>
  <c r="M1090" i="5"/>
  <c r="O1090" i="5" s="1"/>
  <c r="M1091" i="5"/>
  <c r="O1091" i="5" s="1"/>
  <c r="M1092" i="5"/>
  <c r="O1092" i="5" s="1"/>
  <c r="M1093" i="5"/>
  <c r="O1093" i="5" s="1"/>
  <c r="M1094" i="5"/>
  <c r="O1094" i="5" s="1"/>
  <c r="M1095" i="5"/>
  <c r="O1095" i="5" s="1"/>
  <c r="M1096" i="5"/>
  <c r="M1097" i="5"/>
  <c r="M1098" i="5"/>
  <c r="O1098" i="5" s="1"/>
  <c r="M1099" i="5"/>
  <c r="O1099" i="5" s="1"/>
  <c r="M1100" i="5"/>
  <c r="O1100" i="5" s="1"/>
  <c r="M1101" i="5"/>
  <c r="O1101" i="5" s="1"/>
  <c r="M1102" i="5"/>
  <c r="M1103" i="5"/>
  <c r="M1104" i="5"/>
  <c r="O1104" i="5" s="1"/>
  <c r="M1105" i="5"/>
  <c r="O1105" i="5" s="1"/>
  <c r="M1106" i="5"/>
  <c r="O1106" i="5" s="1"/>
  <c r="M1107" i="5"/>
  <c r="O1107" i="5" s="1"/>
  <c r="M1108" i="5"/>
  <c r="O1108" i="5" s="1"/>
  <c r="M1109" i="5"/>
  <c r="O1109" i="5" s="1"/>
  <c r="M1110" i="5"/>
  <c r="O1110" i="5" s="1"/>
  <c r="M1111" i="5"/>
  <c r="O1111" i="5" s="1"/>
  <c r="M1112" i="5"/>
  <c r="O1112" i="5" s="1"/>
  <c r="M1113" i="5"/>
  <c r="O1113" i="5" s="1"/>
  <c r="M1114" i="5"/>
  <c r="O1114" i="5" s="1"/>
  <c r="M1115" i="5"/>
  <c r="O1115" i="5" s="1"/>
  <c r="M1116" i="5"/>
  <c r="O1116" i="5" s="1"/>
  <c r="M1117" i="5"/>
  <c r="O1117" i="5" s="1"/>
  <c r="M1118" i="5"/>
  <c r="O1118" i="5" s="1"/>
  <c r="M1119" i="5"/>
  <c r="O1119" i="5" s="1"/>
  <c r="M1120" i="5"/>
  <c r="M1121" i="5"/>
  <c r="M1122" i="5"/>
  <c r="O1122" i="5" s="1"/>
  <c r="M1123" i="5"/>
  <c r="O1123" i="5" s="1"/>
  <c r="M1124" i="5"/>
  <c r="O1124" i="5" s="1"/>
  <c r="M1125" i="5"/>
  <c r="O1125" i="5" s="1"/>
  <c r="M1126" i="5"/>
  <c r="O1126" i="5" s="1"/>
  <c r="M1127" i="5"/>
  <c r="O1127" i="5" s="1"/>
  <c r="M1128" i="5"/>
  <c r="O1128" i="5" s="1"/>
  <c r="M1129" i="5"/>
  <c r="O1129" i="5" s="1"/>
  <c r="M1130" i="5"/>
  <c r="O1130" i="5" s="1"/>
  <c r="M1131" i="5"/>
  <c r="O1131" i="5" s="1"/>
  <c r="M1132" i="5"/>
  <c r="O1132" i="5" s="1"/>
  <c r="M1133" i="5"/>
  <c r="O1133" i="5" s="1"/>
  <c r="M1134" i="5"/>
  <c r="O1134" i="5" s="1"/>
  <c r="M1135" i="5"/>
  <c r="O1135" i="5" s="1"/>
  <c r="M1136" i="5"/>
  <c r="O1136" i="5" s="1"/>
  <c r="M1137" i="5"/>
  <c r="O1137" i="5" s="1"/>
  <c r="M1138" i="5"/>
  <c r="M1139" i="5"/>
  <c r="M1140" i="5"/>
  <c r="M1141" i="5"/>
  <c r="M1142" i="5"/>
  <c r="O1142" i="5" s="1"/>
  <c r="M1143" i="5"/>
  <c r="O1143" i="5" s="1"/>
  <c r="M1144" i="5"/>
  <c r="O1144" i="5" s="1"/>
  <c r="M1145" i="5"/>
  <c r="O1145" i="5" s="1"/>
  <c r="M1146" i="5"/>
  <c r="O1146" i="5" s="1"/>
  <c r="M1147" i="5"/>
  <c r="O1147" i="5" s="1"/>
  <c r="M1148" i="5"/>
  <c r="O1148" i="5" s="1"/>
  <c r="M1149" i="5"/>
  <c r="O1149" i="5" s="1"/>
  <c r="M1150" i="5"/>
  <c r="O1150" i="5" s="1"/>
  <c r="M1151" i="5"/>
  <c r="O1151" i="5" s="1"/>
  <c r="M1152" i="5"/>
  <c r="O1152" i="5" s="1"/>
  <c r="M1153" i="5"/>
  <c r="O1153" i="5" s="1"/>
  <c r="M1154" i="5"/>
  <c r="O1154" i="5" s="1"/>
  <c r="M1155" i="5"/>
  <c r="O1155" i="5" s="1"/>
  <c r="M1156" i="5"/>
  <c r="M1157" i="5"/>
  <c r="M1158" i="5"/>
  <c r="O1158" i="5" s="1"/>
  <c r="M1159" i="5"/>
  <c r="O1159" i="5" s="1"/>
  <c r="M1160" i="5"/>
  <c r="O1160" i="5" s="1"/>
  <c r="M1161" i="5"/>
  <c r="O1161" i="5" s="1"/>
  <c r="M1162" i="5"/>
  <c r="O1162" i="5" s="1"/>
  <c r="M1163" i="5"/>
  <c r="O1163" i="5" s="1"/>
  <c r="M1164" i="5"/>
  <c r="O1164" i="5" s="1"/>
  <c r="M1165" i="5"/>
  <c r="O1165" i="5" s="1"/>
  <c r="M1166" i="5"/>
  <c r="O1166" i="5" s="1"/>
  <c r="M1167" i="5"/>
  <c r="O1167" i="5" s="1"/>
  <c r="M1168" i="5"/>
  <c r="M1169" i="5"/>
  <c r="M1170" i="5"/>
  <c r="O1170" i="5" s="1"/>
  <c r="M1171" i="5"/>
  <c r="O1171" i="5" s="1"/>
  <c r="M1172" i="5"/>
  <c r="O1172" i="5" s="1"/>
  <c r="M1173" i="5"/>
  <c r="O1173" i="5" s="1"/>
  <c r="M1174" i="5"/>
  <c r="O1174" i="5" s="1"/>
  <c r="M1175" i="5"/>
  <c r="O1175" i="5" s="1"/>
  <c r="M1176" i="5"/>
  <c r="O1176" i="5" s="1"/>
  <c r="M1177" i="5"/>
  <c r="O1177" i="5" s="1"/>
  <c r="M1178" i="5"/>
  <c r="O1178" i="5" s="1"/>
  <c r="M1179" i="5"/>
  <c r="O1179" i="5" s="1"/>
  <c r="M1180" i="5"/>
  <c r="O1180" i="5" s="1"/>
  <c r="M1181" i="5"/>
  <c r="O1181" i="5" s="1"/>
  <c r="M1182" i="5"/>
  <c r="O1182" i="5" s="1"/>
  <c r="M1183" i="5"/>
  <c r="O1183" i="5" s="1"/>
  <c r="M1184" i="5"/>
  <c r="O1184" i="5" s="1"/>
  <c r="M1185" i="5"/>
  <c r="O1185" i="5" s="1"/>
  <c r="M1186" i="5"/>
  <c r="O1186" i="5" s="1"/>
  <c r="M1187" i="5"/>
  <c r="O1187" i="5" s="1"/>
  <c r="M1188" i="5"/>
  <c r="O1188" i="5" s="1"/>
  <c r="M1189" i="5"/>
  <c r="O1189" i="5" s="1"/>
  <c r="M1190" i="5"/>
  <c r="O1190" i="5" s="1"/>
  <c r="M1191" i="5"/>
  <c r="O1191" i="5" s="1"/>
  <c r="M1192" i="5"/>
  <c r="M1193" i="5"/>
  <c r="M1194" i="5"/>
  <c r="O1194" i="5" s="1"/>
  <c r="M1195" i="5"/>
  <c r="O1195" i="5" s="1"/>
  <c r="M1196" i="5"/>
  <c r="O1196" i="5" s="1"/>
  <c r="M1197" i="5"/>
  <c r="O1197" i="5" s="1"/>
  <c r="M1198" i="5"/>
  <c r="O1198" i="5" s="1"/>
  <c r="M1199" i="5"/>
  <c r="O1199" i="5" s="1"/>
  <c r="M1200" i="5"/>
  <c r="O1200" i="5" s="1"/>
  <c r="M1201" i="5"/>
  <c r="O1201" i="5" s="1"/>
  <c r="R1201" i="5"/>
  <c r="Q1201" i="5"/>
  <c r="P1201" i="5"/>
  <c r="R1200" i="5"/>
  <c r="Q1200" i="5"/>
  <c r="P1200" i="5"/>
  <c r="R1199" i="5"/>
  <c r="Q1199" i="5"/>
  <c r="P1199" i="5"/>
  <c r="R1198" i="5"/>
  <c r="Q1198" i="5"/>
  <c r="P1198" i="5"/>
  <c r="R1197" i="5"/>
  <c r="Q1197" i="5"/>
  <c r="P1197" i="5"/>
  <c r="R1196" i="5"/>
  <c r="Q1196" i="5"/>
  <c r="P1196" i="5"/>
  <c r="R1195" i="5"/>
  <c r="Q1195" i="5"/>
  <c r="P1195" i="5"/>
  <c r="R1194" i="5"/>
  <c r="Q1194" i="5"/>
  <c r="P1194" i="5"/>
  <c r="R1193" i="5"/>
  <c r="Q1193" i="5"/>
  <c r="P1193" i="5"/>
  <c r="R1192" i="5"/>
  <c r="Q1192" i="5"/>
  <c r="P1192" i="5"/>
  <c r="R1191" i="5"/>
  <c r="Q1191" i="5"/>
  <c r="P1191" i="5"/>
  <c r="R1190" i="5"/>
  <c r="Q1190" i="5"/>
  <c r="P1190" i="5"/>
  <c r="R1189" i="5"/>
  <c r="Q1189" i="5"/>
  <c r="P1189" i="5"/>
  <c r="R1188" i="5"/>
  <c r="Q1188" i="5"/>
  <c r="P1188" i="5"/>
  <c r="R1187" i="5"/>
  <c r="Q1187" i="5"/>
  <c r="P1187" i="5"/>
  <c r="R1186" i="5"/>
  <c r="Q1186" i="5"/>
  <c r="P1186" i="5"/>
  <c r="R1185" i="5"/>
  <c r="Q1185" i="5"/>
  <c r="P1185" i="5"/>
  <c r="R1184" i="5"/>
  <c r="Q1184" i="5"/>
  <c r="P1184" i="5"/>
  <c r="R1183" i="5"/>
  <c r="Q1183" i="5"/>
  <c r="P1183" i="5"/>
  <c r="R1182" i="5"/>
  <c r="Q1182" i="5"/>
  <c r="P1182" i="5"/>
  <c r="R1181" i="5"/>
  <c r="Q1181" i="5"/>
  <c r="P1181" i="5"/>
  <c r="R1180" i="5"/>
  <c r="Q1180" i="5"/>
  <c r="P1180" i="5"/>
  <c r="R1179" i="5"/>
  <c r="Q1179" i="5"/>
  <c r="P1179" i="5"/>
  <c r="R1178" i="5"/>
  <c r="Q1178" i="5"/>
  <c r="P1178" i="5"/>
  <c r="R1177" i="5"/>
  <c r="Q1177" i="5"/>
  <c r="P1177" i="5"/>
  <c r="R1176" i="5"/>
  <c r="Q1176" i="5"/>
  <c r="P1176" i="5"/>
  <c r="R1175" i="5"/>
  <c r="Q1175" i="5"/>
  <c r="P1175" i="5"/>
  <c r="R1174" i="5"/>
  <c r="Q1174" i="5"/>
  <c r="P1174" i="5"/>
  <c r="R1173" i="5"/>
  <c r="Q1173" i="5"/>
  <c r="P1173" i="5"/>
  <c r="R1172" i="5"/>
  <c r="Q1172" i="5"/>
  <c r="P1172" i="5"/>
  <c r="R1171" i="5"/>
  <c r="Q1171" i="5"/>
  <c r="P1171" i="5"/>
  <c r="R1170" i="5"/>
  <c r="Q1170" i="5"/>
  <c r="P1170" i="5"/>
  <c r="R1169" i="5"/>
  <c r="Q1169" i="5"/>
  <c r="P1169" i="5"/>
  <c r="R1168" i="5"/>
  <c r="Q1168" i="5"/>
  <c r="P1168" i="5"/>
  <c r="R1167" i="5"/>
  <c r="Q1167" i="5"/>
  <c r="P1167" i="5"/>
  <c r="R1166" i="5"/>
  <c r="Q1166" i="5"/>
  <c r="P1166" i="5"/>
  <c r="R1165" i="5"/>
  <c r="Q1165" i="5"/>
  <c r="P1165" i="5"/>
  <c r="R1164" i="5"/>
  <c r="Q1164" i="5"/>
  <c r="P1164" i="5"/>
  <c r="R1163" i="5"/>
  <c r="Q1163" i="5"/>
  <c r="P1163" i="5"/>
  <c r="R1162" i="5"/>
  <c r="Q1162" i="5"/>
  <c r="P1162" i="5"/>
  <c r="R1161" i="5"/>
  <c r="Q1161" i="5"/>
  <c r="P1161" i="5"/>
  <c r="R1160" i="5"/>
  <c r="Q1160" i="5"/>
  <c r="P1160" i="5"/>
  <c r="R1159" i="5"/>
  <c r="Q1159" i="5"/>
  <c r="P1159" i="5"/>
  <c r="R1158" i="5"/>
  <c r="Q1158" i="5"/>
  <c r="P1158" i="5"/>
  <c r="R1157" i="5"/>
  <c r="Q1157" i="5"/>
  <c r="P1157" i="5"/>
  <c r="R1156" i="5"/>
  <c r="Q1156" i="5"/>
  <c r="P1156" i="5"/>
  <c r="R1155" i="5"/>
  <c r="Q1155" i="5"/>
  <c r="P1155" i="5"/>
  <c r="R1154" i="5"/>
  <c r="Q1154" i="5"/>
  <c r="P1154" i="5"/>
  <c r="R1153" i="5"/>
  <c r="Q1153" i="5"/>
  <c r="P1153" i="5"/>
  <c r="R1152" i="5"/>
  <c r="Q1152" i="5"/>
  <c r="P1152" i="5"/>
  <c r="R1151" i="5"/>
  <c r="Q1151" i="5"/>
  <c r="P1151" i="5"/>
  <c r="R1150" i="5"/>
  <c r="Q1150" i="5"/>
  <c r="P1150" i="5"/>
  <c r="R1149" i="5"/>
  <c r="Q1149" i="5"/>
  <c r="P1149" i="5"/>
  <c r="R1148" i="5"/>
  <c r="Q1148" i="5"/>
  <c r="P1148" i="5"/>
  <c r="R1147" i="5"/>
  <c r="Q1147" i="5"/>
  <c r="P1147" i="5"/>
  <c r="R1146" i="5"/>
  <c r="Q1146" i="5"/>
  <c r="P1146" i="5"/>
  <c r="R1145" i="5"/>
  <c r="Q1145" i="5"/>
  <c r="P1145" i="5"/>
  <c r="R1144" i="5"/>
  <c r="Q1144" i="5"/>
  <c r="P1144" i="5"/>
  <c r="R1143" i="5"/>
  <c r="Q1143" i="5"/>
  <c r="P1143" i="5"/>
  <c r="R1142" i="5"/>
  <c r="Q1142" i="5"/>
  <c r="P1142" i="5"/>
  <c r="R1141" i="5"/>
  <c r="Q1141" i="5"/>
  <c r="P1141" i="5"/>
  <c r="R1140" i="5"/>
  <c r="Q1140" i="5"/>
  <c r="P1140" i="5"/>
  <c r="R1139" i="5"/>
  <c r="Q1139" i="5"/>
  <c r="P1139" i="5"/>
  <c r="R1138" i="5"/>
  <c r="Q1138" i="5"/>
  <c r="P1138" i="5"/>
  <c r="R1137" i="5"/>
  <c r="Q1137" i="5"/>
  <c r="P1137" i="5"/>
  <c r="R1136" i="5"/>
  <c r="Q1136" i="5"/>
  <c r="P1136" i="5"/>
  <c r="R1135" i="5"/>
  <c r="Q1135" i="5"/>
  <c r="P1135" i="5"/>
  <c r="R1134" i="5"/>
  <c r="Q1134" i="5"/>
  <c r="P1134" i="5"/>
  <c r="R1133" i="5"/>
  <c r="Q1133" i="5"/>
  <c r="P1133" i="5"/>
  <c r="R1132" i="5"/>
  <c r="Q1132" i="5"/>
  <c r="P1132" i="5"/>
  <c r="R1131" i="5"/>
  <c r="Q1131" i="5"/>
  <c r="P1131" i="5"/>
  <c r="R1130" i="5"/>
  <c r="Q1130" i="5"/>
  <c r="P1130" i="5"/>
  <c r="R1129" i="5"/>
  <c r="Q1129" i="5"/>
  <c r="P1129" i="5"/>
  <c r="R1128" i="5"/>
  <c r="Q1128" i="5"/>
  <c r="P1128" i="5"/>
  <c r="R1127" i="5"/>
  <c r="Q1127" i="5"/>
  <c r="P1127" i="5"/>
  <c r="R1126" i="5"/>
  <c r="Q1126" i="5"/>
  <c r="P1126" i="5"/>
  <c r="R1125" i="5"/>
  <c r="Q1125" i="5"/>
  <c r="P1125" i="5"/>
  <c r="R1124" i="5"/>
  <c r="Q1124" i="5"/>
  <c r="P1124" i="5"/>
  <c r="R1123" i="5"/>
  <c r="Q1123" i="5"/>
  <c r="P1123" i="5"/>
  <c r="R1122" i="5"/>
  <c r="Q1122" i="5"/>
  <c r="P1122" i="5"/>
  <c r="R1121" i="5"/>
  <c r="Q1121" i="5"/>
  <c r="P1121" i="5"/>
  <c r="R1120" i="5"/>
  <c r="Q1120" i="5"/>
  <c r="P1120" i="5"/>
  <c r="R1119" i="5"/>
  <c r="Q1119" i="5"/>
  <c r="P1119" i="5"/>
  <c r="R1118" i="5"/>
  <c r="Q1118" i="5"/>
  <c r="P1118" i="5"/>
  <c r="R1117" i="5"/>
  <c r="Q1117" i="5"/>
  <c r="P1117" i="5"/>
  <c r="R1116" i="5"/>
  <c r="Q1116" i="5"/>
  <c r="P1116" i="5"/>
  <c r="R1115" i="5"/>
  <c r="Q1115" i="5"/>
  <c r="P1115" i="5"/>
  <c r="R1114" i="5"/>
  <c r="Q1114" i="5"/>
  <c r="P1114" i="5"/>
  <c r="R1113" i="5"/>
  <c r="Q1113" i="5"/>
  <c r="P1113" i="5"/>
  <c r="R1112" i="5"/>
  <c r="Q1112" i="5"/>
  <c r="P1112" i="5"/>
  <c r="R1111" i="5"/>
  <c r="Q1111" i="5"/>
  <c r="P1111" i="5"/>
  <c r="R1110" i="5"/>
  <c r="Q1110" i="5"/>
  <c r="P1110" i="5"/>
  <c r="R1109" i="5"/>
  <c r="Q1109" i="5"/>
  <c r="P1109" i="5"/>
  <c r="R1108" i="5"/>
  <c r="Q1108" i="5"/>
  <c r="P1108" i="5"/>
  <c r="R1107" i="5"/>
  <c r="Q1107" i="5"/>
  <c r="P1107" i="5"/>
  <c r="R1106" i="5"/>
  <c r="Q1106" i="5"/>
  <c r="P1106" i="5"/>
  <c r="R1105" i="5"/>
  <c r="Q1105" i="5"/>
  <c r="P1105" i="5"/>
  <c r="R1104" i="5"/>
  <c r="Q1104" i="5"/>
  <c r="P1104" i="5"/>
  <c r="R1103" i="5"/>
  <c r="Q1103" i="5"/>
  <c r="P1103" i="5"/>
  <c r="R1102" i="5"/>
  <c r="Q1102" i="5"/>
  <c r="P1102" i="5"/>
  <c r="R1101" i="5"/>
  <c r="Q1101" i="5"/>
  <c r="P1101" i="5"/>
  <c r="R1100" i="5"/>
  <c r="Q1100" i="5"/>
  <c r="P1100" i="5"/>
  <c r="R1099" i="5"/>
  <c r="Q1099" i="5"/>
  <c r="P1099" i="5"/>
  <c r="R1098" i="5"/>
  <c r="Q1098" i="5"/>
  <c r="P1098" i="5"/>
  <c r="R1097" i="5"/>
  <c r="Q1097" i="5"/>
  <c r="P1097" i="5"/>
  <c r="R1096" i="5"/>
  <c r="Q1096" i="5"/>
  <c r="P1096" i="5"/>
  <c r="R1095" i="5"/>
  <c r="Q1095" i="5"/>
  <c r="P1095" i="5"/>
  <c r="R1094" i="5"/>
  <c r="Q1094" i="5"/>
  <c r="P1094" i="5"/>
  <c r="R1093" i="5"/>
  <c r="Q1093" i="5"/>
  <c r="P1093" i="5"/>
  <c r="R1092" i="5"/>
  <c r="Q1092" i="5"/>
  <c r="P1092" i="5"/>
  <c r="R1091" i="5"/>
  <c r="Q1091" i="5"/>
  <c r="P1091" i="5"/>
  <c r="R1090" i="5"/>
  <c r="Q1090" i="5"/>
  <c r="P1090" i="5"/>
  <c r="R1089" i="5"/>
  <c r="Q1089" i="5"/>
  <c r="P1089" i="5"/>
  <c r="R1088" i="5"/>
  <c r="Q1088" i="5"/>
  <c r="P1088" i="5"/>
  <c r="R1087" i="5"/>
  <c r="Q1087" i="5"/>
  <c r="P1087" i="5"/>
  <c r="R1086" i="5"/>
  <c r="Q1086" i="5"/>
  <c r="P1086" i="5"/>
  <c r="R1085" i="5"/>
  <c r="Q1085" i="5"/>
  <c r="P1085" i="5"/>
  <c r="R1084" i="5"/>
  <c r="Q1084" i="5"/>
  <c r="P1084" i="5"/>
  <c r="R1083" i="5"/>
  <c r="Q1083" i="5"/>
  <c r="P1083" i="5"/>
  <c r="R1082" i="5"/>
  <c r="Q1082" i="5"/>
  <c r="P1082" i="5"/>
  <c r="R1081" i="5"/>
  <c r="Q1081" i="5"/>
  <c r="P1081" i="5"/>
  <c r="R1080" i="5"/>
  <c r="Q1080" i="5"/>
  <c r="P1080" i="5"/>
  <c r="R1079" i="5"/>
  <c r="Q1079" i="5"/>
  <c r="P1079" i="5"/>
  <c r="R1078" i="5"/>
  <c r="Q1078" i="5"/>
  <c r="P1078" i="5"/>
  <c r="R1077" i="5"/>
  <c r="Q1077" i="5"/>
  <c r="P1077" i="5"/>
  <c r="R1076" i="5"/>
  <c r="Q1076" i="5"/>
  <c r="P1076" i="5"/>
  <c r="R1075" i="5"/>
  <c r="Q1075" i="5"/>
  <c r="P1075" i="5"/>
  <c r="R1074" i="5"/>
  <c r="Q1074" i="5"/>
  <c r="P1074" i="5"/>
  <c r="R1073" i="5"/>
  <c r="Q1073" i="5"/>
  <c r="P1073" i="5"/>
  <c r="R1072" i="5"/>
  <c r="Q1072" i="5"/>
  <c r="P1072" i="5"/>
  <c r="R1071" i="5"/>
  <c r="Q1071" i="5"/>
  <c r="P1071" i="5"/>
  <c r="R1070" i="5"/>
  <c r="Q1070" i="5"/>
  <c r="P1070" i="5"/>
  <c r="R1069" i="5"/>
  <c r="Q1069" i="5"/>
  <c r="P1069" i="5"/>
  <c r="R1068" i="5"/>
  <c r="Q1068" i="5"/>
  <c r="P1068" i="5"/>
  <c r="R1067" i="5"/>
  <c r="Q1067" i="5"/>
  <c r="P1067" i="5"/>
  <c r="R1066" i="5"/>
  <c r="Q1066" i="5"/>
  <c r="P1066" i="5"/>
  <c r="R1065" i="5"/>
  <c r="Q1065" i="5"/>
  <c r="P1065" i="5"/>
  <c r="R1064" i="5"/>
  <c r="Q1064" i="5"/>
  <c r="P1064" i="5"/>
  <c r="R1063" i="5"/>
  <c r="Q1063" i="5"/>
  <c r="P1063" i="5"/>
  <c r="R1062" i="5"/>
  <c r="Q1062" i="5"/>
  <c r="P1062" i="5"/>
  <c r="R1061" i="5"/>
  <c r="Q1061" i="5"/>
  <c r="P1061" i="5"/>
  <c r="R1060" i="5"/>
  <c r="Q1060" i="5"/>
  <c r="P1060" i="5"/>
  <c r="R1059" i="5"/>
  <c r="Q1059" i="5"/>
  <c r="P1059" i="5"/>
  <c r="R1058" i="5"/>
  <c r="Q1058" i="5"/>
  <c r="P1058" i="5"/>
  <c r="R1057" i="5"/>
  <c r="Q1057" i="5"/>
  <c r="P1057" i="5"/>
  <c r="R1056" i="5"/>
  <c r="Q1056" i="5"/>
  <c r="P1056" i="5"/>
  <c r="R1055" i="5"/>
  <c r="Q1055" i="5"/>
  <c r="P1055" i="5"/>
  <c r="R1054" i="5"/>
  <c r="Q1054" i="5"/>
  <c r="P1054" i="5"/>
  <c r="R1053" i="5"/>
  <c r="Q1053" i="5"/>
  <c r="P1053" i="5"/>
  <c r="R1052" i="5"/>
  <c r="Q1052" i="5"/>
  <c r="P1052" i="5"/>
  <c r="R1051" i="5"/>
  <c r="Q1051" i="5"/>
  <c r="P1051" i="5"/>
  <c r="R1050" i="5"/>
  <c r="Q1050" i="5"/>
  <c r="P1050" i="5"/>
  <c r="R1049" i="5"/>
  <c r="Q1049" i="5"/>
  <c r="P1049" i="5"/>
  <c r="R1048" i="5"/>
  <c r="Q1048" i="5"/>
  <c r="P1048" i="5"/>
  <c r="R1047" i="5"/>
  <c r="Q1047" i="5"/>
  <c r="P1047" i="5"/>
  <c r="R1046" i="5"/>
  <c r="Q1046" i="5"/>
  <c r="P1046" i="5"/>
  <c r="R1045" i="5"/>
  <c r="Q1045" i="5"/>
  <c r="P1045" i="5"/>
  <c r="R1044" i="5"/>
  <c r="Q1044" i="5"/>
  <c r="P1044" i="5"/>
  <c r="R1043" i="5"/>
  <c r="Q1043" i="5"/>
  <c r="P1043" i="5"/>
  <c r="R1042" i="5"/>
  <c r="Q1042" i="5"/>
  <c r="P1042" i="5"/>
  <c r="R1041" i="5"/>
  <c r="Q1041" i="5"/>
  <c r="P1041" i="5"/>
  <c r="R1040" i="5"/>
  <c r="Q1040" i="5"/>
  <c r="P1040" i="5"/>
  <c r="R1039" i="5"/>
  <c r="Q1039" i="5"/>
  <c r="P1039" i="5"/>
  <c r="R1038" i="5"/>
  <c r="Q1038" i="5"/>
  <c r="P1038" i="5"/>
  <c r="R1037" i="5"/>
  <c r="Q1037" i="5"/>
  <c r="P1037" i="5"/>
  <c r="R1036" i="5"/>
  <c r="Q1036" i="5"/>
  <c r="P1036" i="5"/>
  <c r="R1035" i="5"/>
  <c r="Q1035" i="5"/>
  <c r="P1035" i="5"/>
  <c r="R1034" i="5"/>
  <c r="Q1034" i="5"/>
  <c r="P1034" i="5"/>
  <c r="R1033" i="5"/>
  <c r="Q1033" i="5"/>
  <c r="P1033" i="5"/>
  <c r="R1032" i="5"/>
  <c r="Q1032" i="5"/>
  <c r="P1032" i="5"/>
  <c r="R1031" i="5"/>
  <c r="Q1031" i="5"/>
  <c r="P1031" i="5"/>
  <c r="R1030" i="5"/>
  <c r="Q1030" i="5"/>
  <c r="P1030" i="5"/>
  <c r="R1029" i="5"/>
  <c r="Q1029" i="5"/>
  <c r="P1029" i="5"/>
  <c r="R1028" i="5"/>
  <c r="Q1028" i="5"/>
  <c r="P1028" i="5"/>
  <c r="R1027" i="5"/>
  <c r="Q1027" i="5"/>
  <c r="P1027" i="5"/>
  <c r="R1026" i="5"/>
  <c r="Q1026" i="5"/>
  <c r="P1026" i="5"/>
  <c r="R1025" i="5"/>
  <c r="Q1025" i="5"/>
  <c r="P1025" i="5"/>
  <c r="R1024" i="5"/>
  <c r="Q1024" i="5"/>
  <c r="P1024" i="5"/>
  <c r="R1023" i="5"/>
  <c r="Q1023" i="5"/>
  <c r="P1023" i="5"/>
  <c r="R1022" i="5"/>
  <c r="Q1022" i="5"/>
  <c r="P1022" i="5"/>
  <c r="R1021" i="5"/>
  <c r="Q1021" i="5"/>
  <c r="P1021" i="5"/>
  <c r="R1020" i="5"/>
  <c r="Q1020" i="5"/>
  <c r="P1020" i="5"/>
  <c r="R1019" i="5"/>
  <c r="Q1019" i="5"/>
  <c r="P1019" i="5"/>
  <c r="R1018" i="5"/>
  <c r="Q1018" i="5"/>
  <c r="P1018" i="5"/>
  <c r="R1017" i="5"/>
  <c r="Q1017" i="5"/>
  <c r="P1017" i="5"/>
  <c r="R1016" i="5"/>
  <c r="Q1016" i="5"/>
  <c r="P1016" i="5"/>
  <c r="R1015" i="5"/>
  <c r="Q1015" i="5"/>
  <c r="P1015" i="5"/>
  <c r="R1014" i="5"/>
  <c r="Q1014" i="5"/>
  <c r="P1014" i="5"/>
  <c r="R1013" i="5"/>
  <c r="Q1013" i="5"/>
  <c r="P1013" i="5"/>
  <c r="R1012" i="5"/>
  <c r="Q1012" i="5"/>
  <c r="P1012" i="5"/>
  <c r="R1011" i="5"/>
  <c r="Q1011" i="5"/>
  <c r="P1011" i="5"/>
  <c r="R1010" i="5"/>
  <c r="Q1010" i="5"/>
  <c r="P1010" i="5"/>
  <c r="R1009" i="5"/>
  <c r="Q1009" i="5"/>
  <c r="P1009" i="5"/>
  <c r="R1008" i="5"/>
  <c r="Q1008" i="5"/>
  <c r="P1008" i="5"/>
  <c r="R1007" i="5"/>
  <c r="Q1007" i="5"/>
  <c r="P1007" i="5"/>
  <c r="R1006" i="5"/>
  <c r="Q1006" i="5"/>
  <c r="P1006" i="5"/>
  <c r="R1005" i="5"/>
  <c r="Q1005" i="5"/>
  <c r="P1005" i="5"/>
  <c r="R1004" i="5"/>
  <c r="Q1004" i="5"/>
  <c r="P1004" i="5"/>
  <c r="R1003" i="5"/>
  <c r="Q1003" i="5"/>
  <c r="P1003" i="5"/>
  <c r="R1002" i="5"/>
  <c r="Q1002" i="5"/>
  <c r="P1002" i="5"/>
  <c r="R1001" i="5"/>
  <c r="Q1001" i="5"/>
  <c r="P1001" i="5"/>
  <c r="R1000" i="5"/>
  <c r="Q1000" i="5"/>
  <c r="P1000" i="5"/>
  <c r="R999" i="5"/>
  <c r="Q999" i="5"/>
  <c r="P999" i="5"/>
  <c r="R998" i="5"/>
  <c r="Q998" i="5"/>
  <c r="P998" i="5"/>
  <c r="R997" i="5"/>
  <c r="Q997" i="5"/>
  <c r="P997" i="5"/>
  <c r="R996" i="5"/>
  <c r="Q996" i="5"/>
  <c r="P996" i="5"/>
  <c r="R995" i="5"/>
  <c r="Q995" i="5"/>
  <c r="P995" i="5"/>
  <c r="R994" i="5"/>
  <c r="Q994" i="5"/>
  <c r="P994" i="5"/>
  <c r="R993" i="5"/>
  <c r="Q993" i="5"/>
  <c r="P993" i="5"/>
  <c r="R992" i="5"/>
  <c r="Q992" i="5"/>
  <c r="P992" i="5"/>
  <c r="R991" i="5"/>
  <c r="Q991" i="5"/>
  <c r="P991" i="5"/>
  <c r="R990" i="5"/>
  <c r="Q990" i="5"/>
  <c r="P990" i="5"/>
  <c r="R989" i="5"/>
  <c r="Q989" i="5"/>
  <c r="P989" i="5"/>
  <c r="R988" i="5"/>
  <c r="Q988" i="5"/>
  <c r="P988" i="5"/>
  <c r="R987" i="5"/>
  <c r="Q987" i="5"/>
  <c r="P987" i="5"/>
  <c r="R986" i="5"/>
  <c r="Q986" i="5"/>
  <c r="P986" i="5"/>
  <c r="R985" i="5"/>
  <c r="Q985" i="5"/>
  <c r="P985" i="5"/>
  <c r="R984" i="5"/>
  <c r="Q984" i="5"/>
  <c r="P984" i="5"/>
  <c r="R983" i="5"/>
  <c r="Q983" i="5"/>
  <c r="P983" i="5"/>
  <c r="R982" i="5"/>
  <c r="Q982" i="5"/>
  <c r="P982" i="5"/>
  <c r="R981" i="5"/>
  <c r="Q981" i="5"/>
  <c r="P981" i="5"/>
  <c r="R980" i="5"/>
  <c r="Q980" i="5"/>
  <c r="P980" i="5"/>
  <c r="R979" i="5"/>
  <c r="Q979" i="5"/>
  <c r="P979" i="5"/>
  <c r="R978" i="5"/>
  <c r="Q978" i="5"/>
  <c r="P978" i="5"/>
  <c r="R977" i="5"/>
  <c r="Q977" i="5"/>
  <c r="P977" i="5"/>
  <c r="R976" i="5"/>
  <c r="Q976" i="5"/>
  <c r="P976" i="5"/>
  <c r="R975" i="5"/>
  <c r="Q975" i="5"/>
  <c r="P975" i="5"/>
  <c r="R974" i="5"/>
  <c r="Q974" i="5"/>
  <c r="P974" i="5"/>
  <c r="R973" i="5"/>
  <c r="Q973" i="5"/>
  <c r="P973" i="5"/>
  <c r="R972" i="5"/>
  <c r="Q972" i="5"/>
  <c r="P972" i="5"/>
  <c r="R971" i="5"/>
  <c r="Q971" i="5"/>
  <c r="P971" i="5"/>
  <c r="R970" i="5"/>
  <c r="Q970" i="5"/>
  <c r="P970" i="5"/>
  <c r="R969" i="5"/>
  <c r="Q969" i="5"/>
  <c r="P969" i="5"/>
  <c r="R968" i="5"/>
  <c r="Q968" i="5"/>
  <c r="P968" i="5"/>
  <c r="R967" i="5"/>
  <c r="Q967" i="5"/>
  <c r="P967" i="5"/>
  <c r="R966" i="5"/>
  <c r="Q966" i="5"/>
  <c r="P966" i="5"/>
  <c r="R965" i="5"/>
  <c r="Q965" i="5"/>
  <c r="P965" i="5"/>
  <c r="R964" i="5"/>
  <c r="Q964" i="5"/>
  <c r="P964" i="5"/>
  <c r="R963" i="5"/>
  <c r="Q963" i="5"/>
  <c r="P963" i="5"/>
  <c r="R962" i="5"/>
  <c r="Q962" i="5"/>
  <c r="P962" i="5"/>
  <c r="R961" i="5"/>
  <c r="Q961" i="5"/>
  <c r="P961" i="5"/>
  <c r="R960" i="5"/>
  <c r="Q960" i="5"/>
  <c r="P960" i="5"/>
  <c r="R959" i="5"/>
  <c r="Q959" i="5"/>
  <c r="P959" i="5"/>
  <c r="R958" i="5"/>
  <c r="Q958" i="5"/>
  <c r="P958" i="5"/>
  <c r="R957" i="5"/>
  <c r="Q957" i="5"/>
  <c r="P957" i="5"/>
  <c r="R956" i="5"/>
  <c r="Q956" i="5"/>
  <c r="P956" i="5"/>
  <c r="R955" i="5"/>
  <c r="Q955" i="5"/>
  <c r="P955" i="5"/>
  <c r="R954" i="5"/>
  <c r="Q954" i="5"/>
  <c r="P954" i="5"/>
  <c r="R953" i="5"/>
  <c r="Q953" i="5"/>
  <c r="P953" i="5"/>
  <c r="R952" i="5"/>
  <c r="Q952" i="5"/>
  <c r="P952" i="5"/>
  <c r="R951" i="5"/>
  <c r="Q951" i="5"/>
  <c r="P951" i="5"/>
  <c r="R950" i="5"/>
  <c r="Q950" i="5"/>
  <c r="P950" i="5"/>
  <c r="R949" i="5"/>
  <c r="Q949" i="5"/>
  <c r="P949" i="5"/>
  <c r="R948" i="5"/>
  <c r="Q948" i="5"/>
  <c r="P948" i="5"/>
  <c r="R947" i="5"/>
  <c r="Q947" i="5"/>
  <c r="P947" i="5"/>
  <c r="R946" i="5"/>
  <c r="Q946" i="5"/>
  <c r="P946" i="5"/>
  <c r="R945" i="5"/>
  <c r="Q945" i="5"/>
  <c r="P945" i="5"/>
  <c r="R944" i="5"/>
  <c r="Q944" i="5"/>
  <c r="P944" i="5"/>
  <c r="R943" i="5"/>
  <c r="Q943" i="5"/>
  <c r="P943" i="5"/>
  <c r="R942" i="5"/>
  <c r="Q942" i="5"/>
  <c r="P942" i="5"/>
  <c r="R941" i="5"/>
  <c r="Q941" i="5"/>
  <c r="P941" i="5"/>
  <c r="R940" i="5"/>
  <c r="Q940" i="5"/>
  <c r="P940" i="5"/>
  <c r="R939" i="5"/>
  <c r="Q939" i="5"/>
  <c r="P939" i="5"/>
  <c r="R938" i="5"/>
  <c r="Q938" i="5"/>
  <c r="P938" i="5"/>
  <c r="R937" i="5"/>
  <c r="Q937" i="5"/>
  <c r="P937" i="5"/>
  <c r="R936" i="5"/>
  <c r="Q936" i="5"/>
  <c r="P936" i="5"/>
  <c r="R935" i="5"/>
  <c r="Q935" i="5"/>
  <c r="P935" i="5"/>
  <c r="R934" i="5"/>
  <c r="Q934" i="5"/>
  <c r="P934" i="5"/>
  <c r="R933" i="5"/>
  <c r="Q933" i="5"/>
  <c r="P933" i="5"/>
  <c r="R932" i="5"/>
  <c r="Q932" i="5"/>
  <c r="P932" i="5"/>
  <c r="R931" i="5"/>
  <c r="Q931" i="5"/>
  <c r="P931" i="5"/>
  <c r="R930" i="5"/>
  <c r="Q930" i="5"/>
  <c r="P930" i="5"/>
  <c r="R929" i="5"/>
  <c r="Q929" i="5"/>
  <c r="P929" i="5"/>
  <c r="R928" i="5"/>
  <c r="Q928" i="5"/>
  <c r="P928" i="5"/>
  <c r="R927" i="5"/>
  <c r="Q927" i="5"/>
  <c r="P927" i="5"/>
  <c r="R926" i="5"/>
  <c r="Q926" i="5"/>
  <c r="P926" i="5"/>
  <c r="R925" i="5"/>
  <c r="Q925" i="5"/>
  <c r="P925" i="5"/>
  <c r="R924" i="5"/>
  <c r="Q924" i="5"/>
  <c r="P924" i="5"/>
  <c r="R923" i="5"/>
  <c r="Q923" i="5"/>
  <c r="P923" i="5"/>
  <c r="R922" i="5"/>
  <c r="Q922" i="5"/>
  <c r="P922" i="5"/>
  <c r="R921" i="5"/>
  <c r="Q921" i="5"/>
  <c r="P921" i="5"/>
  <c r="R920" i="5"/>
  <c r="Q920" i="5"/>
  <c r="P920" i="5"/>
  <c r="R919" i="5"/>
  <c r="Q919" i="5"/>
  <c r="P919" i="5"/>
  <c r="R918" i="5"/>
  <c r="Q918" i="5"/>
  <c r="P918" i="5"/>
  <c r="R917" i="5"/>
  <c r="Q917" i="5"/>
  <c r="P917" i="5"/>
  <c r="R916" i="5"/>
  <c r="Q916" i="5"/>
  <c r="P916" i="5"/>
  <c r="R915" i="5"/>
  <c r="Q915" i="5"/>
  <c r="P915" i="5"/>
  <c r="R914" i="5"/>
  <c r="Q914" i="5"/>
  <c r="P914" i="5"/>
  <c r="R913" i="5"/>
  <c r="Q913" i="5"/>
  <c r="P913" i="5"/>
  <c r="R912" i="5"/>
  <c r="Q912" i="5"/>
  <c r="P912" i="5"/>
  <c r="R911" i="5"/>
  <c r="Q911" i="5"/>
  <c r="P911" i="5"/>
  <c r="R910" i="5"/>
  <c r="Q910" i="5"/>
  <c r="P910" i="5"/>
  <c r="R909" i="5"/>
  <c r="Q909" i="5"/>
  <c r="P909" i="5"/>
  <c r="R908" i="5"/>
  <c r="Q908" i="5"/>
  <c r="P908" i="5"/>
  <c r="R907" i="5"/>
  <c r="Q907" i="5"/>
  <c r="P907" i="5"/>
  <c r="R906" i="5"/>
  <c r="Q906" i="5"/>
  <c r="P906" i="5"/>
  <c r="R905" i="5"/>
  <c r="Q905" i="5"/>
  <c r="P905" i="5"/>
  <c r="R904" i="5"/>
  <c r="Q904" i="5"/>
  <c r="P904" i="5"/>
  <c r="R903" i="5"/>
  <c r="Q903" i="5"/>
  <c r="P903" i="5"/>
  <c r="R902" i="5"/>
  <c r="Q902" i="5"/>
  <c r="P902" i="5"/>
  <c r="R901" i="5"/>
  <c r="Q901" i="5"/>
  <c r="P901" i="5"/>
  <c r="R900" i="5"/>
  <c r="Q900" i="5"/>
  <c r="P900" i="5"/>
  <c r="R899" i="5"/>
  <c r="Q899" i="5"/>
  <c r="P899" i="5"/>
  <c r="R898" i="5"/>
  <c r="Q898" i="5"/>
  <c r="P898" i="5"/>
  <c r="R897" i="5"/>
  <c r="Q897" i="5"/>
  <c r="P897" i="5"/>
  <c r="R896" i="5"/>
  <c r="Q896" i="5"/>
  <c r="P896" i="5"/>
  <c r="R895" i="5"/>
  <c r="Q895" i="5"/>
  <c r="P895" i="5"/>
  <c r="R894" i="5"/>
  <c r="Q894" i="5"/>
  <c r="P894" i="5"/>
  <c r="R893" i="5"/>
  <c r="Q893" i="5"/>
  <c r="P893" i="5"/>
  <c r="R892" i="5"/>
  <c r="Q892" i="5"/>
  <c r="P892" i="5"/>
  <c r="R891" i="5"/>
  <c r="Q891" i="5"/>
  <c r="P891" i="5"/>
  <c r="R890" i="5"/>
  <c r="Q890" i="5"/>
  <c r="P890" i="5"/>
  <c r="R889" i="5"/>
  <c r="Q889" i="5"/>
  <c r="P889" i="5"/>
  <c r="R888" i="5"/>
  <c r="Q888" i="5"/>
  <c r="P888" i="5"/>
  <c r="R887" i="5"/>
  <c r="Q887" i="5"/>
  <c r="P887" i="5"/>
  <c r="R886" i="5"/>
  <c r="Q886" i="5"/>
  <c r="P886" i="5"/>
  <c r="R885" i="5"/>
  <c r="Q885" i="5"/>
  <c r="P885" i="5"/>
  <c r="R884" i="5"/>
  <c r="Q884" i="5"/>
  <c r="P884" i="5"/>
  <c r="R883" i="5"/>
  <c r="Q883" i="5"/>
  <c r="P883" i="5"/>
  <c r="R882" i="5"/>
  <c r="Q882" i="5"/>
  <c r="P882" i="5"/>
  <c r="R881" i="5"/>
  <c r="Q881" i="5"/>
  <c r="P881" i="5"/>
  <c r="R880" i="5"/>
  <c r="Q880" i="5"/>
  <c r="P880" i="5"/>
  <c r="R879" i="5"/>
  <c r="Q879" i="5"/>
  <c r="P879" i="5"/>
  <c r="R878" i="5"/>
  <c r="Q878" i="5"/>
  <c r="P878" i="5"/>
  <c r="R877" i="5"/>
  <c r="Q877" i="5"/>
  <c r="P877" i="5"/>
  <c r="R876" i="5"/>
  <c r="Q876" i="5"/>
  <c r="P876" i="5"/>
  <c r="R875" i="5"/>
  <c r="Q875" i="5"/>
  <c r="P875" i="5"/>
  <c r="R874" i="5"/>
  <c r="Q874" i="5"/>
  <c r="P874" i="5"/>
  <c r="R873" i="5"/>
  <c r="Q873" i="5"/>
  <c r="P873" i="5"/>
  <c r="R872" i="5"/>
  <c r="Q872" i="5"/>
  <c r="P872" i="5"/>
  <c r="R871" i="5"/>
  <c r="Q871" i="5"/>
  <c r="P871" i="5"/>
  <c r="R870" i="5"/>
  <c r="Q870" i="5"/>
  <c r="P870" i="5"/>
  <c r="R869" i="5"/>
  <c r="Q869" i="5"/>
  <c r="P869" i="5"/>
  <c r="R868" i="5"/>
  <c r="Q868" i="5"/>
  <c r="P868" i="5"/>
  <c r="R867" i="5"/>
  <c r="Q867" i="5"/>
  <c r="P867" i="5"/>
  <c r="R866" i="5"/>
  <c r="Q866" i="5"/>
  <c r="P866" i="5"/>
  <c r="R865" i="5"/>
  <c r="Q865" i="5"/>
  <c r="P865" i="5"/>
  <c r="R864" i="5"/>
  <c r="Q864" i="5"/>
  <c r="P864" i="5"/>
  <c r="R863" i="5"/>
  <c r="Q863" i="5"/>
  <c r="P863" i="5"/>
  <c r="R862" i="5"/>
  <c r="Q862" i="5"/>
  <c r="P862" i="5"/>
  <c r="R861" i="5"/>
  <c r="Q861" i="5"/>
  <c r="P861" i="5"/>
  <c r="R860" i="5"/>
  <c r="Q860" i="5"/>
  <c r="P860" i="5"/>
  <c r="R859" i="5"/>
  <c r="Q859" i="5"/>
  <c r="P859" i="5"/>
  <c r="R858" i="5"/>
  <c r="Q858" i="5"/>
  <c r="P858" i="5"/>
  <c r="R857" i="5"/>
  <c r="Q857" i="5"/>
  <c r="P857" i="5"/>
  <c r="R856" i="5"/>
  <c r="Q856" i="5"/>
  <c r="P856" i="5"/>
  <c r="R855" i="5"/>
  <c r="Q855" i="5"/>
  <c r="P855" i="5"/>
  <c r="R854" i="5"/>
  <c r="Q854" i="5"/>
  <c r="P854" i="5"/>
  <c r="R853" i="5"/>
  <c r="Q853" i="5"/>
  <c r="P853" i="5"/>
  <c r="R852" i="5"/>
  <c r="Q852" i="5"/>
  <c r="P852" i="5"/>
  <c r="R851" i="5"/>
  <c r="Q851" i="5"/>
  <c r="P851" i="5"/>
  <c r="R850" i="5"/>
  <c r="Q850" i="5"/>
  <c r="P850" i="5"/>
  <c r="R849" i="5"/>
  <c r="Q849" i="5"/>
  <c r="P849" i="5"/>
  <c r="R848" i="5"/>
  <c r="Q848" i="5"/>
  <c r="P848" i="5"/>
  <c r="R847" i="5"/>
  <c r="Q847" i="5"/>
  <c r="P847" i="5"/>
  <c r="R846" i="5"/>
  <c r="Q846" i="5"/>
  <c r="P846" i="5"/>
  <c r="R845" i="5"/>
  <c r="Q845" i="5"/>
  <c r="P845" i="5"/>
  <c r="R844" i="5"/>
  <c r="Q844" i="5"/>
  <c r="P844" i="5"/>
  <c r="R843" i="5"/>
  <c r="Q843" i="5"/>
  <c r="P843" i="5"/>
  <c r="R842" i="5"/>
  <c r="Q842" i="5"/>
  <c r="P842" i="5"/>
  <c r="R841" i="5"/>
  <c r="Q841" i="5"/>
  <c r="P841" i="5"/>
  <c r="R840" i="5"/>
  <c r="Q840" i="5"/>
  <c r="P840" i="5"/>
  <c r="R839" i="5"/>
  <c r="Q839" i="5"/>
  <c r="P839" i="5"/>
  <c r="R838" i="5"/>
  <c r="Q838" i="5"/>
  <c r="P838" i="5"/>
  <c r="R837" i="5"/>
  <c r="Q837" i="5"/>
  <c r="P837" i="5"/>
  <c r="R836" i="5"/>
  <c r="Q836" i="5"/>
  <c r="P836" i="5"/>
  <c r="R835" i="5"/>
  <c r="Q835" i="5"/>
  <c r="P835" i="5"/>
  <c r="R834" i="5"/>
  <c r="Q834" i="5"/>
  <c r="P834" i="5"/>
  <c r="R833" i="5"/>
  <c r="Q833" i="5"/>
  <c r="P833" i="5"/>
  <c r="R832" i="5"/>
  <c r="Q832" i="5"/>
  <c r="P832" i="5"/>
  <c r="R831" i="5"/>
  <c r="Q831" i="5"/>
  <c r="P831" i="5"/>
  <c r="R830" i="5"/>
  <c r="Q830" i="5"/>
  <c r="P830" i="5"/>
  <c r="R829" i="5"/>
  <c r="Q829" i="5"/>
  <c r="P829" i="5"/>
  <c r="R828" i="5"/>
  <c r="Q828" i="5"/>
  <c r="P828" i="5"/>
  <c r="R827" i="5"/>
  <c r="Q827" i="5"/>
  <c r="P827" i="5"/>
  <c r="R826" i="5"/>
  <c r="Q826" i="5"/>
  <c r="P826" i="5"/>
  <c r="R825" i="5"/>
  <c r="Q825" i="5"/>
  <c r="P825" i="5"/>
  <c r="R824" i="5"/>
  <c r="Q824" i="5"/>
  <c r="P824" i="5"/>
  <c r="R823" i="5"/>
  <c r="Q823" i="5"/>
  <c r="P823" i="5"/>
  <c r="R822" i="5"/>
  <c r="Q822" i="5"/>
  <c r="P822" i="5"/>
  <c r="R821" i="5"/>
  <c r="Q821" i="5"/>
  <c r="P821" i="5"/>
  <c r="R820" i="5"/>
  <c r="Q820" i="5"/>
  <c r="P820" i="5"/>
  <c r="R819" i="5"/>
  <c r="Q819" i="5"/>
  <c r="P819" i="5"/>
  <c r="R818" i="5"/>
  <c r="Q818" i="5"/>
  <c r="P818" i="5"/>
  <c r="R817" i="5"/>
  <c r="Q817" i="5"/>
  <c r="P817" i="5"/>
  <c r="R816" i="5"/>
  <c r="Q816" i="5"/>
  <c r="P816" i="5"/>
  <c r="R815" i="5"/>
  <c r="Q815" i="5"/>
  <c r="P815" i="5"/>
  <c r="R814" i="5"/>
  <c r="Q814" i="5"/>
  <c r="P814" i="5"/>
  <c r="R813" i="5"/>
  <c r="Q813" i="5"/>
  <c r="P813" i="5"/>
  <c r="R812" i="5"/>
  <c r="Q812" i="5"/>
  <c r="P812" i="5"/>
  <c r="R811" i="5"/>
  <c r="Q811" i="5"/>
  <c r="P811" i="5"/>
  <c r="R810" i="5"/>
  <c r="Q810" i="5"/>
  <c r="P810" i="5"/>
  <c r="R809" i="5"/>
  <c r="Q809" i="5"/>
  <c r="P809" i="5"/>
  <c r="R808" i="5"/>
  <c r="Q808" i="5"/>
  <c r="P808" i="5"/>
  <c r="R807" i="5"/>
  <c r="Q807" i="5"/>
  <c r="P807" i="5"/>
  <c r="R806" i="5"/>
  <c r="Q806" i="5"/>
  <c r="P806" i="5"/>
  <c r="R805" i="5"/>
  <c r="Q805" i="5"/>
  <c r="P805" i="5"/>
  <c r="R804" i="5"/>
  <c r="Q804" i="5"/>
  <c r="P804" i="5"/>
  <c r="R803" i="5"/>
  <c r="Q803" i="5"/>
  <c r="P803" i="5"/>
  <c r="R802" i="5"/>
  <c r="Q802" i="5"/>
  <c r="P802" i="5"/>
  <c r="R801" i="5"/>
  <c r="Q801" i="5"/>
  <c r="P801" i="5"/>
  <c r="R800" i="5"/>
  <c r="Q800" i="5"/>
  <c r="P800" i="5"/>
  <c r="R799" i="5"/>
  <c r="Q799" i="5"/>
  <c r="P799" i="5"/>
  <c r="R798" i="5"/>
  <c r="Q798" i="5"/>
  <c r="P798" i="5"/>
  <c r="R797" i="5"/>
  <c r="Q797" i="5"/>
  <c r="P797" i="5"/>
  <c r="R796" i="5"/>
  <c r="Q796" i="5"/>
  <c r="P796" i="5"/>
  <c r="R795" i="5"/>
  <c r="Q795" i="5"/>
  <c r="P795" i="5"/>
  <c r="R794" i="5"/>
  <c r="Q794" i="5"/>
  <c r="P794" i="5"/>
  <c r="R793" i="5"/>
  <c r="Q793" i="5"/>
  <c r="P793" i="5"/>
  <c r="R792" i="5"/>
  <c r="Q792" i="5"/>
  <c r="P792" i="5"/>
  <c r="R791" i="5"/>
  <c r="Q791" i="5"/>
  <c r="P791" i="5"/>
  <c r="R790" i="5"/>
  <c r="Q790" i="5"/>
  <c r="P790" i="5"/>
  <c r="R789" i="5"/>
  <c r="Q789" i="5"/>
  <c r="P789" i="5"/>
  <c r="R788" i="5"/>
  <c r="Q788" i="5"/>
  <c r="P788" i="5"/>
  <c r="R787" i="5"/>
  <c r="Q787" i="5"/>
  <c r="P787" i="5"/>
  <c r="R786" i="5"/>
  <c r="Q786" i="5"/>
  <c r="P786" i="5"/>
  <c r="R785" i="5"/>
  <c r="Q785" i="5"/>
  <c r="P785" i="5"/>
  <c r="R784" i="5"/>
  <c r="Q784" i="5"/>
  <c r="P784" i="5"/>
  <c r="R783" i="5"/>
  <c r="Q783" i="5"/>
  <c r="P783" i="5"/>
  <c r="R782" i="5"/>
  <c r="Q782" i="5"/>
  <c r="P782" i="5"/>
  <c r="R781" i="5"/>
  <c r="Q781" i="5"/>
  <c r="P781" i="5"/>
  <c r="R780" i="5"/>
  <c r="Q780" i="5"/>
  <c r="P780" i="5"/>
  <c r="R779" i="5"/>
  <c r="Q779" i="5"/>
  <c r="P779" i="5"/>
  <c r="R778" i="5"/>
  <c r="Q778" i="5"/>
  <c r="P778" i="5"/>
  <c r="R777" i="5"/>
  <c r="Q777" i="5"/>
  <c r="P777" i="5"/>
  <c r="R776" i="5"/>
  <c r="Q776" i="5"/>
  <c r="P776" i="5"/>
  <c r="R775" i="5"/>
  <c r="Q775" i="5"/>
  <c r="P775" i="5"/>
  <c r="R774" i="5"/>
  <c r="Q774" i="5"/>
  <c r="P774" i="5"/>
  <c r="R773" i="5"/>
  <c r="Q773" i="5"/>
  <c r="P773" i="5"/>
  <c r="R772" i="5"/>
  <c r="Q772" i="5"/>
  <c r="P772" i="5"/>
  <c r="R771" i="5"/>
  <c r="Q771" i="5"/>
  <c r="P771" i="5"/>
  <c r="R770" i="5"/>
  <c r="Q770" i="5"/>
  <c r="P770" i="5"/>
  <c r="R769" i="5"/>
  <c r="Q769" i="5"/>
  <c r="P769" i="5"/>
  <c r="R768" i="5"/>
  <c r="Q768" i="5"/>
  <c r="P768" i="5"/>
  <c r="R767" i="5"/>
  <c r="Q767" i="5"/>
  <c r="P767" i="5"/>
  <c r="R766" i="5"/>
  <c r="Q766" i="5"/>
  <c r="P766" i="5"/>
  <c r="R765" i="5"/>
  <c r="Q765" i="5"/>
  <c r="P765" i="5"/>
  <c r="R764" i="5"/>
  <c r="Q764" i="5"/>
  <c r="P764" i="5"/>
  <c r="R763" i="5"/>
  <c r="Q763" i="5"/>
  <c r="P763" i="5"/>
  <c r="R762" i="5"/>
  <c r="Q762" i="5"/>
  <c r="P762" i="5"/>
  <c r="R761" i="5"/>
  <c r="Q761" i="5"/>
  <c r="P761" i="5"/>
  <c r="R760" i="5"/>
  <c r="Q760" i="5"/>
  <c r="P760" i="5"/>
  <c r="R759" i="5"/>
  <c r="Q759" i="5"/>
  <c r="P759" i="5"/>
  <c r="R758" i="5"/>
  <c r="Q758" i="5"/>
  <c r="P758" i="5"/>
  <c r="R757" i="5"/>
  <c r="Q757" i="5"/>
  <c r="P757" i="5"/>
  <c r="R756" i="5"/>
  <c r="Q756" i="5"/>
  <c r="P756" i="5"/>
  <c r="R755" i="5"/>
  <c r="Q755" i="5"/>
  <c r="P755" i="5"/>
  <c r="R754" i="5"/>
  <c r="Q754" i="5"/>
  <c r="P754" i="5"/>
  <c r="R753" i="5"/>
  <c r="Q753" i="5"/>
  <c r="P753" i="5"/>
  <c r="R752" i="5"/>
  <c r="Q752" i="5"/>
  <c r="P752" i="5"/>
  <c r="R751" i="5"/>
  <c r="Q751" i="5"/>
  <c r="P751" i="5"/>
  <c r="R750" i="5"/>
  <c r="Q750" i="5"/>
  <c r="P750" i="5"/>
  <c r="R749" i="5"/>
  <c r="Q749" i="5"/>
  <c r="P749" i="5"/>
  <c r="R748" i="5"/>
  <c r="Q748" i="5"/>
  <c r="P748" i="5"/>
  <c r="R747" i="5"/>
  <c r="Q747" i="5"/>
  <c r="P747" i="5"/>
  <c r="R746" i="5"/>
  <c r="Q746" i="5"/>
  <c r="P746" i="5"/>
  <c r="R745" i="5"/>
  <c r="Q745" i="5"/>
  <c r="P745" i="5"/>
  <c r="R744" i="5"/>
  <c r="Q744" i="5"/>
  <c r="P744" i="5"/>
  <c r="R743" i="5"/>
  <c r="Q743" i="5"/>
  <c r="P743" i="5"/>
  <c r="R742" i="5"/>
  <c r="Q742" i="5"/>
  <c r="P742" i="5"/>
  <c r="R741" i="5"/>
  <c r="Q741" i="5"/>
  <c r="P741" i="5"/>
  <c r="R740" i="5"/>
  <c r="Q740" i="5"/>
  <c r="P740" i="5"/>
  <c r="R739" i="5"/>
  <c r="Q739" i="5"/>
  <c r="P739" i="5"/>
  <c r="R738" i="5"/>
  <c r="Q738" i="5"/>
  <c r="P738" i="5"/>
  <c r="R737" i="5"/>
  <c r="Q737" i="5"/>
  <c r="P737" i="5"/>
  <c r="R736" i="5"/>
  <c r="Q736" i="5"/>
  <c r="P736" i="5"/>
  <c r="R735" i="5"/>
  <c r="Q735" i="5"/>
  <c r="P735" i="5"/>
  <c r="R734" i="5"/>
  <c r="Q734" i="5"/>
  <c r="P734" i="5"/>
  <c r="R733" i="5"/>
  <c r="Q733" i="5"/>
  <c r="P733" i="5"/>
  <c r="R732" i="5"/>
  <c r="Q732" i="5"/>
  <c r="P732" i="5"/>
  <c r="R731" i="5"/>
  <c r="Q731" i="5"/>
  <c r="P731" i="5"/>
  <c r="R730" i="5"/>
  <c r="Q730" i="5"/>
  <c r="P730" i="5"/>
  <c r="R729" i="5"/>
  <c r="Q729" i="5"/>
  <c r="P729" i="5"/>
  <c r="R728" i="5"/>
  <c r="Q728" i="5"/>
  <c r="P728" i="5"/>
  <c r="R727" i="5"/>
  <c r="Q727" i="5"/>
  <c r="P727" i="5"/>
  <c r="R726" i="5"/>
  <c r="Q726" i="5"/>
  <c r="P726" i="5"/>
  <c r="R725" i="5"/>
  <c r="Q725" i="5"/>
  <c r="P725" i="5"/>
  <c r="R724" i="5"/>
  <c r="Q724" i="5"/>
  <c r="P724" i="5"/>
  <c r="R723" i="5"/>
  <c r="Q723" i="5"/>
  <c r="P723" i="5"/>
  <c r="R722" i="5"/>
  <c r="Q722" i="5"/>
  <c r="P722" i="5"/>
  <c r="R721" i="5"/>
  <c r="Q721" i="5"/>
  <c r="P721" i="5"/>
  <c r="R720" i="5"/>
  <c r="Q720" i="5"/>
  <c r="P720" i="5"/>
  <c r="R719" i="5"/>
  <c r="Q719" i="5"/>
  <c r="P719" i="5"/>
  <c r="R718" i="5"/>
  <c r="Q718" i="5"/>
  <c r="P718" i="5"/>
  <c r="R717" i="5"/>
  <c r="Q717" i="5"/>
  <c r="P717" i="5"/>
  <c r="R716" i="5"/>
  <c r="Q716" i="5"/>
  <c r="P716" i="5"/>
  <c r="R715" i="5"/>
  <c r="Q715" i="5"/>
  <c r="P715" i="5"/>
  <c r="R714" i="5"/>
  <c r="Q714" i="5"/>
  <c r="P714" i="5"/>
  <c r="R713" i="5"/>
  <c r="Q713" i="5"/>
  <c r="P713" i="5"/>
  <c r="R712" i="5"/>
  <c r="Q712" i="5"/>
  <c r="P712" i="5"/>
  <c r="R711" i="5"/>
  <c r="Q711" i="5"/>
  <c r="P711" i="5"/>
  <c r="R710" i="5"/>
  <c r="Q710" i="5"/>
  <c r="P710" i="5"/>
  <c r="R709" i="5"/>
  <c r="Q709" i="5"/>
  <c r="P709" i="5"/>
  <c r="R708" i="5"/>
  <c r="Q708" i="5"/>
  <c r="P708" i="5"/>
  <c r="R707" i="5"/>
  <c r="Q707" i="5"/>
  <c r="P707" i="5"/>
  <c r="R706" i="5"/>
  <c r="Q706" i="5"/>
  <c r="P706" i="5"/>
  <c r="R705" i="5"/>
  <c r="Q705" i="5"/>
  <c r="P705" i="5"/>
  <c r="R704" i="5"/>
  <c r="Q704" i="5"/>
  <c r="P704" i="5"/>
  <c r="R703" i="5"/>
  <c r="Q703" i="5"/>
  <c r="P703" i="5"/>
  <c r="R702" i="5"/>
  <c r="Q702" i="5"/>
  <c r="P702" i="5"/>
  <c r="R701" i="5"/>
  <c r="Q701" i="5"/>
  <c r="P701" i="5"/>
  <c r="R700" i="5"/>
  <c r="Q700" i="5"/>
  <c r="P700" i="5"/>
  <c r="R699" i="5"/>
  <c r="Q699" i="5"/>
  <c r="P699" i="5"/>
  <c r="R698" i="5"/>
  <c r="Q698" i="5"/>
  <c r="P698" i="5"/>
  <c r="R697" i="5"/>
  <c r="Q697" i="5"/>
  <c r="P697" i="5"/>
  <c r="R696" i="5"/>
  <c r="Q696" i="5"/>
  <c r="P696" i="5"/>
  <c r="R695" i="5"/>
  <c r="Q695" i="5"/>
  <c r="P695" i="5"/>
  <c r="R694" i="5"/>
  <c r="Q694" i="5"/>
  <c r="P694" i="5"/>
  <c r="R693" i="5"/>
  <c r="Q693" i="5"/>
  <c r="P693" i="5"/>
  <c r="R692" i="5"/>
  <c r="Q692" i="5"/>
  <c r="P692" i="5"/>
  <c r="R691" i="5"/>
  <c r="Q691" i="5"/>
  <c r="P691" i="5"/>
  <c r="R690" i="5"/>
  <c r="Q690" i="5"/>
  <c r="P690" i="5"/>
  <c r="R689" i="5"/>
  <c r="Q689" i="5"/>
  <c r="P689" i="5"/>
  <c r="R688" i="5"/>
  <c r="Q688" i="5"/>
  <c r="P688" i="5"/>
  <c r="R687" i="5"/>
  <c r="Q687" i="5"/>
  <c r="P687" i="5"/>
  <c r="R686" i="5"/>
  <c r="Q686" i="5"/>
  <c r="P686" i="5"/>
  <c r="R685" i="5"/>
  <c r="Q685" i="5"/>
  <c r="P685" i="5"/>
  <c r="R684" i="5"/>
  <c r="Q684" i="5"/>
  <c r="P684" i="5"/>
  <c r="R683" i="5"/>
  <c r="Q683" i="5"/>
  <c r="P683" i="5"/>
  <c r="R682" i="5"/>
  <c r="Q682" i="5"/>
  <c r="P682" i="5"/>
  <c r="R681" i="5"/>
  <c r="Q681" i="5"/>
  <c r="P681" i="5"/>
  <c r="R680" i="5"/>
  <c r="Q680" i="5"/>
  <c r="P680" i="5"/>
  <c r="R679" i="5"/>
  <c r="Q679" i="5"/>
  <c r="P679" i="5"/>
  <c r="R678" i="5"/>
  <c r="Q678" i="5"/>
  <c r="P678" i="5"/>
  <c r="R677" i="5"/>
  <c r="Q677" i="5"/>
  <c r="P677" i="5"/>
  <c r="R676" i="5"/>
  <c r="Q676" i="5"/>
  <c r="P676" i="5"/>
  <c r="R675" i="5"/>
  <c r="Q675" i="5"/>
  <c r="P675" i="5"/>
  <c r="R674" i="5"/>
  <c r="Q674" i="5"/>
  <c r="P674" i="5"/>
  <c r="R673" i="5"/>
  <c r="Q673" i="5"/>
  <c r="P673" i="5"/>
  <c r="R672" i="5"/>
  <c r="Q672" i="5"/>
  <c r="P672" i="5"/>
  <c r="R671" i="5"/>
  <c r="Q671" i="5"/>
  <c r="P671" i="5"/>
  <c r="R670" i="5"/>
  <c r="Q670" i="5"/>
  <c r="P670" i="5"/>
  <c r="R669" i="5"/>
  <c r="Q669" i="5"/>
  <c r="P669" i="5"/>
  <c r="R668" i="5"/>
  <c r="Q668" i="5"/>
  <c r="P668" i="5"/>
  <c r="R667" i="5"/>
  <c r="Q667" i="5"/>
  <c r="P667" i="5"/>
  <c r="R666" i="5"/>
  <c r="Q666" i="5"/>
  <c r="P666" i="5"/>
  <c r="R665" i="5"/>
  <c r="Q665" i="5"/>
  <c r="P665" i="5"/>
  <c r="R664" i="5"/>
  <c r="Q664" i="5"/>
  <c r="P664" i="5"/>
  <c r="R663" i="5"/>
  <c r="Q663" i="5"/>
  <c r="P663" i="5"/>
  <c r="R662" i="5"/>
  <c r="Q662" i="5"/>
  <c r="P662" i="5"/>
  <c r="R661" i="5"/>
  <c r="Q661" i="5"/>
  <c r="P661" i="5"/>
  <c r="R660" i="5"/>
  <c r="Q660" i="5"/>
  <c r="P660" i="5"/>
  <c r="R659" i="5"/>
  <c r="Q659" i="5"/>
  <c r="P659" i="5"/>
  <c r="R658" i="5"/>
  <c r="Q658" i="5"/>
  <c r="P658" i="5"/>
  <c r="R657" i="5"/>
  <c r="Q657" i="5"/>
  <c r="P657" i="5"/>
  <c r="R656" i="5"/>
  <c r="Q656" i="5"/>
  <c r="P656" i="5"/>
  <c r="R655" i="5"/>
  <c r="Q655" i="5"/>
  <c r="P655" i="5"/>
  <c r="R654" i="5"/>
  <c r="Q654" i="5"/>
  <c r="P654" i="5"/>
  <c r="R653" i="5"/>
  <c r="Q653" i="5"/>
  <c r="P653" i="5"/>
  <c r="R652" i="5"/>
  <c r="Q652" i="5"/>
  <c r="P652" i="5"/>
  <c r="R651" i="5"/>
  <c r="Q651" i="5"/>
  <c r="P651" i="5"/>
  <c r="R650" i="5"/>
  <c r="Q650" i="5"/>
  <c r="P650" i="5"/>
  <c r="R649" i="5"/>
  <c r="Q649" i="5"/>
  <c r="P649" i="5"/>
  <c r="R648" i="5"/>
  <c r="Q648" i="5"/>
  <c r="P648" i="5"/>
  <c r="R647" i="5"/>
  <c r="Q647" i="5"/>
  <c r="P647" i="5"/>
  <c r="R646" i="5"/>
  <c r="Q646" i="5"/>
  <c r="P646" i="5"/>
  <c r="R645" i="5"/>
  <c r="Q645" i="5"/>
  <c r="P645" i="5"/>
  <c r="R644" i="5"/>
  <c r="Q644" i="5"/>
  <c r="P644" i="5"/>
  <c r="R643" i="5"/>
  <c r="Q643" i="5"/>
  <c r="P643" i="5"/>
  <c r="R642" i="5"/>
  <c r="Q642" i="5"/>
  <c r="P642" i="5"/>
  <c r="R641" i="5"/>
  <c r="Q641" i="5"/>
  <c r="P641" i="5"/>
  <c r="R640" i="5"/>
  <c r="Q640" i="5"/>
  <c r="P640" i="5"/>
  <c r="R639" i="5"/>
  <c r="Q639" i="5"/>
  <c r="P639" i="5"/>
  <c r="R638" i="5"/>
  <c r="Q638" i="5"/>
  <c r="P638" i="5"/>
  <c r="R637" i="5"/>
  <c r="Q637" i="5"/>
  <c r="P637" i="5"/>
  <c r="R636" i="5"/>
  <c r="Q636" i="5"/>
  <c r="P636" i="5"/>
  <c r="R635" i="5"/>
  <c r="Q635" i="5"/>
  <c r="P635" i="5"/>
  <c r="R634" i="5"/>
  <c r="Q634" i="5"/>
  <c r="P634" i="5"/>
  <c r="R633" i="5"/>
  <c r="Q633" i="5"/>
  <c r="P633" i="5"/>
  <c r="R632" i="5"/>
  <c r="Q632" i="5"/>
  <c r="P632" i="5"/>
  <c r="R631" i="5"/>
  <c r="Q631" i="5"/>
  <c r="P631" i="5"/>
  <c r="R630" i="5"/>
  <c r="Q630" i="5"/>
  <c r="P630" i="5"/>
  <c r="R629" i="5"/>
  <c r="Q629" i="5"/>
  <c r="P629" i="5"/>
  <c r="R628" i="5"/>
  <c r="Q628" i="5"/>
  <c r="P628" i="5"/>
  <c r="R627" i="5"/>
  <c r="Q627" i="5"/>
  <c r="P627" i="5"/>
  <c r="R626" i="5"/>
  <c r="Q626" i="5"/>
  <c r="P626" i="5"/>
  <c r="R625" i="5"/>
  <c r="Q625" i="5"/>
  <c r="P625" i="5"/>
  <c r="R624" i="5"/>
  <c r="Q624" i="5"/>
  <c r="P624" i="5"/>
  <c r="R623" i="5"/>
  <c r="Q623" i="5"/>
  <c r="P623" i="5"/>
  <c r="R622" i="5"/>
  <c r="Q622" i="5"/>
  <c r="P622" i="5"/>
  <c r="R621" i="5"/>
  <c r="Q621" i="5"/>
  <c r="P621" i="5"/>
  <c r="R620" i="5"/>
  <c r="Q620" i="5"/>
  <c r="P620" i="5"/>
  <c r="R619" i="5"/>
  <c r="Q619" i="5"/>
  <c r="P619" i="5"/>
  <c r="R618" i="5"/>
  <c r="Q618" i="5"/>
  <c r="P618" i="5"/>
  <c r="R617" i="5"/>
  <c r="Q617" i="5"/>
  <c r="P617" i="5"/>
  <c r="R616" i="5"/>
  <c r="Q616" i="5"/>
  <c r="P616" i="5"/>
  <c r="R615" i="5"/>
  <c r="Q615" i="5"/>
  <c r="P615" i="5"/>
  <c r="R614" i="5"/>
  <c r="Q614" i="5"/>
  <c r="P614" i="5"/>
  <c r="R613" i="5"/>
  <c r="Q613" i="5"/>
  <c r="P613" i="5"/>
  <c r="R612" i="5"/>
  <c r="Q612" i="5"/>
  <c r="P612" i="5"/>
  <c r="R611" i="5"/>
  <c r="Q611" i="5"/>
  <c r="P611" i="5"/>
  <c r="R610" i="5"/>
  <c r="Q610" i="5"/>
  <c r="P610" i="5"/>
  <c r="R609" i="5"/>
  <c r="Q609" i="5"/>
  <c r="P609" i="5"/>
  <c r="R608" i="5"/>
  <c r="Q608" i="5"/>
  <c r="P608" i="5"/>
  <c r="R607" i="5"/>
  <c r="Q607" i="5"/>
  <c r="P607" i="5"/>
  <c r="R606" i="5"/>
  <c r="Q606" i="5"/>
  <c r="P606" i="5"/>
  <c r="R605" i="5"/>
  <c r="Q605" i="5"/>
  <c r="P605" i="5"/>
  <c r="R604" i="5"/>
  <c r="Q604" i="5"/>
  <c r="P604" i="5"/>
  <c r="R603" i="5"/>
  <c r="Q603" i="5"/>
  <c r="P603" i="5"/>
  <c r="R602" i="5"/>
  <c r="Q602" i="5"/>
  <c r="P602" i="5"/>
  <c r="R601" i="5"/>
  <c r="Q601" i="5"/>
  <c r="P601" i="5"/>
  <c r="R600" i="5"/>
  <c r="Q600" i="5"/>
  <c r="P600" i="5"/>
  <c r="R599" i="5"/>
  <c r="Q599" i="5"/>
  <c r="P599" i="5"/>
  <c r="R598" i="5"/>
  <c r="Q598" i="5"/>
  <c r="P598" i="5"/>
  <c r="R597" i="5"/>
  <c r="Q597" i="5"/>
  <c r="P597" i="5"/>
  <c r="R596" i="5"/>
  <c r="Q596" i="5"/>
  <c r="P596" i="5"/>
  <c r="R595" i="5"/>
  <c r="Q595" i="5"/>
  <c r="P595" i="5"/>
  <c r="R594" i="5"/>
  <c r="Q594" i="5"/>
  <c r="P594" i="5"/>
  <c r="R593" i="5"/>
  <c r="Q593" i="5"/>
  <c r="P593" i="5"/>
  <c r="R592" i="5"/>
  <c r="Q592" i="5"/>
  <c r="P592" i="5"/>
  <c r="R591" i="5"/>
  <c r="Q591" i="5"/>
  <c r="P591" i="5"/>
  <c r="R590" i="5"/>
  <c r="Q590" i="5"/>
  <c r="P590" i="5"/>
  <c r="R589" i="5"/>
  <c r="Q589" i="5"/>
  <c r="P589" i="5"/>
  <c r="R588" i="5"/>
  <c r="Q588" i="5"/>
  <c r="P588" i="5"/>
  <c r="R587" i="5"/>
  <c r="Q587" i="5"/>
  <c r="P587" i="5"/>
  <c r="R586" i="5"/>
  <c r="Q586" i="5"/>
  <c r="P586" i="5"/>
  <c r="R585" i="5"/>
  <c r="Q585" i="5"/>
  <c r="P585" i="5"/>
  <c r="R584" i="5"/>
  <c r="Q584" i="5"/>
  <c r="P584" i="5"/>
  <c r="R583" i="5"/>
  <c r="Q583" i="5"/>
  <c r="P583" i="5"/>
  <c r="R582" i="5"/>
  <c r="Q582" i="5"/>
  <c r="P582" i="5"/>
  <c r="R581" i="5"/>
  <c r="Q581" i="5"/>
  <c r="P581" i="5"/>
  <c r="R580" i="5"/>
  <c r="Q580" i="5"/>
  <c r="P580" i="5"/>
  <c r="R579" i="5"/>
  <c r="Q579" i="5"/>
  <c r="P579" i="5"/>
  <c r="R578" i="5"/>
  <c r="Q578" i="5"/>
  <c r="P578" i="5"/>
  <c r="R577" i="5"/>
  <c r="Q577" i="5"/>
  <c r="P577" i="5"/>
  <c r="R576" i="5"/>
  <c r="Q576" i="5"/>
  <c r="P576" i="5"/>
  <c r="R575" i="5"/>
  <c r="Q575" i="5"/>
  <c r="P575" i="5"/>
  <c r="R574" i="5"/>
  <c r="Q574" i="5"/>
  <c r="P574" i="5"/>
  <c r="R573" i="5"/>
  <c r="Q573" i="5"/>
  <c r="P573" i="5"/>
  <c r="R572" i="5"/>
  <c r="Q572" i="5"/>
  <c r="P572" i="5"/>
  <c r="R571" i="5"/>
  <c r="Q571" i="5"/>
  <c r="P571" i="5"/>
  <c r="R570" i="5"/>
  <c r="Q570" i="5"/>
  <c r="P570" i="5"/>
  <c r="R569" i="5"/>
  <c r="Q569" i="5"/>
  <c r="P569" i="5"/>
  <c r="R568" i="5"/>
  <c r="Q568" i="5"/>
  <c r="P568" i="5"/>
  <c r="R567" i="5"/>
  <c r="Q567" i="5"/>
  <c r="P567" i="5"/>
  <c r="R566" i="5"/>
  <c r="Q566" i="5"/>
  <c r="P566" i="5"/>
  <c r="R565" i="5"/>
  <c r="Q565" i="5"/>
  <c r="P565" i="5"/>
  <c r="R564" i="5"/>
  <c r="Q564" i="5"/>
  <c r="P564" i="5"/>
  <c r="R563" i="5"/>
  <c r="Q563" i="5"/>
  <c r="P563" i="5"/>
  <c r="R562" i="5"/>
  <c r="Q562" i="5"/>
  <c r="P562" i="5"/>
  <c r="R561" i="5"/>
  <c r="Q561" i="5"/>
  <c r="P561" i="5"/>
  <c r="R560" i="5"/>
  <c r="Q560" i="5"/>
  <c r="P560" i="5"/>
  <c r="R559" i="5"/>
  <c r="Q559" i="5"/>
  <c r="P559" i="5"/>
  <c r="R558" i="5"/>
  <c r="Q558" i="5"/>
  <c r="P558" i="5"/>
  <c r="R557" i="5"/>
  <c r="Q557" i="5"/>
  <c r="P557" i="5"/>
  <c r="R556" i="5"/>
  <c r="Q556" i="5"/>
  <c r="P556" i="5"/>
  <c r="R555" i="5"/>
  <c r="Q555" i="5"/>
  <c r="P555" i="5"/>
  <c r="R554" i="5"/>
  <c r="Q554" i="5"/>
  <c r="P554" i="5"/>
  <c r="R553" i="5"/>
  <c r="Q553" i="5"/>
  <c r="P553" i="5"/>
  <c r="R552" i="5"/>
  <c r="Q552" i="5"/>
  <c r="P552" i="5"/>
  <c r="R551" i="5"/>
  <c r="Q551" i="5"/>
  <c r="P551" i="5"/>
  <c r="R550" i="5"/>
  <c r="Q550" i="5"/>
  <c r="P550" i="5"/>
  <c r="R549" i="5"/>
  <c r="Q549" i="5"/>
  <c r="P549" i="5"/>
  <c r="R548" i="5"/>
  <c r="Q548" i="5"/>
  <c r="P548" i="5"/>
  <c r="R547" i="5"/>
  <c r="Q547" i="5"/>
  <c r="P547" i="5"/>
  <c r="R546" i="5"/>
  <c r="Q546" i="5"/>
  <c r="P546" i="5"/>
  <c r="R545" i="5"/>
  <c r="Q545" i="5"/>
  <c r="P545" i="5"/>
  <c r="R544" i="5"/>
  <c r="Q544" i="5"/>
  <c r="P544" i="5"/>
  <c r="R543" i="5"/>
  <c r="Q543" i="5"/>
  <c r="P543" i="5"/>
  <c r="R542" i="5"/>
  <c r="Q542" i="5"/>
  <c r="P542" i="5"/>
  <c r="R541" i="5"/>
  <c r="Q541" i="5"/>
  <c r="P541" i="5"/>
  <c r="R540" i="5"/>
  <c r="Q540" i="5"/>
  <c r="P540" i="5"/>
  <c r="R539" i="5"/>
  <c r="Q539" i="5"/>
  <c r="P539" i="5"/>
  <c r="R538" i="5"/>
  <c r="Q538" i="5"/>
  <c r="P538" i="5"/>
  <c r="R537" i="5"/>
  <c r="Q537" i="5"/>
  <c r="P537" i="5"/>
  <c r="R536" i="5"/>
  <c r="Q536" i="5"/>
  <c r="P536" i="5"/>
  <c r="R535" i="5"/>
  <c r="Q535" i="5"/>
  <c r="P535" i="5"/>
  <c r="R534" i="5"/>
  <c r="Q534" i="5"/>
  <c r="P534" i="5"/>
  <c r="R533" i="5"/>
  <c r="Q533" i="5"/>
  <c r="P533" i="5"/>
  <c r="R532" i="5"/>
  <c r="Q532" i="5"/>
  <c r="P532" i="5"/>
  <c r="R531" i="5"/>
  <c r="Q531" i="5"/>
  <c r="P531" i="5"/>
  <c r="R530" i="5"/>
  <c r="Q530" i="5"/>
  <c r="P530" i="5"/>
  <c r="R529" i="5"/>
  <c r="Q529" i="5"/>
  <c r="P529" i="5"/>
  <c r="R528" i="5"/>
  <c r="Q528" i="5"/>
  <c r="P528" i="5"/>
  <c r="R527" i="5"/>
  <c r="Q527" i="5"/>
  <c r="P527" i="5"/>
  <c r="R526" i="5"/>
  <c r="Q526" i="5"/>
  <c r="P526" i="5"/>
  <c r="R525" i="5"/>
  <c r="Q525" i="5"/>
  <c r="P525" i="5"/>
  <c r="R524" i="5"/>
  <c r="Q524" i="5"/>
  <c r="P524" i="5"/>
  <c r="R523" i="5"/>
  <c r="Q523" i="5"/>
  <c r="P523" i="5"/>
  <c r="R522" i="5"/>
  <c r="Q522" i="5"/>
  <c r="P522" i="5"/>
  <c r="R521" i="5"/>
  <c r="Q521" i="5"/>
  <c r="P521" i="5"/>
  <c r="R520" i="5"/>
  <c r="Q520" i="5"/>
  <c r="P520" i="5"/>
  <c r="R519" i="5"/>
  <c r="Q519" i="5"/>
  <c r="P519" i="5"/>
  <c r="R518" i="5"/>
  <c r="Q518" i="5"/>
  <c r="P518" i="5"/>
  <c r="R517" i="5"/>
  <c r="Q517" i="5"/>
  <c r="P517" i="5"/>
  <c r="R516" i="5"/>
  <c r="Q516" i="5"/>
  <c r="P516" i="5"/>
  <c r="R515" i="5"/>
  <c r="Q515" i="5"/>
  <c r="P515" i="5"/>
  <c r="R514" i="5"/>
  <c r="Q514" i="5"/>
  <c r="P514" i="5"/>
  <c r="R513" i="5"/>
  <c r="Q513" i="5"/>
  <c r="P513" i="5"/>
  <c r="R512" i="5"/>
  <c r="Q512" i="5"/>
  <c r="P512" i="5"/>
  <c r="R511" i="5"/>
  <c r="Q511" i="5"/>
  <c r="P511" i="5"/>
  <c r="R510" i="5"/>
  <c r="Q510" i="5"/>
  <c r="P510" i="5"/>
  <c r="R509" i="5"/>
  <c r="Q509" i="5"/>
  <c r="P509" i="5"/>
  <c r="R508" i="5"/>
  <c r="Q508" i="5"/>
  <c r="P508" i="5"/>
  <c r="R507" i="5"/>
  <c r="Q507" i="5"/>
  <c r="P507" i="5"/>
  <c r="R506" i="5"/>
  <c r="Q506" i="5"/>
  <c r="P506" i="5"/>
  <c r="R505" i="5"/>
  <c r="Q505" i="5"/>
  <c r="P505" i="5"/>
  <c r="R504" i="5"/>
  <c r="Q504" i="5"/>
  <c r="P504" i="5"/>
  <c r="R503" i="5"/>
  <c r="Q503" i="5"/>
  <c r="P503" i="5"/>
  <c r="R502" i="5"/>
  <c r="Q502" i="5"/>
  <c r="P502" i="5"/>
  <c r="R501" i="5"/>
  <c r="Q501" i="5"/>
  <c r="P501" i="5"/>
  <c r="R500" i="5"/>
  <c r="Q500" i="5"/>
  <c r="P500" i="5"/>
  <c r="R499" i="5"/>
  <c r="Q499" i="5"/>
  <c r="P499" i="5"/>
  <c r="R498" i="5"/>
  <c r="Q498" i="5"/>
  <c r="P498" i="5"/>
  <c r="R497" i="5"/>
  <c r="Q497" i="5"/>
  <c r="P497" i="5"/>
  <c r="R496" i="5"/>
  <c r="Q496" i="5"/>
  <c r="P496" i="5"/>
  <c r="R495" i="5"/>
  <c r="Q495" i="5"/>
  <c r="P495" i="5"/>
  <c r="R494" i="5"/>
  <c r="Q494" i="5"/>
  <c r="P494" i="5"/>
  <c r="R493" i="5"/>
  <c r="Q493" i="5"/>
  <c r="P493" i="5"/>
  <c r="R492" i="5"/>
  <c r="Q492" i="5"/>
  <c r="P492" i="5"/>
  <c r="R491" i="5"/>
  <c r="Q491" i="5"/>
  <c r="P491" i="5"/>
  <c r="R490" i="5"/>
  <c r="Q490" i="5"/>
  <c r="P490" i="5"/>
  <c r="R489" i="5"/>
  <c r="Q489" i="5"/>
  <c r="P489" i="5"/>
  <c r="R488" i="5"/>
  <c r="Q488" i="5"/>
  <c r="P488" i="5"/>
  <c r="R487" i="5"/>
  <c r="Q487" i="5"/>
  <c r="P487" i="5"/>
  <c r="R486" i="5"/>
  <c r="Q486" i="5"/>
  <c r="P486" i="5"/>
  <c r="R485" i="5"/>
  <c r="Q485" i="5"/>
  <c r="P485" i="5"/>
  <c r="R484" i="5"/>
  <c r="Q484" i="5"/>
  <c r="P484" i="5"/>
  <c r="R483" i="5"/>
  <c r="Q483" i="5"/>
  <c r="P483" i="5"/>
  <c r="R482" i="5"/>
  <c r="Q482" i="5"/>
  <c r="P482" i="5"/>
  <c r="R481" i="5"/>
  <c r="Q481" i="5"/>
  <c r="P481" i="5"/>
  <c r="R480" i="5"/>
  <c r="Q480" i="5"/>
  <c r="P480" i="5"/>
  <c r="R479" i="5"/>
  <c r="Q479" i="5"/>
  <c r="P479" i="5"/>
  <c r="R478" i="5"/>
  <c r="Q478" i="5"/>
  <c r="P478" i="5"/>
  <c r="R477" i="5"/>
  <c r="Q477" i="5"/>
  <c r="P477" i="5"/>
  <c r="R476" i="5"/>
  <c r="Q476" i="5"/>
  <c r="P476" i="5"/>
  <c r="R475" i="5"/>
  <c r="Q475" i="5"/>
  <c r="P475" i="5"/>
  <c r="R474" i="5"/>
  <c r="Q474" i="5"/>
  <c r="P474" i="5"/>
  <c r="R473" i="5"/>
  <c r="Q473" i="5"/>
  <c r="P473" i="5"/>
  <c r="R472" i="5"/>
  <c r="Q472" i="5"/>
  <c r="P472" i="5"/>
  <c r="R471" i="5"/>
  <c r="Q471" i="5"/>
  <c r="P471" i="5"/>
  <c r="R470" i="5"/>
  <c r="Q470" i="5"/>
  <c r="P470" i="5"/>
  <c r="R469" i="5"/>
  <c r="Q469" i="5"/>
  <c r="P469" i="5"/>
  <c r="R468" i="5"/>
  <c r="Q468" i="5"/>
  <c r="P468" i="5"/>
  <c r="R467" i="5"/>
  <c r="Q467" i="5"/>
  <c r="P467" i="5"/>
  <c r="R466" i="5"/>
  <c r="Q466" i="5"/>
  <c r="P466" i="5"/>
  <c r="R465" i="5"/>
  <c r="Q465" i="5"/>
  <c r="P465" i="5"/>
  <c r="R464" i="5"/>
  <c r="Q464" i="5"/>
  <c r="P464" i="5"/>
  <c r="R463" i="5"/>
  <c r="Q463" i="5"/>
  <c r="P463" i="5"/>
  <c r="R462" i="5"/>
  <c r="Q462" i="5"/>
  <c r="P462" i="5"/>
  <c r="R461" i="5"/>
  <c r="Q461" i="5"/>
  <c r="P461" i="5"/>
  <c r="R460" i="5"/>
  <c r="Q460" i="5"/>
  <c r="P460" i="5"/>
  <c r="R459" i="5"/>
  <c r="Q459" i="5"/>
  <c r="P459" i="5"/>
  <c r="R458" i="5"/>
  <c r="Q458" i="5"/>
  <c r="P458" i="5"/>
  <c r="R457" i="5"/>
  <c r="Q457" i="5"/>
  <c r="P457" i="5"/>
  <c r="R456" i="5"/>
  <c r="Q456" i="5"/>
  <c r="P456" i="5"/>
  <c r="R455" i="5"/>
  <c r="Q455" i="5"/>
  <c r="P455" i="5"/>
  <c r="R454" i="5"/>
  <c r="Q454" i="5"/>
  <c r="P454" i="5"/>
  <c r="R453" i="5"/>
  <c r="Q453" i="5"/>
  <c r="P453" i="5"/>
  <c r="R452" i="5"/>
  <c r="Q452" i="5"/>
  <c r="P452" i="5"/>
  <c r="R451" i="5"/>
  <c r="Q451" i="5"/>
  <c r="P451" i="5"/>
  <c r="R450" i="5"/>
  <c r="Q450" i="5"/>
  <c r="P450" i="5"/>
  <c r="R449" i="5"/>
  <c r="Q449" i="5"/>
  <c r="P449" i="5"/>
  <c r="R448" i="5"/>
  <c r="Q448" i="5"/>
  <c r="P448" i="5"/>
  <c r="R447" i="5"/>
  <c r="Q447" i="5"/>
  <c r="P447" i="5"/>
  <c r="R446" i="5"/>
  <c r="Q446" i="5"/>
  <c r="P446" i="5"/>
  <c r="R445" i="5"/>
  <c r="Q445" i="5"/>
  <c r="P445" i="5"/>
  <c r="R444" i="5"/>
  <c r="Q444" i="5"/>
  <c r="P444" i="5"/>
  <c r="R443" i="5"/>
  <c r="Q443" i="5"/>
  <c r="P443" i="5"/>
  <c r="R442" i="5"/>
  <c r="Q442" i="5"/>
  <c r="P442" i="5"/>
  <c r="R441" i="5"/>
  <c r="Q441" i="5"/>
  <c r="P441" i="5"/>
  <c r="R440" i="5"/>
  <c r="Q440" i="5"/>
  <c r="P440" i="5"/>
  <c r="R439" i="5"/>
  <c r="Q439" i="5"/>
  <c r="P439" i="5"/>
  <c r="R438" i="5"/>
  <c r="Q438" i="5"/>
  <c r="P438" i="5"/>
  <c r="R437" i="5"/>
  <c r="Q437" i="5"/>
  <c r="P437" i="5"/>
  <c r="R436" i="5"/>
  <c r="Q436" i="5"/>
  <c r="P436" i="5"/>
  <c r="R435" i="5"/>
  <c r="Q435" i="5"/>
  <c r="P435" i="5"/>
  <c r="R434" i="5"/>
  <c r="Q434" i="5"/>
  <c r="P434" i="5"/>
  <c r="R433" i="5"/>
  <c r="Q433" i="5"/>
  <c r="P433" i="5"/>
  <c r="R432" i="5"/>
  <c r="Q432" i="5"/>
  <c r="P432" i="5"/>
  <c r="R431" i="5"/>
  <c r="Q431" i="5"/>
  <c r="P431" i="5"/>
  <c r="R430" i="5"/>
  <c r="Q430" i="5"/>
  <c r="P430" i="5"/>
  <c r="R429" i="5"/>
  <c r="Q429" i="5"/>
  <c r="P429" i="5"/>
  <c r="R428" i="5"/>
  <c r="Q428" i="5"/>
  <c r="P428" i="5"/>
  <c r="R427" i="5"/>
  <c r="Q427" i="5"/>
  <c r="P427" i="5"/>
  <c r="R426" i="5"/>
  <c r="Q426" i="5"/>
  <c r="P426" i="5"/>
  <c r="R425" i="5"/>
  <c r="Q425" i="5"/>
  <c r="P425" i="5"/>
  <c r="R424" i="5"/>
  <c r="Q424" i="5"/>
  <c r="P424" i="5"/>
  <c r="R423" i="5"/>
  <c r="Q423" i="5"/>
  <c r="P423" i="5"/>
  <c r="R422" i="5"/>
  <c r="Q422" i="5"/>
  <c r="P422" i="5"/>
  <c r="R421" i="5"/>
  <c r="Q421" i="5"/>
  <c r="P421" i="5"/>
  <c r="R420" i="5"/>
  <c r="Q420" i="5"/>
  <c r="P420" i="5"/>
  <c r="R419" i="5"/>
  <c r="Q419" i="5"/>
  <c r="P419" i="5"/>
  <c r="R418" i="5"/>
  <c r="Q418" i="5"/>
  <c r="P418" i="5"/>
  <c r="R417" i="5"/>
  <c r="Q417" i="5"/>
  <c r="P417" i="5"/>
  <c r="R416" i="5"/>
  <c r="Q416" i="5"/>
  <c r="P416" i="5"/>
  <c r="R415" i="5"/>
  <c r="Q415" i="5"/>
  <c r="P415" i="5"/>
  <c r="R414" i="5"/>
  <c r="Q414" i="5"/>
  <c r="P414" i="5"/>
  <c r="R413" i="5"/>
  <c r="Q413" i="5"/>
  <c r="P413" i="5"/>
  <c r="R412" i="5"/>
  <c r="Q412" i="5"/>
  <c r="P412" i="5"/>
  <c r="R411" i="5"/>
  <c r="Q411" i="5"/>
  <c r="P411" i="5"/>
  <c r="R410" i="5"/>
  <c r="Q410" i="5"/>
  <c r="P410" i="5"/>
  <c r="R409" i="5"/>
  <c r="Q409" i="5"/>
  <c r="P409" i="5"/>
  <c r="R408" i="5"/>
  <c r="Q408" i="5"/>
  <c r="P408" i="5"/>
  <c r="R407" i="5"/>
  <c r="Q407" i="5"/>
  <c r="P407" i="5"/>
  <c r="R406" i="5"/>
  <c r="Q406" i="5"/>
  <c r="P406" i="5"/>
  <c r="R405" i="5"/>
  <c r="Q405" i="5"/>
  <c r="P405" i="5"/>
  <c r="R404" i="5"/>
  <c r="Q404" i="5"/>
  <c r="P404" i="5"/>
  <c r="R403" i="5"/>
  <c r="Q403" i="5"/>
  <c r="P403" i="5"/>
  <c r="R402" i="5"/>
  <c r="Q402" i="5"/>
  <c r="P402" i="5"/>
  <c r="R401" i="5"/>
  <c r="Q401" i="5"/>
  <c r="P401" i="5"/>
  <c r="R400" i="5"/>
  <c r="Q400" i="5"/>
  <c r="P400" i="5"/>
  <c r="R399" i="5"/>
  <c r="Q399" i="5"/>
  <c r="P399" i="5"/>
  <c r="R398" i="5"/>
  <c r="Q398" i="5"/>
  <c r="P398" i="5"/>
  <c r="R397" i="5"/>
  <c r="Q397" i="5"/>
  <c r="P397" i="5"/>
  <c r="R396" i="5"/>
  <c r="Q396" i="5"/>
  <c r="P396" i="5"/>
  <c r="R395" i="5"/>
  <c r="Q395" i="5"/>
  <c r="P395" i="5"/>
  <c r="R394" i="5"/>
  <c r="Q394" i="5"/>
  <c r="P394" i="5"/>
  <c r="R393" i="5"/>
  <c r="Q393" i="5"/>
  <c r="P393" i="5"/>
  <c r="R392" i="5"/>
  <c r="Q392" i="5"/>
  <c r="P392" i="5"/>
  <c r="R391" i="5"/>
  <c r="Q391" i="5"/>
  <c r="P391" i="5"/>
  <c r="R390" i="5"/>
  <c r="Q390" i="5"/>
  <c r="P390" i="5"/>
  <c r="R389" i="5"/>
  <c r="Q389" i="5"/>
  <c r="P389" i="5"/>
  <c r="R388" i="5"/>
  <c r="Q388" i="5"/>
  <c r="P388" i="5"/>
  <c r="R387" i="5"/>
  <c r="Q387" i="5"/>
  <c r="P387" i="5"/>
  <c r="R386" i="5"/>
  <c r="Q386" i="5"/>
  <c r="P386" i="5"/>
  <c r="R385" i="5"/>
  <c r="Q385" i="5"/>
  <c r="P385" i="5"/>
  <c r="R384" i="5"/>
  <c r="Q384" i="5"/>
  <c r="P384" i="5"/>
  <c r="R383" i="5"/>
  <c r="Q383" i="5"/>
  <c r="P383" i="5"/>
  <c r="R382" i="5"/>
  <c r="Q382" i="5"/>
  <c r="P382" i="5"/>
  <c r="R381" i="5"/>
  <c r="Q381" i="5"/>
  <c r="P381" i="5"/>
  <c r="R380" i="5"/>
  <c r="Q380" i="5"/>
  <c r="P380" i="5"/>
  <c r="R379" i="5"/>
  <c r="Q379" i="5"/>
  <c r="P379" i="5"/>
  <c r="R378" i="5"/>
  <c r="Q378" i="5"/>
  <c r="P378" i="5"/>
  <c r="R377" i="5"/>
  <c r="Q377" i="5"/>
  <c r="P377" i="5"/>
  <c r="R376" i="5"/>
  <c r="Q376" i="5"/>
  <c r="P376" i="5"/>
  <c r="R375" i="5"/>
  <c r="Q375" i="5"/>
  <c r="P375" i="5"/>
  <c r="R374" i="5"/>
  <c r="Q374" i="5"/>
  <c r="P374" i="5"/>
  <c r="R373" i="5"/>
  <c r="Q373" i="5"/>
  <c r="P373" i="5"/>
  <c r="R372" i="5"/>
  <c r="Q372" i="5"/>
  <c r="P372" i="5"/>
  <c r="R371" i="5"/>
  <c r="Q371" i="5"/>
  <c r="P371" i="5"/>
  <c r="R370" i="5"/>
  <c r="Q370" i="5"/>
  <c r="P370" i="5"/>
  <c r="R369" i="5"/>
  <c r="Q369" i="5"/>
  <c r="P369" i="5"/>
  <c r="R368" i="5"/>
  <c r="Q368" i="5"/>
  <c r="P368" i="5"/>
  <c r="R367" i="5"/>
  <c r="Q367" i="5"/>
  <c r="P367" i="5"/>
  <c r="R366" i="5"/>
  <c r="Q366" i="5"/>
  <c r="P366" i="5"/>
  <c r="R365" i="5"/>
  <c r="Q365" i="5"/>
  <c r="P365" i="5"/>
  <c r="R364" i="5"/>
  <c r="Q364" i="5"/>
  <c r="P364" i="5"/>
  <c r="R363" i="5"/>
  <c r="Q363" i="5"/>
  <c r="P363" i="5"/>
  <c r="R362" i="5"/>
  <c r="Q362" i="5"/>
  <c r="P362" i="5"/>
  <c r="R361" i="5"/>
  <c r="Q361" i="5"/>
  <c r="P361" i="5"/>
  <c r="R360" i="5"/>
  <c r="Q360" i="5"/>
  <c r="P360" i="5"/>
  <c r="R359" i="5"/>
  <c r="Q359" i="5"/>
  <c r="P359" i="5"/>
  <c r="R358" i="5"/>
  <c r="Q358" i="5"/>
  <c r="P358" i="5"/>
  <c r="R357" i="5"/>
  <c r="Q357" i="5"/>
  <c r="P357" i="5"/>
  <c r="R356" i="5"/>
  <c r="Q356" i="5"/>
  <c r="P356" i="5"/>
  <c r="R355" i="5"/>
  <c r="Q355" i="5"/>
  <c r="P355" i="5"/>
  <c r="R354" i="5"/>
  <c r="Q354" i="5"/>
  <c r="P354" i="5"/>
  <c r="R353" i="5"/>
  <c r="Q353" i="5"/>
  <c r="P353" i="5"/>
  <c r="R352" i="5"/>
  <c r="Q352" i="5"/>
  <c r="P352" i="5"/>
  <c r="R351" i="5"/>
  <c r="Q351" i="5"/>
  <c r="P351" i="5"/>
  <c r="R350" i="5"/>
  <c r="Q350" i="5"/>
  <c r="P350" i="5"/>
  <c r="R349" i="5"/>
  <c r="Q349" i="5"/>
  <c r="P349" i="5"/>
  <c r="R348" i="5"/>
  <c r="Q348" i="5"/>
  <c r="P348" i="5"/>
  <c r="R347" i="5"/>
  <c r="Q347" i="5"/>
  <c r="P347" i="5"/>
  <c r="R346" i="5"/>
  <c r="Q346" i="5"/>
  <c r="P346" i="5"/>
  <c r="R345" i="5"/>
  <c r="Q345" i="5"/>
  <c r="P345" i="5"/>
  <c r="R344" i="5"/>
  <c r="Q344" i="5"/>
  <c r="P344" i="5"/>
  <c r="R343" i="5"/>
  <c r="Q343" i="5"/>
  <c r="P343" i="5"/>
  <c r="R342" i="5"/>
  <c r="Q342" i="5"/>
  <c r="P342" i="5"/>
  <c r="R341" i="5"/>
  <c r="Q341" i="5"/>
  <c r="P341" i="5"/>
  <c r="R340" i="5"/>
  <c r="Q340" i="5"/>
  <c r="P340" i="5"/>
  <c r="R339" i="5"/>
  <c r="Q339" i="5"/>
  <c r="P339" i="5"/>
  <c r="R338" i="5"/>
  <c r="Q338" i="5"/>
  <c r="P338" i="5"/>
  <c r="R337" i="5"/>
  <c r="Q337" i="5"/>
  <c r="P337" i="5"/>
  <c r="R336" i="5"/>
  <c r="Q336" i="5"/>
  <c r="P336" i="5"/>
  <c r="R335" i="5"/>
  <c r="Q335" i="5"/>
  <c r="P335" i="5"/>
  <c r="R334" i="5"/>
  <c r="Q334" i="5"/>
  <c r="P334" i="5"/>
  <c r="R333" i="5"/>
  <c r="Q333" i="5"/>
  <c r="P333" i="5"/>
  <c r="R332" i="5"/>
  <c r="Q332" i="5"/>
  <c r="P332" i="5"/>
  <c r="R331" i="5"/>
  <c r="Q331" i="5"/>
  <c r="P331" i="5"/>
  <c r="R330" i="5"/>
  <c r="Q330" i="5"/>
  <c r="P330" i="5"/>
  <c r="R329" i="5"/>
  <c r="Q329" i="5"/>
  <c r="P329" i="5"/>
  <c r="R328" i="5"/>
  <c r="Q328" i="5"/>
  <c r="P328" i="5"/>
  <c r="R327" i="5"/>
  <c r="Q327" i="5"/>
  <c r="P327" i="5"/>
  <c r="R326" i="5"/>
  <c r="Q326" i="5"/>
  <c r="P326" i="5"/>
  <c r="R325" i="5"/>
  <c r="Q325" i="5"/>
  <c r="P325" i="5"/>
  <c r="R324" i="5"/>
  <c r="Q324" i="5"/>
  <c r="P324" i="5"/>
  <c r="R323" i="5"/>
  <c r="Q323" i="5"/>
  <c r="P323" i="5"/>
  <c r="R322" i="5"/>
  <c r="Q322" i="5"/>
  <c r="P322" i="5"/>
  <c r="R321" i="5"/>
  <c r="Q321" i="5"/>
  <c r="P321" i="5"/>
  <c r="R320" i="5"/>
  <c r="Q320" i="5"/>
  <c r="P320" i="5"/>
  <c r="R319" i="5"/>
  <c r="Q319" i="5"/>
  <c r="P319" i="5"/>
  <c r="R318" i="5"/>
  <c r="Q318" i="5"/>
  <c r="P318" i="5"/>
  <c r="R317" i="5"/>
  <c r="Q317" i="5"/>
  <c r="P317" i="5"/>
  <c r="R316" i="5"/>
  <c r="Q316" i="5"/>
  <c r="P316" i="5"/>
  <c r="R315" i="5"/>
  <c r="Q315" i="5"/>
  <c r="P315" i="5"/>
  <c r="R314" i="5"/>
  <c r="Q314" i="5"/>
  <c r="P314" i="5"/>
  <c r="R313" i="5"/>
  <c r="Q313" i="5"/>
  <c r="P313" i="5"/>
  <c r="R312" i="5"/>
  <c r="Q312" i="5"/>
  <c r="P312" i="5"/>
  <c r="R311" i="5"/>
  <c r="Q311" i="5"/>
  <c r="P311" i="5"/>
  <c r="R310" i="5"/>
  <c r="Q310" i="5"/>
  <c r="P310" i="5"/>
  <c r="R309" i="5"/>
  <c r="Q309" i="5"/>
  <c r="P309" i="5"/>
  <c r="R308" i="5"/>
  <c r="Q308" i="5"/>
  <c r="P308" i="5"/>
  <c r="R307" i="5"/>
  <c r="Q307" i="5"/>
  <c r="P307" i="5"/>
  <c r="R306" i="5"/>
  <c r="Q306" i="5"/>
  <c r="P306" i="5"/>
  <c r="R305" i="5"/>
  <c r="Q305" i="5"/>
  <c r="P305" i="5"/>
  <c r="R304" i="5"/>
  <c r="Q304" i="5"/>
  <c r="P304" i="5"/>
  <c r="R303" i="5"/>
  <c r="Q303" i="5"/>
  <c r="P303" i="5"/>
  <c r="R302" i="5"/>
  <c r="Q302" i="5"/>
  <c r="P302" i="5"/>
  <c r="R301" i="5"/>
  <c r="Q301" i="5"/>
  <c r="P301" i="5"/>
  <c r="R300" i="5"/>
  <c r="Q300" i="5"/>
  <c r="P300" i="5"/>
  <c r="R299" i="5"/>
  <c r="Q299" i="5"/>
  <c r="P299" i="5"/>
  <c r="R298" i="5"/>
  <c r="Q298" i="5"/>
  <c r="P298" i="5"/>
  <c r="R297" i="5"/>
  <c r="Q297" i="5"/>
  <c r="P297" i="5"/>
  <c r="R296" i="5"/>
  <c r="Q296" i="5"/>
  <c r="P296" i="5"/>
  <c r="R295" i="5"/>
  <c r="Q295" i="5"/>
  <c r="P295" i="5"/>
  <c r="R294" i="5"/>
  <c r="Q294" i="5"/>
  <c r="P294" i="5"/>
  <c r="R293" i="5"/>
  <c r="Q293" i="5"/>
  <c r="P293" i="5"/>
  <c r="R292" i="5"/>
  <c r="Q292" i="5"/>
  <c r="P292" i="5"/>
  <c r="R291" i="5"/>
  <c r="Q291" i="5"/>
  <c r="P291" i="5"/>
  <c r="R290" i="5"/>
  <c r="Q290" i="5"/>
  <c r="P290" i="5"/>
  <c r="R289" i="5"/>
  <c r="Q289" i="5"/>
  <c r="P289" i="5"/>
  <c r="R288" i="5"/>
  <c r="Q288" i="5"/>
  <c r="P288" i="5"/>
  <c r="R287" i="5"/>
  <c r="Q287" i="5"/>
  <c r="P287" i="5"/>
  <c r="R286" i="5"/>
  <c r="Q286" i="5"/>
  <c r="P286" i="5"/>
  <c r="R285" i="5"/>
  <c r="Q285" i="5"/>
  <c r="P285" i="5"/>
  <c r="R284" i="5"/>
  <c r="Q284" i="5"/>
  <c r="P284" i="5"/>
  <c r="R283" i="5"/>
  <c r="Q283" i="5"/>
  <c r="P283" i="5"/>
  <c r="R282" i="5"/>
  <c r="Q282" i="5"/>
  <c r="P282" i="5"/>
  <c r="R281" i="5"/>
  <c r="Q281" i="5"/>
  <c r="P281" i="5"/>
  <c r="R280" i="5"/>
  <c r="Q280" i="5"/>
  <c r="P280" i="5"/>
  <c r="R279" i="5"/>
  <c r="Q279" i="5"/>
  <c r="P279" i="5"/>
  <c r="R278" i="5"/>
  <c r="Q278" i="5"/>
  <c r="P278" i="5"/>
  <c r="R277" i="5"/>
  <c r="Q277" i="5"/>
  <c r="P277" i="5"/>
  <c r="R276" i="5"/>
  <c r="Q276" i="5"/>
  <c r="P276" i="5"/>
  <c r="R275" i="5"/>
  <c r="Q275" i="5"/>
  <c r="P275" i="5"/>
  <c r="R274" i="5"/>
  <c r="Q274" i="5"/>
  <c r="P274" i="5"/>
  <c r="R273" i="5"/>
  <c r="Q273" i="5"/>
  <c r="P273" i="5"/>
  <c r="R272" i="5"/>
  <c r="Q272" i="5"/>
  <c r="P272" i="5"/>
  <c r="R271" i="5"/>
  <c r="Q271" i="5"/>
  <c r="P271" i="5"/>
  <c r="R270" i="5"/>
  <c r="Q270" i="5"/>
  <c r="P270" i="5"/>
  <c r="R269" i="5"/>
  <c r="Q269" i="5"/>
  <c r="P269" i="5"/>
  <c r="R268" i="5"/>
  <c r="Q268" i="5"/>
  <c r="P268" i="5"/>
  <c r="R267" i="5"/>
  <c r="Q267" i="5"/>
  <c r="P267" i="5"/>
  <c r="R266" i="5"/>
  <c r="Q266" i="5"/>
  <c r="P266" i="5"/>
  <c r="R265" i="5"/>
  <c r="Q265" i="5"/>
  <c r="P265" i="5"/>
  <c r="R264" i="5"/>
  <c r="Q264" i="5"/>
  <c r="P264" i="5"/>
  <c r="R263" i="5"/>
  <c r="Q263" i="5"/>
  <c r="P263" i="5"/>
  <c r="R262" i="5"/>
  <c r="Q262" i="5"/>
  <c r="P262" i="5"/>
  <c r="R261" i="5"/>
  <c r="Q261" i="5"/>
  <c r="P261" i="5"/>
  <c r="R260" i="5"/>
  <c r="Q260" i="5"/>
  <c r="P260" i="5"/>
  <c r="R259" i="5"/>
  <c r="Q259" i="5"/>
  <c r="P259" i="5"/>
  <c r="R258" i="5"/>
  <c r="Q258" i="5"/>
  <c r="P258" i="5"/>
  <c r="R257" i="5"/>
  <c r="Q257" i="5"/>
  <c r="P257" i="5"/>
  <c r="R256" i="5"/>
  <c r="Q256" i="5"/>
  <c r="P256" i="5"/>
  <c r="R255" i="5"/>
  <c r="Q255" i="5"/>
  <c r="P255" i="5"/>
  <c r="R254" i="5"/>
  <c r="Q254" i="5"/>
  <c r="P254" i="5"/>
  <c r="R253" i="5"/>
  <c r="Q253" i="5"/>
  <c r="P253" i="5"/>
  <c r="R252" i="5"/>
  <c r="Q252" i="5"/>
  <c r="P252" i="5"/>
  <c r="R251" i="5"/>
  <c r="Q251" i="5"/>
  <c r="P251" i="5"/>
  <c r="R250" i="5"/>
  <c r="Q250" i="5"/>
  <c r="P250" i="5"/>
  <c r="R249" i="5"/>
  <c r="Q249" i="5"/>
  <c r="P249" i="5"/>
  <c r="R248" i="5"/>
  <c r="Q248" i="5"/>
  <c r="P248" i="5"/>
  <c r="R247" i="5"/>
  <c r="Q247" i="5"/>
  <c r="P247" i="5"/>
  <c r="R246" i="5"/>
  <c r="Q246" i="5"/>
  <c r="P246" i="5"/>
  <c r="R245" i="5"/>
  <c r="Q245" i="5"/>
  <c r="P245" i="5"/>
  <c r="R244" i="5"/>
  <c r="Q244" i="5"/>
  <c r="P244" i="5"/>
  <c r="R243" i="5"/>
  <c r="Q243" i="5"/>
  <c r="P243" i="5"/>
  <c r="R242" i="5"/>
  <c r="Q242" i="5"/>
  <c r="P242" i="5"/>
  <c r="R241" i="5"/>
  <c r="Q241" i="5"/>
  <c r="P241" i="5"/>
  <c r="R240" i="5"/>
  <c r="Q240" i="5"/>
  <c r="P240" i="5"/>
  <c r="R239" i="5"/>
  <c r="Q239" i="5"/>
  <c r="P239" i="5"/>
  <c r="R238" i="5"/>
  <c r="Q238" i="5"/>
  <c r="P238" i="5"/>
  <c r="R237" i="5"/>
  <c r="Q237" i="5"/>
  <c r="P237" i="5"/>
  <c r="R236" i="5"/>
  <c r="Q236" i="5"/>
  <c r="P236" i="5"/>
  <c r="R235" i="5"/>
  <c r="Q235" i="5"/>
  <c r="P235" i="5"/>
  <c r="R234" i="5"/>
  <c r="Q234" i="5"/>
  <c r="P234" i="5"/>
  <c r="R233" i="5"/>
  <c r="Q233" i="5"/>
  <c r="P233" i="5"/>
  <c r="R232" i="5"/>
  <c r="Q232" i="5"/>
  <c r="P232" i="5"/>
  <c r="R231" i="5"/>
  <c r="Q231" i="5"/>
  <c r="P231" i="5"/>
  <c r="R230" i="5"/>
  <c r="Q230" i="5"/>
  <c r="P230" i="5"/>
  <c r="R229" i="5"/>
  <c r="Q229" i="5"/>
  <c r="P229" i="5"/>
  <c r="R228" i="5"/>
  <c r="Q228" i="5"/>
  <c r="P228" i="5"/>
  <c r="R227" i="5"/>
  <c r="Q227" i="5"/>
  <c r="P227" i="5"/>
  <c r="R226" i="5"/>
  <c r="Q226" i="5"/>
  <c r="P226" i="5"/>
  <c r="R225" i="5"/>
  <c r="Q225" i="5"/>
  <c r="P225" i="5"/>
  <c r="R224" i="5"/>
  <c r="Q224" i="5"/>
  <c r="P224" i="5"/>
  <c r="R223" i="5"/>
  <c r="Q223" i="5"/>
  <c r="P223" i="5"/>
  <c r="R222" i="5"/>
  <c r="Q222" i="5"/>
  <c r="P222" i="5"/>
  <c r="R221" i="5"/>
  <c r="Q221" i="5"/>
  <c r="P221" i="5"/>
  <c r="R220" i="5"/>
  <c r="Q220" i="5"/>
  <c r="P220" i="5"/>
  <c r="R219" i="5"/>
  <c r="Q219" i="5"/>
  <c r="P219" i="5"/>
  <c r="R218" i="5"/>
  <c r="Q218" i="5"/>
  <c r="P218" i="5"/>
  <c r="R217" i="5"/>
  <c r="Q217" i="5"/>
  <c r="P217" i="5"/>
  <c r="R216" i="5"/>
  <c r="Q216" i="5"/>
  <c r="P216" i="5"/>
  <c r="R215" i="5"/>
  <c r="Q215" i="5"/>
  <c r="P215" i="5"/>
  <c r="R214" i="5"/>
  <c r="Q214" i="5"/>
  <c r="P214" i="5"/>
  <c r="R213" i="5"/>
  <c r="Q213" i="5"/>
  <c r="P213" i="5"/>
  <c r="R212" i="5"/>
  <c r="Q212" i="5"/>
  <c r="P212" i="5"/>
  <c r="R211" i="5"/>
  <c r="Q211" i="5"/>
  <c r="P211" i="5"/>
  <c r="R210" i="5"/>
  <c r="Q210" i="5"/>
  <c r="P210" i="5"/>
  <c r="R209" i="5"/>
  <c r="Q209" i="5"/>
  <c r="P209" i="5"/>
  <c r="R208" i="5"/>
  <c r="Q208" i="5"/>
  <c r="P208" i="5"/>
  <c r="R207" i="5"/>
  <c r="Q207" i="5"/>
  <c r="P207" i="5"/>
  <c r="R206" i="5"/>
  <c r="Q206" i="5"/>
  <c r="P206" i="5"/>
  <c r="R205" i="5"/>
  <c r="Q205" i="5"/>
  <c r="P205" i="5"/>
  <c r="R204" i="5"/>
  <c r="Q204" i="5"/>
  <c r="P204" i="5"/>
  <c r="R203" i="5"/>
  <c r="Q203" i="5"/>
  <c r="P203" i="5"/>
  <c r="R202" i="5"/>
  <c r="Q202" i="5"/>
  <c r="P202" i="5"/>
  <c r="R201" i="5"/>
  <c r="Q201" i="5"/>
  <c r="P201" i="5"/>
  <c r="R200" i="5"/>
  <c r="Q200" i="5"/>
  <c r="P200" i="5"/>
  <c r="R199" i="5"/>
  <c r="Q199" i="5"/>
  <c r="P199" i="5"/>
  <c r="R198" i="5"/>
  <c r="Q198" i="5"/>
  <c r="P198" i="5"/>
  <c r="R197" i="5"/>
  <c r="Q197" i="5"/>
  <c r="P197" i="5"/>
  <c r="R196" i="5"/>
  <c r="Q196" i="5"/>
  <c r="P196" i="5"/>
  <c r="R195" i="5"/>
  <c r="Q195" i="5"/>
  <c r="P195" i="5"/>
  <c r="R194" i="5"/>
  <c r="Q194" i="5"/>
  <c r="P194" i="5"/>
  <c r="R193" i="5"/>
  <c r="Q193" i="5"/>
  <c r="P193" i="5"/>
  <c r="R192" i="5"/>
  <c r="Q192" i="5"/>
  <c r="P192" i="5"/>
  <c r="R191" i="5"/>
  <c r="Q191" i="5"/>
  <c r="P191" i="5"/>
  <c r="R190" i="5"/>
  <c r="Q190" i="5"/>
  <c r="P190" i="5"/>
  <c r="R189" i="5"/>
  <c r="Q189" i="5"/>
  <c r="P189" i="5"/>
  <c r="R188" i="5"/>
  <c r="Q188" i="5"/>
  <c r="P188" i="5"/>
  <c r="R187" i="5"/>
  <c r="Q187" i="5"/>
  <c r="P187" i="5"/>
  <c r="R186" i="5"/>
  <c r="Q186" i="5"/>
  <c r="P186" i="5"/>
  <c r="R185" i="5"/>
  <c r="Q185" i="5"/>
  <c r="P185" i="5"/>
  <c r="R184" i="5"/>
  <c r="Q184" i="5"/>
  <c r="P184" i="5"/>
  <c r="R183" i="5"/>
  <c r="Q183" i="5"/>
  <c r="P183" i="5"/>
  <c r="R182" i="5"/>
  <c r="Q182" i="5"/>
  <c r="P182" i="5"/>
  <c r="R181" i="5"/>
  <c r="Q181" i="5"/>
  <c r="P181" i="5"/>
  <c r="R180" i="5"/>
  <c r="Q180" i="5"/>
  <c r="P180" i="5"/>
  <c r="R179" i="5"/>
  <c r="Q179" i="5"/>
  <c r="P179" i="5"/>
  <c r="R178" i="5"/>
  <c r="Q178" i="5"/>
  <c r="P178" i="5"/>
  <c r="R177" i="5"/>
  <c r="Q177" i="5"/>
  <c r="P177" i="5"/>
  <c r="R176" i="5"/>
  <c r="Q176" i="5"/>
  <c r="P176" i="5"/>
  <c r="R175" i="5"/>
  <c r="Q175" i="5"/>
  <c r="P175" i="5"/>
  <c r="R174" i="5"/>
  <c r="Q174" i="5"/>
  <c r="P174" i="5"/>
  <c r="R173" i="5"/>
  <c r="Q173" i="5"/>
  <c r="P173" i="5"/>
  <c r="R172" i="5"/>
  <c r="Q172" i="5"/>
  <c r="P172" i="5"/>
  <c r="R171" i="5"/>
  <c r="Q171" i="5"/>
  <c r="P171" i="5"/>
  <c r="R170" i="5"/>
  <c r="Q170" i="5"/>
  <c r="P170" i="5"/>
  <c r="R169" i="5"/>
  <c r="Q169" i="5"/>
  <c r="P169" i="5"/>
  <c r="R168" i="5"/>
  <c r="Q168" i="5"/>
  <c r="P168" i="5"/>
  <c r="R167" i="5"/>
  <c r="Q167" i="5"/>
  <c r="P167" i="5"/>
  <c r="R166" i="5"/>
  <c r="Q166" i="5"/>
  <c r="P166" i="5"/>
  <c r="R165" i="5"/>
  <c r="Q165" i="5"/>
  <c r="P165" i="5"/>
  <c r="R164" i="5"/>
  <c r="Q164" i="5"/>
  <c r="P164" i="5"/>
  <c r="R163" i="5"/>
  <c r="Q163" i="5"/>
  <c r="P163" i="5"/>
  <c r="R162" i="5"/>
  <c r="Q162" i="5"/>
  <c r="P162" i="5"/>
  <c r="R161" i="5"/>
  <c r="Q161" i="5"/>
  <c r="P161" i="5"/>
  <c r="R160" i="5"/>
  <c r="Q160" i="5"/>
  <c r="P160" i="5"/>
  <c r="R159" i="5"/>
  <c r="Q159" i="5"/>
  <c r="P159" i="5"/>
  <c r="R158" i="5"/>
  <c r="Q158" i="5"/>
  <c r="P158" i="5"/>
  <c r="R157" i="5"/>
  <c r="Q157" i="5"/>
  <c r="P157" i="5"/>
  <c r="R156" i="5"/>
  <c r="Q156" i="5"/>
  <c r="P156" i="5"/>
  <c r="R155" i="5"/>
  <c r="Q155" i="5"/>
  <c r="P155" i="5"/>
  <c r="R154" i="5"/>
  <c r="Q154" i="5"/>
  <c r="P154" i="5"/>
  <c r="R153" i="5"/>
  <c r="Q153" i="5"/>
  <c r="P153" i="5"/>
  <c r="R152" i="5"/>
  <c r="Q152" i="5"/>
  <c r="P152" i="5"/>
  <c r="R151" i="5"/>
  <c r="Q151" i="5"/>
  <c r="P151" i="5"/>
  <c r="R150" i="5"/>
  <c r="Q150" i="5"/>
  <c r="P150" i="5"/>
  <c r="R149" i="5"/>
  <c r="Q149" i="5"/>
  <c r="P149" i="5"/>
  <c r="R148" i="5"/>
  <c r="Q148" i="5"/>
  <c r="P148" i="5"/>
  <c r="R147" i="5"/>
  <c r="Q147" i="5"/>
  <c r="P147" i="5"/>
  <c r="R146" i="5"/>
  <c r="Q146" i="5"/>
  <c r="P146" i="5"/>
  <c r="R145" i="5"/>
  <c r="Q145" i="5"/>
  <c r="P145" i="5"/>
  <c r="R144" i="5"/>
  <c r="Q144" i="5"/>
  <c r="P144" i="5"/>
  <c r="R143" i="5"/>
  <c r="Q143" i="5"/>
  <c r="P143" i="5"/>
  <c r="R142" i="5"/>
  <c r="Q142" i="5"/>
  <c r="P142" i="5"/>
  <c r="R141" i="5"/>
  <c r="Q141" i="5"/>
  <c r="P141" i="5"/>
  <c r="R140" i="5"/>
  <c r="Q140" i="5"/>
  <c r="P140" i="5"/>
  <c r="R139" i="5"/>
  <c r="Q139" i="5"/>
  <c r="P139" i="5"/>
  <c r="R138" i="5"/>
  <c r="Q138" i="5"/>
  <c r="P138" i="5"/>
  <c r="R137" i="5"/>
  <c r="Q137" i="5"/>
  <c r="P137" i="5"/>
  <c r="R136" i="5"/>
  <c r="Q136" i="5"/>
  <c r="P136" i="5"/>
  <c r="R135" i="5"/>
  <c r="Q135" i="5"/>
  <c r="P135" i="5"/>
  <c r="R134" i="5"/>
  <c r="Q134" i="5"/>
  <c r="P134" i="5"/>
  <c r="R133" i="5"/>
  <c r="Q133" i="5"/>
  <c r="P133" i="5"/>
  <c r="R132" i="5"/>
  <c r="Q132" i="5"/>
  <c r="P132" i="5"/>
  <c r="R131" i="5"/>
  <c r="Q131" i="5"/>
  <c r="P131" i="5"/>
  <c r="R130" i="5"/>
  <c r="Q130" i="5"/>
  <c r="P130" i="5"/>
  <c r="R129" i="5"/>
  <c r="Q129" i="5"/>
  <c r="P129" i="5"/>
  <c r="R128" i="5"/>
  <c r="Q128" i="5"/>
  <c r="P128" i="5"/>
  <c r="R127" i="5"/>
  <c r="Q127" i="5"/>
  <c r="P127" i="5"/>
  <c r="R126" i="5"/>
  <c r="Q126" i="5"/>
  <c r="P126" i="5"/>
  <c r="R125" i="5"/>
  <c r="Q125" i="5"/>
  <c r="P125" i="5"/>
  <c r="R124" i="5"/>
  <c r="Q124" i="5"/>
  <c r="P124" i="5"/>
  <c r="R123" i="5"/>
  <c r="Q123" i="5"/>
  <c r="P123" i="5"/>
  <c r="R122" i="5"/>
  <c r="Q122" i="5"/>
  <c r="P122" i="5"/>
  <c r="R121" i="5"/>
  <c r="Q121" i="5"/>
  <c r="P121" i="5"/>
  <c r="R120" i="5"/>
  <c r="Q120" i="5"/>
  <c r="P120" i="5"/>
  <c r="R119" i="5"/>
  <c r="Q119" i="5"/>
  <c r="P119" i="5"/>
  <c r="R118" i="5"/>
  <c r="Q118" i="5"/>
  <c r="P118" i="5"/>
  <c r="R117" i="5"/>
  <c r="Q117" i="5"/>
  <c r="P117" i="5"/>
  <c r="R116" i="5"/>
  <c r="Q116" i="5"/>
  <c r="P116" i="5"/>
  <c r="R115" i="5"/>
  <c r="Q115" i="5"/>
  <c r="P115" i="5"/>
  <c r="R114" i="5"/>
  <c r="Q114" i="5"/>
  <c r="P114" i="5"/>
  <c r="R113" i="5"/>
  <c r="Q113" i="5"/>
  <c r="P113" i="5"/>
  <c r="R112" i="5"/>
  <c r="Q112" i="5"/>
  <c r="P112" i="5"/>
  <c r="R111" i="5"/>
  <c r="Q111" i="5"/>
  <c r="P111" i="5"/>
  <c r="R110" i="5"/>
  <c r="Q110" i="5"/>
  <c r="P110" i="5"/>
  <c r="R109" i="5"/>
  <c r="Q109" i="5"/>
  <c r="P109" i="5"/>
  <c r="R108" i="5"/>
  <c r="Q108" i="5"/>
  <c r="P108" i="5"/>
  <c r="R107" i="5"/>
  <c r="Q107" i="5"/>
  <c r="P107" i="5"/>
  <c r="R106" i="5"/>
  <c r="Q106" i="5"/>
  <c r="P106" i="5"/>
  <c r="R105" i="5"/>
  <c r="Q105" i="5"/>
  <c r="P105" i="5"/>
  <c r="R104" i="5"/>
  <c r="Q104" i="5"/>
  <c r="P104" i="5"/>
  <c r="R103" i="5"/>
  <c r="Q103" i="5"/>
  <c r="P103" i="5"/>
  <c r="R102" i="5"/>
  <c r="Q102" i="5"/>
  <c r="P102" i="5"/>
  <c r="R101" i="5"/>
  <c r="Q101" i="5"/>
  <c r="P101" i="5"/>
  <c r="R100" i="5"/>
  <c r="Q100" i="5"/>
  <c r="P100" i="5"/>
  <c r="R99" i="5"/>
  <c r="Q99" i="5"/>
  <c r="P99" i="5"/>
  <c r="R98" i="5"/>
  <c r="Q98" i="5"/>
  <c r="P98" i="5"/>
  <c r="R97" i="5"/>
  <c r="Q97" i="5"/>
  <c r="P97" i="5"/>
  <c r="R96" i="5"/>
  <c r="Q96" i="5"/>
  <c r="P96" i="5"/>
  <c r="R95" i="5"/>
  <c r="Q95" i="5"/>
  <c r="P95" i="5"/>
  <c r="R94" i="5"/>
  <c r="Q94" i="5"/>
  <c r="P94" i="5"/>
  <c r="R93" i="5"/>
  <c r="Q93" i="5"/>
  <c r="P93" i="5"/>
  <c r="R92" i="5"/>
  <c r="Q92" i="5"/>
  <c r="P92" i="5"/>
  <c r="R91" i="5"/>
  <c r="Q91" i="5"/>
  <c r="P91" i="5"/>
  <c r="R90" i="5"/>
  <c r="Q90" i="5"/>
  <c r="P90" i="5"/>
  <c r="R89" i="5"/>
  <c r="Q89" i="5"/>
  <c r="P89" i="5"/>
  <c r="R88" i="5"/>
  <c r="Q88" i="5"/>
  <c r="P88" i="5"/>
  <c r="R87" i="5"/>
  <c r="Q87" i="5"/>
  <c r="P87" i="5"/>
  <c r="R86" i="5"/>
  <c r="Q86" i="5"/>
  <c r="P86" i="5"/>
  <c r="R85" i="5"/>
  <c r="Q85" i="5"/>
  <c r="P85" i="5"/>
  <c r="R84" i="5"/>
  <c r="Q84" i="5"/>
  <c r="P84" i="5"/>
  <c r="R83" i="5"/>
  <c r="Q83" i="5"/>
  <c r="P83" i="5"/>
  <c r="R82" i="5"/>
  <c r="Q82" i="5"/>
  <c r="P82" i="5"/>
  <c r="R81" i="5"/>
  <c r="Q81" i="5"/>
  <c r="P81" i="5"/>
  <c r="R80" i="5"/>
  <c r="Q80" i="5"/>
  <c r="P80" i="5"/>
  <c r="R79" i="5"/>
  <c r="Q79" i="5"/>
  <c r="P79" i="5"/>
  <c r="R78" i="5"/>
  <c r="Q78" i="5"/>
  <c r="P78" i="5"/>
  <c r="R77" i="5"/>
  <c r="Q77" i="5"/>
  <c r="P77" i="5"/>
  <c r="R76" i="5"/>
  <c r="Q76" i="5"/>
  <c r="P76" i="5"/>
  <c r="R75" i="5"/>
  <c r="Q75" i="5"/>
  <c r="P75" i="5"/>
  <c r="R74" i="5"/>
  <c r="Q74" i="5"/>
  <c r="P74" i="5"/>
  <c r="R73" i="5"/>
  <c r="Q73" i="5"/>
  <c r="P73" i="5"/>
  <c r="R72" i="5"/>
  <c r="Q72" i="5"/>
  <c r="P72" i="5"/>
  <c r="R71" i="5"/>
  <c r="Q71" i="5"/>
  <c r="P71" i="5"/>
  <c r="R70" i="5"/>
  <c r="Q70" i="5"/>
  <c r="P70" i="5"/>
  <c r="R69" i="5"/>
  <c r="Q69" i="5"/>
  <c r="P69" i="5"/>
  <c r="R68" i="5"/>
  <c r="Q68" i="5"/>
  <c r="P68" i="5"/>
  <c r="R67" i="5"/>
  <c r="Q67" i="5"/>
  <c r="P67" i="5"/>
  <c r="R66" i="5"/>
  <c r="Q66" i="5"/>
  <c r="P66" i="5"/>
  <c r="R65" i="5"/>
  <c r="Q65" i="5"/>
  <c r="P65" i="5"/>
  <c r="R64" i="5"/>
  <c r="Q64" i="5"/>
  <c r="P64" i="5"/>
  <c r="R63" i="5"/>
  <c r="Q63" i="5"/>
  <c r="P63" i="5"/>
  <c r="R62" i="5"/>
  <c r="Q62" i="5"/>
  <c r="P62" i="5"/>
  <c r="R61" i="5"/>
  <c r="Q61" i="5"/>
  <c r="P61" i="5"/>
  <c r="R60" i="5"/>
  <c r="Q60" i="5"/>
  <c r="P60" i="5"/>
  <c r="R59" i="5"/>
  <c r="Q59" i="5"/>
  <c r="P59" i="5"/>
  <c r="R58" i="5"/>
  <c r="Q58" i="5"/>
  <c r="P58" i="5"/>
  <c r="R57" i="5"/>
  <c r="Q57" i="5"/>
  <c r="P57" i="5"/>
  <c r="R56" i="5"/>
  <c r="Q56" i="5"/>
  <c r="P56" i="5"/>
  <c r="R55" i="5"/>
  <c r="Q55" i="5"/>
  <c r="P55" i="5"/>
  <c r="R54" i="5"/>
  <c r="Q54" i="5"/>
  <c r="P54" i="5"/>
  <c r="R53" i="5"/>
  <c r="Q53" i="5"/>
  <c r="P53" i="5"/>
  <c r="R52" i="5"/>
  <c r="Q52" i="5"/>
  <c r="P52" i="5"/>
  <c r="R51" i="5"/>
  <c r="Q51" i="5"/>
  <c r="P51" i="5"/>
  <c r="R50" i="5"/>
  <c r="Q50" i="5"/>
  <c r="P50" i="5"/>
  <c r="R49" i="5"/>
  <c r="Q49" i="5"/>
  <c r="P49" i="5"/>
  <c r="R48" i="5"/>
  <c r="Q48" i="5"/>
  <c r="P48" i="5"/>
  <c r="R47" i="5"/>
  <c r="Q47" i="5"/>
  <c r="P47" i="5"/>
  <c r="R46" i="5"/>
  <c r="Q46" i="5"/>
  <c r="P46" i="5"/>
  <c r="R45" i="5"/>
  <c r="Q45" i="5"/>
  <c r="P45" i="5"/>
  <c r="R44" i="5"/>
  <c r="Q44" i="5"/>
  <c r="P44" i="5"/>
  <c r="R43" i="5"/>
  <c r="Q43" i="5"/>
  <c r="P43" i="5"/>
  <c r="R42" i="5"/>
  <c r="Q42" i="5"/>
  <c r="P42" i="5"/>
  <c r="R41" i="5"/>
  <c r="Q41" i="5"/>
  <c r="P41" i="5"/>
  <c r="R40" i="5"/>
  <c r="Q40" i="5"/>
  <c r="P40" i="5"/>
  <c r="R39" i="5"/>
  <c r="Q39" i="5"/>
  <c r="P39" i="5"/>
  <c r="R38" i="5"/>
  <c r="Q38" i="5"/>
  <c r="P38" i="5"/>
  <c r="R37" i="5"/>
  <c r="Q37" i="5"/>
  <c r="P37" i="5"/>
  <c r="R36" i="5"/>
  <c r="Q36" i="5"/>
  <c r="P36" i="5"/>
  <c r="R35" i="5"/>
  <c r="Q35" i="5"/>
  <c r="P35" i="5"/>
  <c r="R34" i="5"/>
  <c r="Q34" i="5"/>
  <c r="P34" i="5"/>
  <c r="R33" i="5"/>
  <c r="Q33" i="5"/>
  <c r="P33" i="5"/>
  <c r="R32" i="5"/>
  <c r="Q32" i="5"/>
  <c r="P32" i="5"/>
  <c r="R31" i="5"/>
  <c r="Q31" i="5"/>
  <c r="P31" i="5"/>
  <c r="R30" i="5"/>
  <c r="Q30" i="5"/>
  <c r="P30" i="5"/>
  <c r="R29" i="5"/>
  <c r="Q29" i="5"/>
  <c r="P29" i="5"/>
  <c r="R28" i="5"/>
  <c r="Q28" i="5"/>
  <c r="P28" i="5"/>
  <c r="R27" i="5"/>
  <c r="Q27" i="5"/>
  <c r="P27" i="5"/>
  <c r="R26" i="5"/>
  <c r="Q26" i="5"/>
  <c r="P26" i="5"/>
  <c r="R25" i="5"/>
  <c r="Q25" i="5"/>
  <c r="P25" i="5"/>
  <c r="R24" i="5"/>
  <c r="Q24" i="5"/>
  <c r="P24" i="5"/>
  <c r="R23" i="5"/>
  <c r="Q23" i="5"/>
  <c r="P23" i="5"/>
  <c r="R22" i="5"/>
  <c r="Q22" i="5"/>
  <c r="P22" i="5"/>
  <c r="R21" i="5"/>
  <c r="Q21" i="5"/>
  <c r="P21" i="5"/>
  <c r="R20" i="5"/>
  <c r="Q20" i="5"/>
  <c r="P20" i="5"/>
  <c r="R19" i="5"/>
  <c r="Q19" i="5"/>
  <c r="P19" i="5"/>
  <c r="R18" i="5"/>
  <c r="Q18" i="5"/>
  <c r="P18" i="5"/>
  <c r="R17" i="5"/>
  <c r="Q17" i="5"/>
  <c r="P17" i="5"/>
  <c r="R16" i="5"/>
  <c r="Q16" i="5"/>
  <c r="P16" i="5"/>
  <c r="R15" i="5"/>
  <c r="Q15" i="5"/>
  <c r="P15" i="5"/>
  <c r="R14" i="5"/>
  <c r="Q14" i="5"/>
  <c r="P14" i="5"/>
  <c r="R13" i="5"/>
  <c r="Q13" i="5"/>
  <c r="P13" i="5"/>
  <c r="R12" i="5"/>
  <c r="Q12" i="5"/>
  <c r="P12" i="5"/>
  <c r="R11" i="5"/>
  <c r="Q11" i="5"/>
  <c r="P11" i="5"/>
  <c r="R10" i="5"/>
  <c r="Q10" i="5"/>
  <c r="P10" i="5"/>
  <c r="R9" i="5"/>
  <c r="Q9" i="5"/>
  <c r="P9" i="5"/>
  <c r="R8" i="5"/>
  <c r="Q8" i="5"/>
  <c r="P8" i="5"/>
  <c r="R7" i="5"/>
  <c r="Q7" i="5"/>
  <c r="P7" i="5"/>
  <c r="R6" i="5"/>
  <c r="Q6" i="5"/>
  <c r="P6" i="5"/>
  <c r="R5" i="5"/>
  <c r="Q5" i="5"/>
  <c r="P5" i="5"/>
  <c r="R4" i="5"/>
  <c r="Q4" i="5"/>
  <c r="P4" i="5"/>
  <c r="R3" i="5"/>
  <c r="Q3" i="5"/>
  <c r="P3" i="5"/>
  <c r="R2" i="5"/>
  <c r="Q2" i="5"/>
  <c r="P2" i="5"/>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AW16" i="3"/>
  <c r="AW15" i="3"/>
  <c r="AW14" i="3"/>
</calcChain>
</file>

<file path=xl/sharedStrings.xml><?xml version="1.0" encoding="utf-8"?>
<sst xmlns="http://schemas.openxmlformats.org/spreadsheetml/2006/main" count="16293" uniqueCount="1264">
  <si>
    <t>Loan_ID</t>
  </si>
  <si>
    <t>Gender</t>
  </si>
  <si>
    <t>Married</t>
  </si>
  <si>
    <t>Dependents</t>
  </si>
  <si>
    <t>Education</t>
  </si>
  <si>
    <t>Self_Employed</t>
  </si>
  <si>
    <t>ApplicantIncome</t>
  </si>
  <si>
    <t>CoapplicantIncome</t>
  </si>
  <si>
    <t>LoanAmount</t>
  </si>
  <si>
    <t>Loan_Amount_Term</t>
  </si>
  <si>
    <t>Credit_History</t>
  </si>
  <si>
    <t>Property_Area</t>
  </si>
  <si>
    <t>Loan_Status</t>
  </si>
  <si>
    <t>LP0000000</t>
  </si>
  <si>
    <t>male</t>
  </si>
  <si>
    <t>YES</t>
  </si>
  <si>
    <t>3+</t>
  </si>
  <si>
    <t>Not Graduate</t>
  </si>
  <si>
    <t>no</t>
  </si>
  <si>
    <t>Semiurban</t>
  </si>
  <si>
    <t>Y</t>
  </si>
  <si>
    <t>LP0000001</t>
  </si>
  <si>
    <t>No</t>
  </si>
  <si>
    <t>LP0000002</t>
  </si>
  <si>
    <t>yes</t>
  </si>
  <si>
    <t>Graduate</t>
  </si>
  <si>
    <t>N</t>
  </si>
  <si>
    <t>LP0000003</t>
  </si>
  <si>
    <t>Female</t>
  </si>
  <si>
    <t>Yes</t>
  </si>
  <si>
    <t>Rural</t>
  </si>
  <si>
    <t>LP0000004</t>
  </si>
  <si>
    <t>LP0000005</t>
  </si>
  <si>
    <t>MALE</t>
  </si>
  <si>
    <t>LP0000006</t>
  </si>
  <si>
    <t>LP0000007</t>
  </si>
  <si>
    <t>NO</t>
  </si>
  <si>
    <t>LP0000008</t>
  </si>
  <si>
    <t>LP0000009</t>
  </si>
  <si>
    <t>LP0000010</t>
  </si>
  <si>
    <t>LP0000011</t>
  </si>
  <si>
    <t>Urban</t>
  </si>
  <si>
    <t>LP0000012</t>
  </si>
  <si>
    <t>female</t>
  </si>
  <si>
    <t>LP0000013</t>
  </si>
  <si>
    <t>LP0000014</t>
  </si>
  <si>
    <t>LP0000015</t>
  </si>
  <si>
    <t>LP0000016</t>
  </si>
  <si>
    <t>LP0000017</t>
  </si>
  <si>
    <t>LP0000018</t>
  </si>
  <si>
    <t>LP0000019</t>
  </si>
  <si>
    <t>LP0000020</t>
  </si>
  <si>
    <t>Male</t>
  </si>
  <si>
    <t>LP0000021</t>
  </si>
  <si>
    <t>LP0000022</t>
  </si>
  <si>
    <t>LP0000023</t>
  </si>
  <si>
    <t>LP0000024</t>
  </si>
  <si>
    <t>LP0000025</t>
  </si>
  <si>
    <t>LP0000026</t>
  </si>
  <si>
    <t>LP0000027</t>
  </si>
  <si>
    <t>LP0000028</t>
  </si>
  <si>
    <t>FEMALE</t>
  </si>
  <si>
    <t>LP0000029</t>
  </si>
  <si>
    <t>LP0000030</t>
  </si>
  <si>
    <t>LP0000031</t>
  </si>
  <si>
    <t>LP0000032</t>
  </si>
  <si>
    <t>LP0000033</t>
  </si>
  <si>
    <t>LP0000034</t>
  </si>
  <si>
    <t>LP0000035</t>
  </si>
  <si>
    <t>LP0000036</t>
  </si>
  <si>
    <t>LP0000037</t>
  </si>
  <si>
    <t>LP0000038</t>
  </si>
  <si>
    <t>LP0000039</t>
  </si>
  <si>
    <t>LP0000040</t>
  </si>
  <si>
    <t>LP0000041</t>
  </si>
  <si>
    <t>LP0000042</t>
  </si>
  <si>
    <t>LP0000043</t>
  </si>
  <si>
    <t>LP0000044</t>
  </si>
  <si>
    <t>LP0000045</t>
  </si>
  <si>
    <t>LP0000046</t>
  </si>
  <si>
    <t>LP0000047</t>
  </si>
  <si>
    <t>LP0000048</t>
  </si>
  <si>
    <t>LP0000049</t>
  </si>
  <si>
    <t>LP0000050</t>
  </si>
  <si>
    <t>LP0000051</t>
  </si>
  <si>
    <t>LP0000052</t>
  </si>
  <si>
    <t>LP0000053</t>
  </si>
  <si>
    <t>LP0000054</t>
  </si>
  <si>
    <t>LP0000055</t>
  </si>
  <si>
    <t>LP0000056</t>
  </si>
  <si>
    <t>LP0000057</t>
  </si>
  <si>
    <t>LP0000058</t>
  </si>
  <si>
    <t>LP0000059</t>
  </si>
  <si>
    <t>LP0000060</t>
  </si>
  <si>
    <t>LP0000061</t>
  </si>
  <si>
    <t>LP0000062</t>
  </si>
  <si>
    <t>LP0000063</t>
  </si>
  <si>
    <t>LP0000064</t>
  </si>
  <si>
    <t>LP0000065</t>
  </si>
  <si>
    <t>LP0000066</t>
  </si>
  <si>
    <t>LP0000067</t>
  </si>
  <si>
    <t>LP0000068</t>
  </si>
  <si>
    <t>LP0000069</t>
  </si>
  <si>
    <t>LP0000070</t>
  </si>
  <si>
    <t>LP0000071</t>
  </si>
  <si>
    <t>LP0000072</t>
  </si>
  <si>
    <t>LP0000073</t>
  </si>
  <si>
    <t>LP0000074</t>
  </si>
  <si>
    <t>LP0000075</t>
  </si>
  <si>
    <t>LP0000076</t>
  </si>
  <si>
    <t>LP0000077</t>
  </si>
  <si>
    <t>LP0000078</t>
  </si>
  <si>
    <t>LP0000079</t>
  </si>
  <si>
    <t>LP0000080</t>
  </si>
  <si>
    <t>LP0000081</t>
  </si>
  <si>
    <t>LP0000082</t>
  </si>
  <si>
    <t>LP0000083</t>
  </si>
  <si>
    <t>LP0000084</t>
  </si>
  <si>
    <t>LP0000085</t>
  </si>
  <si>
    <t>LP0000086</t>
  </si>
  <si>
    <t>LP0000087</t>
  </si>
  <si>
    <t>LP0000088</t>
  </si>
  <si>
    <t>LP0000089</t>
  </si>
  <si>
    <t>LP0000090</t>
  </si>
  <si>
    <t>LP0000091</t>
  </si>
  <si>
    <t>LP0000092</t>
  </si>
  <si>
    <t>LP0000093</t>
  </si>
  <si>
    <t>LP0000094</t>
  </si>
  <si>
    <t>LP0000095</t>
  </si>
  <si>
    <t>LP0000096</t>
  </si>
  <si>
    <t>LP0000097</t>
  </si>
  <si>
    <t>LP0000098</t>
  </si>
  <si>
    <t>LP0000099</t>
  </si>
  <si>
    <t>LP0000100</t>
  </si>
  <si>
    <t>LP0000101</t>
  </si>
  <si>
    <t>LP0000102</t>
  </si>
  <si>
    <t>LP0000103</t>
  </si>
  <si>
    <t>LP0000104</t>
  </si>
  <si>
    <t>LP0000105</t>
  </si>
  <si>
    <t>LP0000106</t>
  </si>
  <si>
    <t>LP0000107</t>
  </si>
  <si>
    <t>LP0000108</t>
  </si>
  <si>
    <t>LP0000109</t>
  </si>
  <si>
    <t>LP0000110</t>
  </si>
  <si>
    <t>LP0000111</t>
  </si>
  <si>
    <t>LP0000112</t>
  </si>
  <si>
    <t>LP0000113</t>
  </si>
  <si>
    <t>LP0000114</t>
  </si>
  <si>
    <t>LP0000115</t>
  </si>
  <si>
    <t>LP0000116</t>
  </si>
  <si>
    <t>LP0000117</t>
  </si>
  <si>
    <t>LP0000118</t>
  </si>
  <si>
    <t>LP0000119</t>
  </si>
  <si>
    <t>LP0000120</t>
  </si>
  <si>
    <t>LP0000121</t>
  </si>
  <si>
    <t>LP0000122</t>
  </si>
  <si>
    <t>LP0000123</t>
  </si>
  <si>
    <t>LP0000124</t>
  </si>
  <si>
    <t>LP0000125</t>
  </si>
  <si>
    <t>LP0000126</t>
  </si>
  <si>
    <t>LP0000127</t>
  </si>
  <si>
    <t>LP0000128</t>
  </si>
  <si>
    <t>LP0000129</t>
  </si>
  <si>
    <t>LP0000130</t>
  </si>
  <si>
    <t>LP0000131</t>
  </si>
  <si>
    <t>LP0000132</t>
  </si>
  <si>
    <t>LP0000133</t>
  </si>
  <si>
    <t>LP0000134</t>
  </si>
  <si>
    <t>LP0000135</t>
  </si>
  <si>
    <t>LP0000136</t>
  </si>
  <si>
    <t>LP0000137</t>
  </si>
  <si>
    <t>LP0000138</t>
  </si>
  <si>
    <t>LP0000139</t>
  </si>
  <si>
    <t>LP0000140</t>
  </si>
  <si>
    <t>LP0000141</t>
  </si>
  <si>
    <t>LP0000142</t>
  </si>
  <si>
    <t>LP0000143</t>
  </si>
  <si>
    <t>LP0000144</t>
  </si>
  <si>
    <t>LP0000145</t>
  </si>
  <si>
    <t>LP0000146</t>
  </si>
  <si>
    <t>LP0000147</t>
  </si>
  <si>
    <t>LP0000148</t>
  </si>
  <si>
    <t>LP0000149</t>
  </si>
  <si>
    <t>LP0000150</t>
  </si>
  <si>
    <t>LP0000151</t>
  </si>
  <si>
    <t>LP0000152</t>
  </si>
  <si>
    <t>LP0000153</t>
  </si>
  <si>
    <t>LP0000154</t>
  </si>
  <si>
    <t>LP0000155</t>
  </si>
  <si>
    <t>LP0000156</t>
  </si>
  <si>
    <t>LP0000157</t>
  </si>
  <si>
    <t>LP0000158</t>
  </si>
  <si>
    <t>LP0000159</t>
  </si>
  <si>
    <t>LP0000160</t>
  </si>
  <si>
    <t>LP0000161</t>
  </si>
  <si>
    <t>LP0000162</t>
  </si>
  <si>
    <t>LP0000163</t>
  </si>
  <si>
    <t>LP0000164</t>
  </si>
  <si>
    <t>LP0000165</t>
  </si>
  <si>
    <t>LP0000166</t>
  </si>
  <si>
    <t>LP0000167</t>
  </si>
  <si>
    <t>LP0000168</t>
  </si>
  <si>
    <t>LP0000169</t>
  </si>
  <si>
    <t>LP0000170</t>
  </si>
  <si>
    <t>LP0000171</t>
  </si>
  <si>
    <t>LP0000172</t>
  </si>
  <si>
    <t>LP0000173</t>
  </si>
  <si>
    <t>LP0000174</t>
  </si>
  <si>
    <t>LP0000175</t>
  </si>
  <si>
    <t>LP0000176</t>
  </si>
  <si>
    <t>LP0000177</t>
  </si>
  <si>
    <t>LP0000178</t>
  </si>
  <si>
    <t>LP0000179</t>
  </si>
  <si>
    <t>LP0000180</t>
  </si>
  <si>
    <t>LP0000181</t>
  </si>
  <si>
    <t>LP0000182</t>
  </si>
  <si>
    <t>LP0000183</t>
  </si>
  <si>
    <t>LP0000184</t>
  </si>
  <si>
    <t>LP0000185</t>
  </si>
  <si>
    <t>LP0000186</t>
  </si>
  <si>
    <t>LP0000187</t>
  </si>
  <si>
    <t>LP0000188</t>
  </si>
  <si>
    <t>LP0000189</t>
  </si>
  <si>
    <t>LP0000190</t>
  </si>
  <si>
    <t>LP0000191</t>
  </si>
  <si>
    <t>LP0000192</t>
  </si>
  <si>
    <t>LP0000193</t>
  </si>
  <si>
    <t>LP0000194</t>
  </si>
  <si>
    <t>LP0000195</t>
  </si>
  <si>
    <t>LP0000196</t>
  </si>
  <si>
    <t>LP0000197</t>
  </si>
  <si>
    <t>LP0000198</t>
  </si>
  <si>
    <t>LP0000199</t>
  </si>
  <si>
    <t>LP0000200</t>
  </si>
  <si>
    <t>LP0000201</t>
  </si>
  <si>
    <t>LP0000202</t>
  </si>
  <si>
    <t>LP0000203</t>
  </si>
  <si>
    <t>LP0000204</t>
  </si>
  <si>
    <t>LP0000205</t>
  </si>
  <si>
    <t>LP0000206</t>
  </si>
  <si>
    <t>LP0000207</t>
  </si>
  <si>
    <t>LP0000208</t>
  </si>
  <si>
    <t>LP0000209</t>
  </si>
  <si>
    <t>LP0000210</t>
  </si>
  <si>
    <t>LP0000211</t>
  </si>
  <si>
    <t>LP0000212</t>
  </si>
  <si>
    <t>LP0000213</t>
  </si>
  <si>
    <t>LP0000214</t>
  </si>
  <si>
    <t>LP0000215</t>
  </si>
  <si>
    <t>LP0000216</t>
  </si>
  <si>
    <t>LP0000217</t>
  </si>
  <si>
    <t>LP0000218</t>
  </si>
  <si>
    <t>LP0000219</t>
  </si>
  <si>
    <t>LP0000220</t>
  </si>
  <si>
    <t>LP0000221</t>
  </si>
  <si>
    <t>LP0000222</t>
  </si>
  <si>
    <t>LP0000223</t>
  </si>
  <si>
    <t>LP0000224</t>
  </si>
  <si>
    <t>LP0000225</t>
  </si>
  <si>
    <t>LP0000226</t>
  </si>
  <si>
    <t>LP0000227</t>
  </si>
  <si>
    <t>LP0000228</t>
  </si>
  <si>
    <t>LP0000229</t>
  </si>
  <si>
    <t>LP0000230</t>
  </si>
  <si>
    <t>LP0000231</t>
  </si>
  <si>
    <t>LP0000232</t>
  </si>
  <si>
    <t>LP0000233</t>
  </si>
  <si>
    <t>LP0000234</t>
  </si>
  <si>
    <t>LP0000235</t>
  </si>
  <si>
    <t>LP0000236</t>
  </si>
  <si>
    <t>LP0000237</t>
  </si>
  <si>
    <t>LP0000238</t>
  </si>
  <si>
    <t>LP0000239</t>
  </si>
  <si>
    <t>LP0000240</t>
  </si>
  <si>
    <t>LP0000241</t>
  </si>
  <si>
    <t>LP0000242</t>
  </si>
  <si>
    <t>LP0000243</t>
  </si>
  <si>
    <t>LP0000244</t>
  </si>
  <si>
    <t>LP0000245</t>
  </si>
  <si>
    <t>LP0000246</t>
  </si>
  <si>
    <t>LP0000247</t>
  </si>
  <si>
    <t>LP0000248</t>
  </si>
  <si>
    <t>LP0000249</t>
  </si>
  <si>
    <t>LP0000250</t>
  </si>
  <si>
    <t>LP0000251</t>
  </si>
  <si>
    <t>LP0000252</t>
  </si>
  <si>
    <t>LP0000253</t>
  </si>
  <si>
    <t>LP0000254</t>
  </si>
  <si>
    <t>LP0000255</t>
  </si>
  <si>
    <t>LP0000256</t>
  </si>
  <si>
    <t>LP0000257</t>
  </si>
  <si>
    <t>LP0000258</t>
  </si>
  <si>
    <t>LP0000259</t>
  </si>
  <si>
    <t>LP0000260</t>
  </si>
  <si>
    <t>LP0000261</t>
  </si>
  <si>
    <t>LP0000262</t>
  </si>
  <si>
    <t>LP0000263</t>
  </si>
  <si>
    <t>LP0000264</t>
  </si>
  <si>
    <t>LP0000265</t>
  </si>
  <si>
    <t>LP0000266</t>
  </si>
  <si>
    <t>LP0000267</t>
  </si>
  <si>
    <t>LP0000268</t>
  </si>
  <si>
    <t>LP0000269</t>
  </si>
  <si>
    <t>LP0000270</t>
  </si>
  <si>
    <t>LP0000271</t>
  </si>
  <si>
    <t>LP0000272</t>
  </si>
  <si>
    <t>LP0000273</t>
  </si>
  <si>
    <t>LP0000274</t>
  </si>
  <si>
    <t>LP0000275</t>
  </si>
  <si>
    <t>LP0000276</t>
  </si>
  <si>
    <t>LP0000277</t>
  </si>
  <si>
    <t>LP0000278</t>
  </si>
  <si>
    <t>LP0000279</t>
  </si>
  <si>
    <t>LP0000280</t>
  </si>
  <si>
    <t>LP0000281</t>
  </si>
  <si>
    <t>LP0000282</t>
  </si>
  <si>
    <t>LP0000283</t>
  </si>
  <si>
    <t>LP0000284</t>
  </si>
  <si>
    <t>LP0000285</t>
  </si>
  <si>
    <t>LP0000286</t>
  </si>
  <si>
    <t>LP0000287</t>
  </si>
  <si>
    <t>LP0000288</t>
  </si>
  <si>
    <t>LP0000289</t>
  </si>
  <si>
    <t>LP0000290</t>
  </si>
  <si>
    <t>LP0000291</t>
  </si>
  <si>
    <t>LP0000292</t>
  </si>
  <si>
    <t>LP0000293</t>
  </si>
  <si>
    <t>LP0000294</t>
  </si>
  <si>
    <t>LP0000295</t>
  </si>
  <si>
    <t>LP0000296</t>
  </si>
  <si>
    <t>LP0000297</t>
  </si>
  <si>
    <t>LP0000298</t>
  </si>
  <si>
    <t>LP0000299</t>
  </si>
  <si>
    <t>LP0000300</t>
  </si>
  <si>
    <t>LP0000301</t>
  </si>
  <si>
    <t>LP0000302</t>
  </si>
  <si>
    <t>LP0000303</t>
  </si>
  <si>
    <t>LP0000304</t>
  </si>
  <si>
    <t>LP0000305</t>
  </si>
  <si>
    <t>LP0000306</t>
  </si>
  <si>
    <t>LP0000307</t>
  </si>
  <si>
    <t>LP0000308</t>
  </si>
  <si>
    <t>LP0000309</t>
  </si>
  <si>
    <t>LP0000310</t>
  </si>
  <si>
    <t>LP0000311</t>
  </si>
  <si>
    <t>LP0000312</t>
  </si>
  <si>
    <t>LP0000313</t>
  </si>
  <si>
    <t>LP0000314</t>
  </si>
  <si>
    <t>LP0000315</t>
  </si>
  <si>
    <t>LP0000316</t>
  </si>
  <si>
    <t>LP0000317</t>
  </si>
  <si>
    <t>LP0000318</t>
  </si>
  <si>
    <t>LP0000319</t>
  </si>
  <si>
    <t>LP0000320</t>
  </si>
  <si>
    <t>LP0000321</t>
  </si>
  <si>
    <t>LP0000322</t>
  </si>
  <si>
    <t>LP0000323</t>
  </si>
  <si>
    <t>LP0000324</t>
  </si>
  <si>
    <t>LP0000325</t>
  </si>
  <si>
    <t>LP0000326</t>
  </si>
  <si>
    <t>LP0000327</t>
  </si>
  <si>
    <t>LP0000328</t>
  </si>
  <si>
    <t>LP0000329</t>
  </si>
  <si>
    <t>LP0000330</t>
  </si>
  <si>
    <t>LP0000331</t>
  </si>
  <si>
    <t>LP0000332</t>
  </si>
  <si>
    <t>LP0000333</t>
  </si>
  <si>
    <t>LP0000334</t>
  </si>
  <si>
    <t>LP0000335</t>
  </si>
  <si>
    <t>LP0000336</t>
  </si>
  <si>
    <t>LP0000337</t>
  </si>
  <si>
    <t>LP0000338</t>
  </si>
  <si>
    <t>LP0000339</t>
  </si>
  <si>
    <t>LP0000340</t>
  </si>
  <si>
    <t>LP0000341</t>
  </si>
  <si>
    <t>LP0000342</t>
  </si>
  <si>
    <t>LP0000343</t>
  </si>
  <si>
    <t>LP0000344</t>
  </si>
  <si>
    <t>LP0000345</t>
  </si>
  <si>
    <t>LP0000346</t>
  </si>
  <si>
    <t>LP0000347</t>
  </si>
  <si>
    <t>LP0000348</t>
  </si>
  <si>
    <t>LP0000349</t>
  </si>
  <si>
    <t>LP0000350</t>
  </si>
  <si>
    <t>LP0000351</t>
  </si>
  <si>
    <t>LP0000352</t>
  </si>
  <si>
    <t>LP0000353</t>
  </si>
  <si>
    <t>LP0000354</t>
  </si>
  <si>
    <t>LP0000355</t>
  </si>
  <si>
    <t>LP0000356</t>
  </si>
  <si>
    <t>LP0000357</t>
  </si>
  <si>
    <t>LP0000358</t>
  </si>
  <si>
    <t>LP0000359</t>
  </si>
  <si>
    <t>LP0000360</t>
  </si>
  <si>
    <t>LP0000361</t>
  </si>
  <si>
    <t>LP0000362</t>
  </si>
  <si>
    <t>LP0000363</t>
  </si>
  <si>
    <t>LP0000364</t>
  </si>
  <si>
    <t>LP0000365</t>
  </si>
  <si>
    <t>LP0000366</t>
  </si>
  <si>
    <t>LP0000367</t>
  </si>
  <si>
    <t>LP0000368</t>
  </si>
  <si>
    <t>LP0000369</t>
  </si>
  <si>
    <t>LP0000370</t>
  </si>
  <si>
    <t>LP0000371</t>
  </si>
  <si>
    <t>LP0000372</t>
  </si>
  <si>
    <t>LP0000373</t>
  </si>
  <si>
    <t>LP0000374</t>
  </si>
  <si>
    <t>LP0000375</t>
  </si>
  <si>
    <t>LP0000376</t>
  </si>
  <si>
    <t>LP0000377</t>
  </si>
  <si>
    <t>LP0000378</t>
  </si>
  <si>
    <t>LP0000379</t>
  </si>
  <si>
    <t>LP0000380</t>
  </si>
  <si>
    <t>LP0000381</t>
  </si>
  <si>
    <t>LP0000382</t>
  </si>
  <si>
    <t>LP0000383</t>
  </si>
  <si>
    <t>LP0000384</t>
  </si>
  <si>
    <t>LP0000385</t>
  </si>
  <si>
    <t>LP0000386</t>
  </si>
  <si>
    <t>LP0000387</t>
  </si>
  <si>
    <t>LP0000388</t>
  </si>
  <si>
    <t>LP0000389</t>
  </si>
  <si>
    <t>LP0000390</t>
  </si>
  <si>
    <t>LP0000391</t>
  </si>
  <si>
    <t>LP0000392</t>
  </si>
  <si>
    <t>LP0000393</t>
  </si>
  <si>
    <t>LP0000394</t>
  </si>
  <si>
    <t>LP0000395</t>
  </si>
  <si>
    <t>LP0000396</t>
  </si>
  <si>
    <t>LP0000397</t>
  </si>
  <si>
    <t>LP0000398</t>
  </si>
  <si>
    <t>LP0000399</t>
  </si>
  <si>
    <t>LP0000400</t>
  </si>
  <si>
    <t>LP0000401</t>
  </si>
  <si>
    <t>LP0000402</t>
  </si>
  <si>
    <t>LP0000403</t>
  </si>
  <si>
    <t>LP0000404</t>
  </si>
  <si>
    <t>LP0000405</t>
  </si>
  <si>
    <t>LP0000406</t>
  </si>
  <si>
    <t>LP0000407</t>
  </si>
  <si>
    <t>LP0000408</t>
  </si>
  <si>
    <t>LP0000409</t>
  </si>
  <si>
    <t>LP0000410</t>
  </si>
  <si>
    <t>LP0000411</t>
  </si>
  <si>
    <t>LP0000412</t>
  </si>
  <si>
    <t>LP0000413</t>
  </si>
  <si>
    <t>LP0000414</t>
  </si>
  <si>
    <t>LP0000415</t>
  </si>
  <si>
    <t>LP0000416</t>
  </si>
  <si>
    <t>LP0000417</t>
  </si>
  <si>
    <t>LP0000418</t>
  </si>
  <si>
    <t>LP0000419</t>
  </si>
  <si>
    <t>LP0000420</t>
  </si>
  <si>
    <t>LP0000421</t>
  </si>
  <si>
    <t>LP0000422</t>
  </si>
  <si>
    <t>LP0000423</t>
  </si>
  <si>
    <t>LP0000424</t>
  </si>
  <si>
    <t>LP0000425</t>
  </si>
  <si>
    <t>LP0000426</t>
  </si>
  <si>
    <t>LP0000427</t>
  </si>
  <si>
    <t>LP0000428</t>
  </si>
  <si>
    <t>LP0000429</t>
  </si>
  <si>
    <t>LP0000430</t>
  </si>
  <si>
    <t>LP0000431</t>
  </si>
  <si>
    <t>LP0000432</t>
  </si>
  <si>
    <t>LP0000433</t>
  </si>
  <si>
    <t>LP0000434</t>
  </si>
  <si>
    <t>LP0000435</t>
  </si>
  <si>
    <t>LP0000436</t>
  </si>
  <si>
    <t>LP0000437</t>
  </si>
  <si>
    <t>LP0000438</t>
  </si>
  <si>
    <t>LP0000439</t>
  </si>
  <si>
    <t>LP0000440</t>
  </si>
  <si>
    <t>LP0000441</t>
  </si>
  <si>
    <t>LP0000442</t>
  </si>
  <si>
    <t>LP0000443</t>
  </si>
  <si>
    <t>LP0000444</t>
  </si>
  <si>
    <t>LP0000445</t>
  </si>
  <si>
    <t>LP0000446</t>
  </si>
  <si>
    <t>LP0000447</t>
  </si>
  <si>
    <t>LP0000448</t>
  </si>
  <si>
    <t>LP0000449</t>
  </si>
  <si>
    <t>LP0000450</t>
  </si>
  <si>
    <t>LP0000451</t>
  </si>
  <si>
    <t>LP0000452</t>
  </si>
  <si>
    <t>LP0000453</t>
  </si>
  <si>
    <t>LP0000454</t>
  </si>
  <si>
    <t>LP0000455</t>
  </si>
  <si>
    <t>LP0000456</t>
  </si>
  <si>
    <t>LP0000457</t>
  </si>
  <si>
    <t>LP0000458</t>
  </si>
  <si>
    <t>LP0000459</t>
  </si>
  <si>
    <t>LP0000460</t>
  </si>
  <si>
    <t>LP0000461</t>
  </si>
  <si>
    <t>LP0000462</t>
  </si>
  <si>
    <t>LP0000463</t>
  </si>
  <si>
    <t>LP0000464</t>
  </si>
  <si>
    <t>LP0000465</t>
  </si>
  <si>
    <t>LP0000466</t>
  </si>
  <si>
    <t>LP0000467</t>
  </si>
  <si>
    <t>LP0000468</t>
  </si>
  <si>
    <t>LP0000469</t>
  </si>
  <si>
    <t>LP0000470</t>
  </si>
  <si>
    <t>LP0000471</t>
  </si>
  <si>
    <t>LP0000472</t>
  </si>
  <si>
    <t>LP0000473</t>
  </si>
  <si>
    <t>LP0000474</t>
  </si>
  <si>
    <t>LP0000475</t>
  </si>
  <si>
    <t>LP0000476</t>
  </si>
  <si>
    <t>LP0000477</t>
  </si>
  <si>
    <t>LP0000478</t>
  </si>
  <si>
    <t>LP0000479</t>
  </si>
  <si>
    <t>LP0000480</t>
  </si>
  <si>
    <t>LP0000481</t>
  </si>
  <si>
    <t>LP0000482</t>
  </si>
  <si>
    <t>LP0000483</t>
  </si>
  <si>
    <t>LP0000484</t>
  </si>
  <si>
    <t>LP0000485</t>
  </si>
  <si>
    <t>LP0000486</t>
  </si>
  <si>
    <t>LP0000487</t>
  </si>
  <si>
    <t>LP0000488</t>
  </si>
  <si>
    <t>LP0000489</t>
  </si>
  <si>
    <t>LP0000490</t>
  </si>
  <si>
    <t>LP0000491</t>
  </si>
  <si>
    <t>LP0000492</t>
  </si>
  <si>
    <t>LP0000493</t>
  </si>
  <si>
    <t>LP0000494</t>
  </si>
  <si>
    <t>LP0000495</t>
  </si>
  <si>
    <t>LP0000496</t>
  </si>
  <si>
    <t>LP0000497</t>
  </si>
  <si>
    <t>LP0000498</t>
  </si>
  <si>
    <t>LP0000499</t>
  </si>
  <si>
    <t>LP0000500</t>
  </si>
  <si>
    <t>LP0000501</t>
  </si>
  <si>
    <t>LP0000502</t>
  </si>
  <si>
    <t>LP0000503</t>
  </si>
  <si>
    <t>LP0000504</t>
  </si>
  <si>
    <t>LP0000505</t>
  </si>
  <si>
    <t>LP0000506</t>
  </si>
  <si>
    <t>LP0000507</t>
  </si>
  <si>
    <t>LP0000508</t>
  </si>
  <si>
    <t>LP0000509</t>
  </si>
  <si>
    <t>LP0000510</t>
  </si>
  <si>
    <t>LP0000511</t>
  </si>
  <si>
    <t>LP0000512</t>
  </si>
  <si>
    <t>LP0000513</t>
  </si>
  <si>
    <t>LP0000514</t>
  </si>
  <si>
    <t>LP0000515</t>
  </si>
  <si>
    <t>LP0000516</t>
  </si>
  <si>
    <t>LP0000517</t>
  </si>
  <si>
    <t>LP0000518</t>
  </si>
  <si>
    <t>LP0000519</t>
  </si>
  <si>
    <t>LP0000520</t>
  </si>
  <si>
    <t>LP0000521</t>
  </si>
  <si>
    <t>LP0000522</t>
  </si>
  <si>
    <t>LP0000523</t>
  </si>
  <si>
    <t>LP0000524</t>
  </si>
  <si>
    <t>LP0000525</t>
  </si>
  <si>
    <t>LP0000526</t>
  </si>
  <si>
    <t>LP0000527</t>
  </si>
  <si>
    <t>LP0000528</t>
  </si>
  <si>
    <t>LP0000529</t>
  </si>
  <si>
    <t>LP0000530</t>
  </si>
  <si>
    <t>LP0000531</t>
  </si>
  <si>
    <t>LP0000532</t>
  </si>
  <si>
    <t>LP0000533</t>
  </si>
  <si>
    <t>LP0000534</t>
  </si>
  <si>
    <t>LP0000535</t>
  </si>
  <si>
    <t>LP0000536</t>
  </si>
  <si>
    <t>LP0000537</t>
  </si>
  <si>
    <t>LP0000538</t>
  </si>
  <si>
    <t>LP0000539</t>
  </si>
  <si>
    <t>LP0000540</t>
  </si>
  <si>
    <t>LP0000541</t>
  </si>
  <si>
    <t>LP0000542</t>
  </si>
  <si>
    <t>LP0000543</t>
  </si>
  <si>
    <t>LP0000544</t>
  </si>
  <si>
    <t>LP0000545</t>
  </si>
  <si>
    <t>LP0000546</t>
  </si>
  <si>
    <t>LP0000547</t>
  </si>
  <si>
    <t>LP0000548</t>
  </si>
  <si>
    <t>LP0000549</t>
  </si>
  <si>
    <t>LP0000550</t>
  </si>
  <si>
    <t>LP0000551</t>
  </si>
  <si>
    <t>LP0000552</t>
  </si>
  <si>
    <t>LP0000553</t>
  </si>
  <si>
    <t>LP0000554</t>
  </si>
  <si>
    <t>LP0000555</t>
  </si>
  <si>
    <t>LP0000556</t>
  </si>
  <si>
    <t>LP0000557</t>
  </si>
  <si>
    <t>LP0000558</t>
  </si>
  <si>
    <t>LP0000559</t>
  </si>
  <si>
    <t>LP0000560</t>
  </si>
  <si>
    <t>LP0000561</t>
  </si>
  <si>
    <t>LP0000562</t>
  </si>
  <si>
    <t>LP0000563</t>
  </si>
  <si>
    <t>LP0000564</t>
  </si>
  <si>
    <t>LP0000565</t>
  </si>
  <si>
    <t>LP0000566</t>
  </si>
  <si>
    <t>LP0000567</t>
  </si>
  <si>
    <t>LP0000568</t>
  </si>
  <si>
    <t>LP0000569</t>
  </si>
  <si>
    <t>LP0000570</t>
  </si>
  <si>
    <t>LP0000571</t>
  </si>
  <si>
    <t>LP0000572</t>
  </si>
  <si>
    <t>LP0000573</t>
  </si>
  <si>
    <t>LP0000574</t>
  </si>
  <si>
    <t>LP0000575</t>
  </si>
  <si>
    <t>LP0000576</t>
  </si>
  <si>
    <t>LP0000577</t>
  </si>
  <si>
    <t>LP0000578</t>
  </si>
  <si>
    <t>LP0000579</t>
  </si>
  <si>
    <t>LP0000580</t>
  </si>
  <si>
    <t>LP0000581</t>
  </si>
  <si>
    <t>LP0000582</t>
  </si>
  <si>
    <t>LP0000583</t>
  </si>
  <si>
    <t>LP0000584</t>
  </si>
  <si>
    <t>LP0000585</t>
  </si>
  <si>
    <t>LP0000586</t>
  </si>
  <si>
    <t>LP0000587</t>
  </si>
  <si>
    <t>LP0000588</t>
  </si>
  <si>
    <t>LP0000589</t>
  </si>
  <si>
    <t>LP0000590</t>
  </si>
  <si>
    <t>LP0000591</t>
  </si>
  <si>
    <t>LP0000592</t>
  </si>
  <si>
    <t>LP0000593</t>
  </si>
  <si>
    <t>LP0000594</t>
  </si>
  <si>
    <t>LP0000595</t>
  </si>
  <si>
    <t>LP0000596</t>
  </si>
  <si>
    <t>LP0000597</t>
  </si>
  <si>
    <t>LP0000598</t>
  </si>
  <si>
    <t>LP0000599</t>
  </si>
  <si>
    <t>LP0000600</t>
  </si>
  <si>
    <t>LP0000601</t>
  </si>
  <si>
    <t>LP0000602</t>
  </si>
  <si>
    <t>LP0000603</t>
  </si>
  <si>
    <t>LP0000604</t>
  </si>
  <si>
    <t>LP0000605</t>
  </si>
  <si>
    <t>LP0000606</t>
  </si>
  <si>
    <t>LP0000607</t>
  </si>
  <si>
    <t>LP0000608</t>
  </si>
  <si>
    <t>LP0000609</t>
  </si>
  <si>
    <t>LP0000610</t>
  </si>
  <si>
    <t>LP0000611</t>
  </si>
  <si>
    <t>LP0000612</t>
  </si>
  <si>
    <t>LP0000613</t>
  </si>
  <si>
    <t>LP0000614</t>
  </si>
  <si>
    <t>LP0000615</t>
  </si>
  <si>
    <t>LP0000616</t>
  </si>
  <si>
    <t>LP0000617</t>
  </si>
  <si>
    <t>LP0000618</t>
  </si>
  <si>
    <t>LP0000619</t>
  </si>
  <si>
    <t>LP0000620</t>
  </si>
  <si>
    <t>LP0000621</t>
  </si>
  <si>
    <t>LP0000622</t>
  </si>
  <si>
    <t>LP0000623</t>
  </si>
  <si>
    <t>LP0000624</t>
  </si>
  <si>
    <t>LP0000625</t>
  </si>
  <si>
    <t>LP0000626</t>
  </si>
  <si>
    <t>LP0000627</t>
  </si>
  <si>
    <t>LP0000628</t>
  </si>
  <si>
    <t>LP0000629</t>
  </si>
  <si>
    <t>LP0000630</t>
  </si>
  <si>
    <t>LP0000631</t>
  </si>
  <si>
    <t>LP0000632</t>
  </si>
  <si>
    <t>LP0000633</t>
  </si>
  <si>
    <t>LP0000634</t>
  </si>
  <si>
    <t>LP0000635</t>
  </si>
  <si>
    <t>LP0000636</t>
  </si>
  <si>
    <t>LP0000637</t>
  </si>
  <si>
    <t>LP0000638</t>
  </si>
  <si>
    <t>LP0000639</t>
  </si>
  <si>
    <t>LP0000640</t>
  </si>
  <si>
    <t>LP0000641</t>
  </si>
  <si>
    <t>LP0000642</t>
  </si>
  <si>
    <t>LP0000643</t>
  </si>
  <si>
    <t>LP0000644</t>
  </si>
  <si>
    <t>LP0000645</t>
  </si>
  <si>
    <t>LP0000646</t>
  </si>
  <si>
    <t>LP0000647</t>
  </si>
  <si>
    <t>LP0000648</t>
  </si>
  <si>
    <t>LP0000649</t>
  </si>
  <si>
    <t>LP0000650</t>
  </si>
  <si>
    <t>LP0000651</t>
  </si>
  <si>
    <t>LP0000652</t>
  </si>
  <si>
    <t>LP0000653</t>
  </si>
  <si>
    <t>LP0000654</t>
  </si>
  <si>
    <t>LP0000655</t>
  </si>
  <si>
    <t>LP0000656</t>
  </si>
  <si>
    <t>LP0000657</t>
  </si>
  <si>
    <t>LP0000658</t>
  </si>
  <si>
    <t>LP0000659</t>
  </si>
  <si>
    <t>LP0000660</t>
  </si>
  <si>
    <t>LP0000661</t>
  </si>
  <si>
    <t>LP0000662</t>
  </si>
  <si>
    <t>LP0000663</t>
  </si>
  <si>
    <t>LP0000664</t>
  </si>
  <si>
    <t>LP0000665</t>
  </si>
  <si>
    <t>LP0000666</t>
  </si>
  <si>
    <t>LP0000667</t>
  </si>
  <si>
    <t>LP0000668</t>
  </si>
  <si>
    <t>LP0000669</t>
  </si>
  <si>
    <t>LP0000670</t>
  </si>
  <si>
    <t>LP0000671</t>
  </si>
  <si>
    <t>LP0000672</t>
  </si>
  <si>
    <t>LP0000673</t>
  </si>
  <si>
    <t>LP0000674</t>
  </si>
  <si>
    <t>LP0000675</t>
  </si>
  <si>
    <t>LP0000676</t>
  </si>
  <si>
    <t>LP0000677</t>
  </si>
  <si>
    <t>LP0000678</t>
  </si>
  <si>
    <t>LP0000679</t>
  </si>
  <si>
    <t>LP0000680</t>
  </si>
  <si>
    <t>LP0000681</t>
  </si>
  <si>
    <t>LP0000682</t>
  </si>
  <si>
    <t>LP0000683</t>
  </si>
  <si>
    <t>LP0000684</t>
  </si>
  <si>
    <t>LP0000685</t>
  </si>
  <si>
    <t>LP0000686</t>
  </si>
  <si>
    <t>LP0000687</t>
  </si>
  <si>
    <t>LP0000688</t>
  </si>
  <si>
    <t>LP0000689</t>
  </si>
  <si>
    <t>LP0000690</t>
  </si>
  <si>
    <t>LP0000691</t>
  </si>
  <si>
    <t>LP0000692</t>
  </si>
  <si>
    <t>LP0000693</t>
  </si>
  <si>
    <t>LP0000694</t>
  </si>
  <si>
    <t>LP0000695</t>
  </si>
  <si>
    <t>LP0000696</t>
  </si>
  <si>
    <t>LP0000697</t>
  </si>
  <si>
    <t>LP0000698</t>
  </si>
  <si>
    <t>LP0000699</t>
  </si>
  <si>
    <t>LP0000700</t>
  </si>
  <si>
    <t>LP0000701</t>
  </si>
  <si>
    <t>LP0000702</t>
  </si>
  <si>
    <t>LP0000703</t>
  </si>
  <si>
    <t>LP0000704</t>
  </si>
  <si>
    <t>LP0000705</t>
  </si>
  <si>
    <t>LP0000706</t>
  </si>
  <si>
    <t>LP0000707</t>
  </si>
  <si>
    <t>LP0000708</t>
  </si>
  <si>
    <t>LP0000709</t>
  </si>
  <si>
    <t>LP0000710</t>
  </si>
  <si>
    <t>LP0000711</t>
  </si>
  <si>
    <t>LP0000712</t>
  </si>
  <si>
    <t>LP0000713</t>
  </si>
  <si>
    <t>LP0000714</t>
  </si>
  <si>
    <t>LP0000715</t>
  </si>
  <si>
    <t>LP0000716</t>
  </si>
  <si>
    <t>LP0000717</t>
  </si>
  <si>
    <t>LP0000718</t>
  </si>
  <si>
    <t>LP0000719</t>
  </si>
  <si>
    <t>LP0000720</t>
  </si>
  <si>
    <t>LP0000721</t>
  </si>
  <si>
    <t>LP0000722</t>
  </si>
  <si>
    <t>LP0000723</t>
  </si>
  <si>
    <t>LP0000724</t>
  </si>
  <si>
    <t>LP0000725</t>
  </si>
  <si>
    <t>LP0000726</t>
  </si>
  <si>
    <t>LP0000727</t>
  </si>
  <si>
    <t>LP0000728</t>
  </si>
  <si>
    <t>LP0000729</t>
  </si>
  <si>
    <t>LP0000730</t>
  </si>
  <si>
    <t>LP0000731</t>
  </si>
  <si>
    <t>LP0000732</t>
  </si>
  <si>
    <t>LP0000733</t>
  </si>
  <si>
    <t>LP0000734</t>
  </si>
  <si>
    <t>LP0000735</t>
  </si>
  <si>
    <t>LP0000736</t>
  </si>
  <si>
    <t>LP0000737</t>
  </si>
  <si>
    <t>LP0000738</t>
  </si>
  <si>
    <t>LP0000739</t>
  </si>
  <si>
    <t>LP0000740</t>
  </si>
  <si>
    <t>LP0000741</t>
  </si>
  <si>
    <t>LP0000742</t>
  </si>
  <si>
    <t>LP0000743</t>
  </si>
  <si>
    <t>LP0000744</t>
  </si>
  <si>
    <t>LP0000745</t>
  </si>
  <si>
    <t>LP0000746</t>
  </si>
  <si>
    <t>LP0000747</t>
  </si>
  <si>
    <t>LP0000748</t>
  </si>
  <si>
    <t>LP0000749</t>
  </si>
  <si>
    <t>LP0000750</t>
  </si>
  <si>
    <t>LP0000751</t>
  </si>
  <si>
    <t>LP0000752</t>
  </si>
  <si>
    <t>LP0000753</t>
  </si>
  <si>
    <t>LP0000754</t>
  </si>
  <si>
    <t>LP0000755</t>
  </si>
  <si>
    <t>LP0000756</t>
  </si>
  <si>
    <t>LP0000757</t>
  </si>
  <si>
    <t>LP0000758</t>
  </si>
  <si>
    <t>LP0000759</t>
  </si>
  <si>
    <t>LP0000760</t>
  </si>
  <si>
    <t>LP0000761</t>
  </si>
  <si>
    <t>LP0000762</t>
  </si>
  <si>
    <t>LP0000763</t>
  </si>
  <si>
    <t>LP0000764</t>
  </si>
  <si>
    <t>LP0000765</t>
  </si>
  <si>
    <t>LP0000766</t>
  </si>
  <si>
    <t>LP0000767</t>
  </si>
  <si>
    <t>LP0000768</t>
  </si>
  <si>
    <t>LP0000769</t>
  </si>
  <si>
    <t>LP0000770</t>
  </si>
  <si>
    <t>LP0000771</t>
  </si>
  <si>
    <t>LP0000772</t>
  </si>
  <si>
    <t>LP0000773</t>
  </si>
  <si>
    <t>LP0000774</t>
  </si>
  <si>
    <t>LP0000775</t>
  </si>
  <si>
    <t>LP0000776</t>
  </si>
  <si>
    <t>LP0000777</t>
  </si>
  <si>
    <t>LP0000778</t>
  </si>
  <si>
    <t>LP0000779</t>
  </si>
  <si>
    <t>LP0000780</t>
  </si>
  <si>
    <t>LP0000781</t>
  </si>
  <si>
    <t>LP0000782</t>
  </si>
  <si>
    <t>LP0000783</t>
  </si>
  <si>
    <t>LP0000784</t>
  </si>
  <si>
    <t>LP0000785</t>
  </si>
  <si>
    <t>LP0000786</t>
  </si>
  <si>
    <t>LP0000787</t>
  </si>
  <si>
    <t>LP0000788</t>
  </si>
  <si>
    <t>LP0000789</t>
  </si>
  <si>
    <t>LP0000790</t>
  </si>
  <si>
    <t>LP0000791</t>
  </si>
  <si>
    <t>LP0000792</t>
  </si>
  <si>
    <t>LP0000793</t>
  </si>
  <si>
    <t>LP0000794</t>
  </si>
  <si>
    <t>LP0000795</t>
  </si>
  <si>
    <t>LP0000796</t>
  </si>
  <si>
    <t>LP0000797</t>
  </si>
  <si>
    <t>LP0000798</t>
  </si>
  <si>
    <t>LP0000799</t>
  </si>
  <si>
    <t>LP0000800</t>
  </si>
  <si>
    <t>LP0000801</t>
  </si>
  <si>
    <t>LP0000802</t>
  </si>
  <si>
    <t>LP0000803</t>
  </si>
  <si>
    <t>LP0000804</t>
  </si>
  <si>
    <t>LP0000805</t>
  </si>
  <si>
    <t>LP0000806</t>
  </si>
  <si>
    <t>LP0000807</t>
  </si>
  <si>
    <t>LP0000808</t>
  </si>
  <si>
    <t>LP0000809</t>
  </si>
  <si>
    <t>LP0000810</t>
  </si>
  <si>
    <t>LP0000811</t>
  </si>
  <si>
    <t>LP0000812</t>
  </si>
  <si>
    <t>LP0000813</t>
  </si>
  <si>
    <t>LP0000814</t>
  </si>
  <si>
    <t>LP0000815</t>
  </si>
  <si>
    <t>LP0000816</t>
  </si>
  <si>
    <t>LP0000817</t>
  </si>
  <si>
    <t>LP0000818</t>
  </si>
  <si>
    <t>LP0000819</t>
  </si>
  <si>
    <t>LP0000820</t>
  </si>
  <si>
    <t>LP0000821</t>
  </si>
  <si>
    <t>LP0000822</t>
  </si>
  <si>
    <t>LP0000823</t>
  </si>
  <si>
    <t>LP0000824</t>
  </si>
  <si>
    <t>LP0000825</t>
  </si>
  <si>
    <t>LP0000826</t>
  </si>
  <si>
    <t>LP0000827</t>
  </si>
  <si>
    <t>LP0000828</t>
  </si>
  <si>
    <t>LP0000829</t>
  </si>
  <si>
    <t>LP0000830</t>
  </si>
  <si>
    <t>LP0000831</t>
  </si>
  <si>
    <t>LP0000832</t>
  </si>
  <si>
    <t>LP0000833</t>
  </si>
  <si>
    <t>LP0000834</t>
  </si>
  <si>
    <t>LP0000835</t>
  </si>
  <si>
    <t>LP0000836</t>
  </si>
  <si>
    <t>LP0000837</t>
  </si>
  <si>
    <t>LP0000838</t>
  </si>
  <si>
    <t>LP0000839</t>
  </si>
  <si>
    <t>LP0000840</t>
  </si>
  <si>
    <t>LP0000841</t>
  </si>
  <si>
    <t>LP0000842</t>
  </si>
  <si>
    <t>LP0000843</t>
  </si>
  <si>
    <t>LP0000844</t>
  </si>
  <si>
    <t>LP0000845</t>
  </si>
  <si>
    <t>LP0000846</t>
  </si>
  <si>
    <t>LP0000847</t>
  </si>
  <si>
    <t>LP0000848</t>
  </si>
  <si>
    <t>LP0000849</t>
  </si>
  <si>
    <t>LP0000850</t>
  </si>
  <si>
    <t>LP0000851</t>
  </si>
  <si>
    <t>LP0000852</t>
  </si>
  <si>
    <t>LP0000853</t>
  </si>
  <si>
    <t>LP0000854</t>
  </si>
  <si>
    <t>LP0000855</t>
  </si>
  <si>
    <t>LP0000856</t>
  </si>
  <si>
    <t>LP0000857</t>
  </si>
  <si>
    <t>LP0000858</t>
  </si>
  <si>
    <t>LP0000859</t>
  </si>
  <si>
    <t>LP0000860</t>
  </si>
  <si>
    <t>LP0000861</t>
  </si>
  <si>
    <t>LP0000862</t>
  </si>
  <si>
    <t>LP0000863</t>
  </si>
  <si>
    <t>LP0000864</t>
  </si>
  <si>
    <t>LP0000865</t>
  </si>
  <si>
    <t>LP0000866</t>
  </si>
  <si>
    <t>LP0000867</t>
  </si>
  <si>
    <t>LP0000868</t>
  </si>
  <si>
    <t>LP0000869</t>
  </si>
  <si>
    <t>LP0000870</t>
  </si>
  <si>
    <t>LP0000871</t>
  </si>
  <si>
    <t>LP0000872</t>
  </si>
  <si>
    <t>LP0000873</t>
  </si>
  <si>
    <t>LP0000874</t>
  </si>
  <si>
    <t>LP0000875</t>
  </si>
  <si>
    <t>LP0000876</t>
  </si>
  <si>
    <t>LP0000877</t>
  </si>
  <si>
    <t>LP0000878</t>
  </si>
  <si>
    <t>LP0000879</t>
  </si>
  <si>
    <t>LP0000880</t>
  </si>
  <si>
    <t>LP0000881</t>
  </si>
  <si>
    <t>LP0000882</t>
  </si>
  <si>
    <t>LP0000883</t>
  </si>
  <si>
    <t>LP0000884</t>
  </si>
  <si>
    <t>LP0000885</t>
  </si>
  <si>
    <t>LP0000886</t>
  </si>
  <si>
    <t>LP0000887</t>
  </si>
  <si>
    <t>LP0000888</t>
  </si>
  <si>
    <t>LP0000889</t>
  </si>
  <si>
    <t>LP0000890</t>
  </si>
  <si>
    <t>LP0000891</t>
  </si>
  <si>
    <t>LP0000892</t>
  </si>
  <si>
    <t>LP0000893</t>
  </si>
  <si>
    <t>LP0000894</t>
  </si>
  <si>
    <t>LP0000895</t>
  </si>
  <si>
    <t>LP0000896</t>
  </si>
  <si>
    <t>LP0000897</t>
  </si>
  <si>
    <t>LP0000898</t>
  </si>
  <si>
    <t>LP0000899</t>
  </si>
  <si>
    <t>LP0000900</t>
  </si>
  <si>
    <t>LP0000901</t>
  </si>
  <si>
    <t>LP0000902</t>
  </si>
  <si>
    <t>LP0000903</t>
  </si>
  <si>
    <t>LP0000904</t>
  </si>
  <si>
    <t>LP0000905</t>
  </si>
  <si>
    <t>LP0000906</t>
  </si>
  <si>
    <t>LP0000907</t>
  </si>
  <si>
    <t>LP0000908</t>
  </si>
  <si>
    <t>LP0000909</t>
  </si>
  <si>
    <t>LP0000910</t>
  </si>
  <si>
    <t>LP0000911</t>
  </si>
  <si>
    <t>LP0000912</t>
  </si>
  <si>
    <t>LP0000913</t>
  </si>
  <si>
    <t>LP0000914</t>
  </si>
  <si>
    <t>LP0000915</t>
  </si>
  <si>
    <t>LP0000916</t>
  </si>
  <si>
    <t>LP0000917</t>
  </si>
  <si>
    <t>LP0000918</t>
  </si>
  <si>
    <t>LP0000919</t>
  </si>
  <si>
    <t>LP0000920</t>
  </si>
  <si>
    <t>LP0000921</t>
  </si>
  <si>
    <t>LP0000922</t>
  </si>
  <si>
    <t>LP0000923</t>
  </si>
  <si>
    <t>LP0000924</t>
  </si>
  <si>
    <t>LP0000925</t>
  </si>
  <si>
    <t>LP0000926</t>
  </si>
  <si>
    <t>LP0000927</t>
  </si>
  <si>
    <t>LP0000928</t>
  </si>
  <si>
    <t>LP0000929</t>
  </si>
  <si>
    <t>LP0000930</t>
  </si>
  <si>
    <t>LP0000931</t>
  </si>
  <si>
    <t>LP0000932</t>
  </si>
  <si>
    <t>LP0000933</t>
  </si>
  <si>
    <t>LP0000934</t>
  </si>
  <si>
    <t>LP0000935</t>
  </si>
  <si>
    <t>LP0000936</t>
  </si>
  <si>
    <t>LP0000937</t>
  </si>
  <si>
    <t>LP0000938</t>
  </si>
  <si>
    <t>LP0000939</t>
  </si>
  <si>
    <t>LP0000940</t>
  </si>
  <si>
    <t>LP0000941</t>
  </si>
  <si>
    <t>LP0000942</t>
  </si>
  <si>
    <t>LP0000943</t>
  </si>
  <si>
    <t>LP0000944</t>
  </si>
  <si>
    <t>LP0000945</t>
  </si>
  <si>
    <t>LP0000946</t>
  </si>
  <si>
    <t>LP0000947</t>
  </si>
  <si>
    <t>LP0000948</t>
  </si>
  <si>
    <t>LP0000949</t>
  </si>
  <si>
    <t>LP0000950</t>
  </si>
  <si>
    <t>LP0000951</t>
  </si>
  <si>
    <t>LP0000952</t>
  </si>
  <si>
    <t>LP0000953</t>
  </si>
  <si>
    <t>LP0000954</t>
  </si>
  <si>
    <t>LP0000955</t>
  </si>
  <si>
    <t>LP0000956</t>
  </si>
  <si>
    <t>LP0000957</t>
  </si>
  <si>
    <t>LP0000958</t>
  </si>
  <si>
    <t>LP0000959</t>
  </si>
  <si>
    <t>LP0000960</t>
  </si>
  <si>
    <t>LP0000961</t>
  </si>
  <si>
    <t>LP0000962</t>
  </si>
  <si>
    <t>LP0000963</t>
  </si>
  <si>
    <t>LP0000964</t>
  </si>
  <si>
    <t>LP0000965</t>
  </si>
  <si>
    <t>LP0000966</t>
  </si>
  <si>
    <t>LP0000967</t>
  </si>
  <si>
    <t>LP0000968</t>
  </si>
  <si>
    <t>LP0000969</t>
  </si>
  <si>
    <t>LP0000970</t>
  </si>
  <si>
    <t>LP0000971</t>
  </si>
  <si>
    <t>LP0000972</t>
  </si>
  <si>
    <t>LP0000973</t>
  </si>
  <si>
    <t>LP0000974</t>
  </si>
  <si>
    <t>LP0000975</t>
  </si>
  <si>
    <t>LP0000976</t>
  </si>
  <si>
    <t>LP0000977</t>
  </si>
  <si>
    <t>LP0000978</t>
  </si>
  <si>
    <t>LP0000979</t>
  </si>
  <si>
    <t>LP0000980</t>
  </si>
  <si>
    <t>LP0000981</t>
  </si>
  <si>
    <t>LP0000982</t>
  </si>
  <si>
    <t>LP0000983</t>
  </si>
  <si>
    <t>LP0000984</t>
  </si>
  <si>
    <t>LP0000985</t>
  </si>
  <si>
    <t>LP0000986</t>
  </si>
  <si>
    <t>LP0000987</t>
  </si>
  <si>
    <t>LP0000988</t>
  </si>
  <si>
    <t>LP0000989</t>
  </si>
  <si>
    <t>LP0000990</t>
  </si>
  <si>
    <t>LP0000991</t>
  </si>
  <si>
    <t>LP0000992</t>
  </si>
  <si>
    <t>LP0000993</t>
  </si>
  <si>
    <t>LP0000994</t>
  </si>
  <si>
    <t>LP0000995</t>
  </si>
  <si>
    <t>LP0000996</t>
  </si>
  <si>
    <t>LP0000997</t>
  </si>
  <si>
    <t>LP0000998</t>
  </si>
  <si>
    <t>LP0000999</t>
  </si>
  <si>
    <t>LP0001000</t>
  </si>
  <si>
    <t>LP0001001</t>
  </si>
  <si>
    <t>LP0001002</t>
  </si>
  <si>
    <t>LP0001003</t>
  </si>
  <si>
    <t>LP0001004</t>
  </si>
  <si>
    <t>LP0001005</t>
  </si>
  <si>
    <t>LP0001006</t>
  </si>
  <si>
    <t>LP0001007</t>
  </si>
  <si>
    <t>LP0001008</t>
  </si>
  <si>
    <t>LP0001009</t>
  </si>
  <si>
    <t>LP0001010</t>
  </si>
  <si>
    <t>LP0001011</t>
  </si>
  <si>
    <t>LP0001012</t>
  </si>
  <si>
    <t>LP0001013</t>
  </si>
  <si>
    <t>LP0001014</t>
  </si>
  <si>
    <t>LP0001015</t>
  </si>
  <si>
    <t>LP0001016</t>
  </si>
  <si>
    <t>LP0001017</t>
  </si>
  <si>
    <t>LP0001018</t>
  </si>
  <si>
    <t>LP0001019</t>
  </si>
  <si>
    <t>LP0001020</t>
  </si>
  <si>
    <t>LP0001021</t>
  </si>
  <si>
    <t>LP0001022</t>
  </si>
  <si>
    <t>LP0001023</t>
  </si>
  <si>
    <t>LP0001024</t>
  </si>
  <si>
    <t>LP0001025</t>
  </si>
  <si>
    <t>LP0001026</t>
  </si>
  <si>
    <t>LP0001027</t>
  </si>
  <si>
    <t>LP0001028</t>
  </si>
  <si>
    <t>LP0001029</t>
  </si>
  <si>
    <t>LP0001030</t>
  </si>
  <si>
    <t>LP0001031</t>
  </si>
  <si>
    <t>LP0001032</t>
  </si>
  <si>
    <t>LP0001033</t>
  </si>
  <si>
    <t>LP0001034</t>
  </si>
  <si>
    <t>LP0001035</t>
  </si>
  <si>
    <t>LP0001036</t>
  </si>
  <si>
    <t>LP0001037</t>
  </si>
  <si>
    <t>LP0001038</t>
  </si>
  <si>
    <t>LP0001039</t>
  </si>
  <si>
    <t>LP0001040</t>
  </si>
  <si>
    <t>LP0001041</t>
  </si>
  <si>
    <t>LP0001042</t>
  </si>
  <si>
    <t>LP0001043</t>
  </si>
  <si>
    <t>LP0001044</t>
  </si>
  <si>
    <t>LP0001045</t>
  </si>
  <si>
    <t>LP0001046</t>
  </si>
  <si>
    <t>LP0001047</t>
  </si>
  <si>
    <t>LP0001048</t>
  </si>
  <si>
    <t>LP0001049</t>
  </si>
  <si>
    <t>LP0001050</t>
  </si>
  <si>
    <t>LP0001051</t>
  </si>
  <si>
    <t>LP0001052</t>
  </si>
  <si>
    <t>LP0001053</t>
  </si>
  <si>
    <t>LP0001054</t>
  </si>
  <si>
    <t>LP0001055</t>
  </si>
  <si>
    <t>LP0001056</t>
  </si>
  <si>
    <t>LP0001057</t>
  </si>
  <si>
    <t>LP0001058</t>
  </si>
  <si>
    <t>LP0001059</t>
  </si>
  <si>
    <t>LP0001060</t>
  </si>
  <si>
    <t>LP0001061</t>
  </si>
  <si>
    <t>LP0001062</t>
  </si>
  <si>
    <t>LP0001063</t>
  </si>
  <si>
    <t>LP0001064</t>
  </si>
  <si>
    <t>LP0001065</t>
  </si>
  <si>
    <t>LP0001066</t>
  </si>
  <si>
    <t>LP0001067</t>
  </si>
  <si>
    <t>LP0001068</t>
  </si>
  <si>
    <t>LP0001069</t>
  </si>
  <si>
    <t>LP0001070</t>
  </si>
  <si>
    <t>LP0001071</t>
  </si>
  <si>
    <t>LP0001072</t>
  </si>
  <si>
    <t>LP0001073</t>
  </si>
  <si>
    <t>LP0001074</t>
  </si>
  <si>
    <t>LP0001075</t>
  </si>
  <si>
    <t>LP0001076</t>
  </si>
  <si>
    <t>LP0001077</t>
  </si>
  <si>
    <t>LP0001078</t>
  </si>
  <si>
    <t>LP0001079</t>
  </si>
  <si>
    <t>LP0001080</t>
  </si>
  <si>
    <t>LP0001081</t>
  </si>
  <si>
    <t>LP0001082</t>
  </si>
  <si>
    <t>LP0001083</t>
  </si>
  <si>
    <t>LP0001084</t>
  </si>
  <si>
    <t>LP0001085</t>
  </si>
  <si>
    <t>LP0001086</t>
  </si>
  <si>
    <t>LP0001087</t>
  </si>
  <si>
    <t>LP0001088</t>
  </si>
  <si>
    <t>LP0001089</t>
  </si>
  <si>
    <t>LP0001090</t>
  </si>
  <si>
    <t>LP0001091</t>
  </si>
  <si>
    <t>LP0001092</t>
  </si>
  <si>
    <t>LP0001093</t>
  </si>
  <si>
    <t>LP0001094</t>
  </si>
  <si>
    <t>LP0001095</t>
  </si>
  <si>
    <t>LP0001096</t>
  </si>
  <si>
    <t>LP0001097</t>
  </si>
  <si>
    <t>LP0001098</t>
  </si>
  <si>
    <t>LP0001099</t>
  </si>
  <si>
    <t>LP0001100</t>
  </si>
  <si>
    <t>LP0001101</t>
  </si>
  <si>
    <t>LP0001102</t>
  </si>
  <si>
    <t>LP0001103</t>
  </si>
  <si>
    <t>LP0001104</t>
  </si>
  <si>
    <t>LP0001105</t>
  </si>
  <si>
    <t>LP0001106</t>
  </si>
  <si>
    <t>LP0001107</t>
  </si>
  <si>
    <t>LP0001108</t>
  </si>
  <si>
    <t>LP0001109</t>
  </si>
  <si>
    <t>LP0001110</t>
  </si>
  <si>
    <t>LP0001111</t>
  </si>
  <si>
    <t>LP0001112</t>
  </si>
  <si>
    <t>LP0001113</t>
  </si>
  <si>
    <t>LP0001114</t>
  </si>
  <si>
    <t>LP0001115</t>
  </si>
  <si>
    <t>LP0001116</t>
  </si>
  <si>
    <t>LP0001117</t>
  </si>
  <si>
    <t>LP0001118</t>
  </si>
  <si>
    <t>LP0001119</t>
  </si>
  <si>
    <t>LP0001120</t>
  </si>
  <si>
    <t>LP0001121</t>
  </si>
  <si>
    <t>LP0001122</t>
  </si>
  <si>
    <t>LP0001123</t>
  </si>
  <si>
    <t>LP0001124</t>
  </si>
  <si>
    <t>LP0001125</t>
  </si>
  <si>
    <t>LP0001126</t>
  </si>
  <si>
    <t>LP0001127</t>
  </si>
  <si>
    <t>LP0001128</t>
  </si>
  <si>
    <t>LP0001129</t>
  </si>
  <si>
    <t>LP0001130</t>
  </si>
  <si>
    <t>LP0001131</t>
  </si>
  <si>
    <t>LP0001132</t>
  </si>
  <si>
    <t>LP0001133</t>
  </si>
  <si>
    <t>LP0001134</t>
  </si>
  <si>
    <t>LP0001135</t>
  </si>
  <si>
    <t>LP0001136</t>
  </si>
  <si>
    <t>LP0001137</t>
  </si>
  <si>
    <t>LP0001138</t>
  </si>
  <si>
    <t>LP0001139</t>
  </si>
  <si>
    <t>LP0001140</t>
  </si>
  <si>
    <t>LP0001141</t>
  </si>
  <si>
    <t>LP0001142</t>
  </si>
  <si>
    <t>LP0001143</t>
  </si>
  <si>
    <t>LP0001144</t>
  </si>
  <si>
    <t>LP0001145</t>
  </si>
  <si>
    <t>LP0001146</t>
  </si>
  <si>
    <t>LP0001147</t>
  </si>
  <si>
    <t>LP0001148</t>
  </si>
  <si>
    <t>LP0001149</t>
  </si>
  <si>
    <t>LP0001150</t>
  </si>
  <si>
    <t>LP0001151</t>
  </si>
  <si>
    <t>LP0001152</t>
  </si>
  <si>
    <t>LP0001153</t>
  </si>
  <si>
    <t>LP0001154</t>
  </si>
  <si>
    <t>LP0001155</t>
  </si>
  <si>
    <t>LP0001156</t>
  </si>
  <si>
    <t>LP0001157</t>
  </si>
  <si>
    <t>LP0001158</t>
  </si>
  <si>
    <t>LP0001159</t>
  </si>
  <si>
    <t>LP0001160</t>
  </si>
  <si>
    <t>LP0001161</t>
  </si>
  <si>
    <t>LP0001162</t>
  </si>
  <si>
    <t>LP0001163</t>
  </si>
  <si>
    <t>LP0001164</t>
  </si>
  <si>
    <t>LP0001165</t>
  </si>
  <si>
    <t>LP0001166</t>
  </si>
  <si>
    <t>LP0001167</t>
  </si>
  <si>
    <t>LP0001168</t>
  </si>
  <si>
    <t>LP0001169</t>
  </si>
  <si>
    <t>LP0001170</t>
  </si>
  <si>
    <t>LP0001171</t>
  </si>
  <si>
    <t>LP0001172</t>
  </si>
  <si>
    <t>LP0001173</t>
  </si>
  <si>
    <t>LP0001174</t>
  </si>
  <si>
    <t>LP0001175</t>
  </si>
  <si>
    <t>LP0001176</t>
  </si>
  <si>
    <t>LP0001177</t>
  </si>
  <si>
    <t>LP0001178</t>
  </si>
  <si>
    <t>LP0001179</t>
  </si>
  <si>
    <t>LP0001180</t>
  </si>
  <si>
    <t>LP0001181</t>
  </si>
  <si>
    <t>LP0001182</t>
  </si>
  <si>
    <t>LP0001183</t>
  </si>
  <si>
    <t>LP0001184</t>
  </si>
  <si>
    <t>LP0001185</t>
  </si>
  <si>
    <t>LP0001186</t>
  </si>
  <si>
    <t>LP0001187</t>
  </si>
  <si>
    <t>LP0001188</t>
  </si>
  <si>
    <t>LP0001189</t>
  </si>
  <si>
    <t>LP0001190</t>
  </si>
  <si>
    <t>LP0001191</t>
  </si>
  <si>
    <t>LP0001192</t>
  </si>
  <si>
    <t>LP0001193</t>
  </si>
  <si>
    <t>LP0001194</t>
  </si>
  <si>
    <t>LP0001195</t>
  </si>
  <si>
    <t>LP0001196</t>
  </si>
  <si>
    <t>LP0001197</t>
  </si>
  <si>
    <t>LP0001198</t>
  </si>
  <si>
    <t>LP0001199</t>
  </si>
  <si>
    <t>Clean_Gender</t>
  </si>
  <si>
    <t>Clean_Married</t>
  </si>
  <si>
    <t>Clean Self Employed</t>
  </si>
  <si>
    <t>Clean Credit History</t>
  </si>
  <si>
    <t>Clean Loan Term</t>
  </si>
  <si>
    <t>Unknown</t>
  </si>
  <si>
    <t>Total_Income</t>
  </si>
  <si>
    <t>Income Group</t>
  </si>
  <si>
    <t>Loan Status Label</t>
  </si>
  <si>
    <t>Risk Category</t>
  </si>
  <si>
    <t>EMI Estimation</t>
  </si>
  <si>
    <t>LoanAmount (In Thousands)</t>
  </si>
  <si>
    <t>Approved</t>
  </si>
  <si>
    <t>Rejected</t>
  </si>
  <si>
    <t>Grand Total</t>
  </si>
  <si>
    <t>Count of Loan_ID</t>
  </si>
  <si>
    <t>Loan Approval Summary</t>
  </si>
  <si>
    <t>Property Area Analysis</t>
  </si>
  <si>
    <t xml:space="preserve">Property Area  </t>
  </si>
  <si>
    <t>Income Group vs Approval</t>
  </si>
  <si>
    <t>High</t>
  </si>
  <si>
    <t>Medium</t>
  </si>
  <si>
    <t xml:space="preserve">Income Group  </t>
  </si>
  <si>
    <t/>
  </si>
  <si>
    <t>High Risk</t>
  </si>
  <si>
    <t>Low Risk</t>
  </si>
  <si>
    <t>Risk vs Approval</t>
  </si>
  <si>
    <t>Average of LoanAmount (In Thousands)</t>
  </si>
  <si>
    <t>Average Loan Amount</t>
  </si>
  <si>
    <t>Low</t>
  </si>
  <si>
    <t>Bank Loan Analysis &amp; Risk Assessment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</si>
</sst>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Times New Roman"/>
      <family val="1"/>
    </font>
    <font>
      <b/>
      <sz val="10"/>
      <color rgb="FFFF0000"/>
      <name val="Aptos Narrow"/>
      <family val="2"/>
      <scheme val="minor"/>
    </font>
    <font>
      <sz val="10"/>
      <color theme="1"/>
      <name val="Aptos Narrow"/>
      <family val="2"/>
      <scheme val="minor"/>
    </font>
    <font>
      <b/>
      <sz val="24"/>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8" fillId="0" borderId="0" xfId="0" applyFont="1" applyAlignment="1">
      <alignment horizontal="center"/>
    </xf>
    <xf numFmtId="8" fontId="18" fillId="0" borderId="0" xfId="0" applyNumberFormat="1" applyFont="1" applyAlignment="1">
      <alignment horizontal="center"/>
    </xf>
    <xf numFmtId="0" fontId="0" fillId="0" borderId="10" xfId="0" pivotButton="1" applyBorder="1" applyAlignment="1">
      <alignment horizontal="center"/>
    </xf>
    <xf numFmtId="0" fontId="0" fillId="0" borderId="10" xfId="0" applyBorder="1" applyAlignment="1">
      <alignment horizontal="center"/>
    </xf>
    <xf numFmtId="0" fontId="0" fillId="0" borderId="10" xfId="0" pivotButton="1" applyBorder="1"/>
    <xf numFmtId="0" fontId="0" fillId="0" borderId="10" xfId="0" applyBorder="1"/>
    <xf numFmtId="0" fontId="0" fillId="0" borderId="10" xfId="0" applyBorder="1" applyAlignment="1">
      <alignment horizontal="left"/>
    </xf>
    <xf numFmtId="0" fontId="0" fillId="34" borderId="0" xfId="0" applyFill="1"/>
    <xf numFmtId="0" fontId="19" fillId="34" borderId="0" xfId="0" applyFont="1" applyFill="1"/>
    <xf numFmtId="10" fontId="19" fillId="34" borderId="0" xfId="0" applyNumberFormat="1" applyFont="1" applyFill="1"/>
    <xf numFmtId="0" fontId="20" fillId="34" borderId="0" xfId="0" applyFont="1" applyFill="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21" fillId="34" borderId="0" xfId="0" applyFont="1" applyFill="1" applyAlignment="1">
      <alignment horizontal="center" vertical="center"/>
    </xf>
    <xf numFmtId="0" fontId="0" fillId="0" borderId="10" xfId="0" applyNumberFormat="1" applyBorder="1"/>
    <xf numFmtId="0" fontId="0" fillId="0" borderId="10" xfId="0" applyNumberFormat="1" applyBorder="1" applyAlignment="1">
      <alignment horizontal="center"/>
    </xf>
    <xf numFmtId="2" fontId="0" fillId="0" borderId="10" xfId="0" applyNumberFormat="1" applyBorder="1" applyAlignment="1">
      <alignment horizontal="center"/>
    </xf>
    <xf numFmtId="10" fontId="0" fillId="34" borderId="0" xfId="0" applyNumberFormat="1" applyFill="1"/>
    <xf numFmtId="2"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6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9"/>
        <color theme="1"/>
        <name val="Times New Roman"/>
        <family val="1"/>
        <scheme val="none"/>
      </font>
      <numFmt numFmtId="12" formatCode="&quot;₹&quot;\ #,##0.00;[Red]&quot;₹&quot;\ \-#,##0.00"/>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^0 Risk Analytics Dashboard using Excel.xlsx]Pivot_Data!PivotTable1</c:name>
    <c:fmtId val="4"/>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600" b="1">
                <a:solidFill>
                  <a:schemeClr val="bg1"/>
                </a:solidFill>
              </a:rPr>
              <a:t>Loan Approval Distribution</a:t>
            </a:r>
            <a:endParaRPr lang="en-IN"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Pivot_Data!$B$2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4D-4CA8-AB6E-747B38F3AD6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4D-4CA8-AB6E-747B38F3AD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Pivot_Data!$A$3:$A$5</c:f>
              <c:strCache>
                <c:ptCount val="2"/>
                <c:pt idx="0">
                  <c:v>Approved</c:v>
                </c:pt>
                <c:pt idx="1">
                  <c:v>Rejected</c:v>
                </c:pt>
              </c:strCache>
            </c:strRef>
          </c:cat>
          <c:val>
            <c:numRef>
              <c:f>Pivot_Data!$B$3:$B$5</c:f>
              <c:numCache>
                <c:formatCode>General</c:formatCode>
                <c:ptCount val="2"/>
                <c:pt idx="0">
                  <c:v>568</c:v>
                </c:pt>
                <c:pt idx="1">
                  <c:v>632</c:v>
                </c:pt>
              </c:numCache>
            </c:numRef>
          </c:val>
          <c:extLst>
            <c:ext xmlns:c16="http://schemas.microsoft.com/office/drawing/2014/chart" uri="{C3380CC4-5D6E-409C-BE32-E72D297353CC}">
              <c16:uniqueId val="{00000004-E94D-4CA8-AB6E-747B38F3AD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^0 Risk Analytics Dashboard using Excel.xlsx]Pivot_Data!PivotTable2</c:name>
    <c:fmtId val="3"/>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600" b="1" i="0" u="none" strike="noStrike" cap="none" baseline="0">
                <a:solidFill>
                  <a:schemeClr val="bg1"/>
                </a:solidFill>
                <a:effectLst>
                  <a:outerShdw blurRad="38100" dist="19050" dir="2700000" algn="tl" rotWithShape="0">
                    <a:sysClr val="windowText" lastClr="000000">
                      <a:alpha val="40000"/>
                    </a:sysClr>
                  </a:outerShdw>
                </a:effectLst>
              </a:rPr>
              <a:t>Loan Approval by Property Area</a:t>
            </a:r>
            <a:endParaRPr lang="en-IN" b="0" cap="none" spc="0">
              <a:ln w="0"/>
              <a:solidFill>
                <a:schemeClr val="bg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Pivot_Data!$B$9:$B$10</c:f>
              <c:strCache>
                <c:ptCount val="1"/>
                <c:pt idx="0">
                  <c:v>Approved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Pivot_Data!$A$11:$A$14</c:f>
              <c:strCache>
                <c:ptCount val="3"/>
                <c:pt idx="0">
                  <c:v>Rural</c:v>
                </c:pt>
                <c:pt idx="1">
                  <c:v>Semiurban</c:v>
                </c:pt>
                <c:pt idx="2">
                  <c:v>Urban</c:v>
                </c:pt>
              </c:strCache>
            </c:strRef>
          </c:cat>
          <c:val>
            <c:numRef>
              <c:f>Pivot_Data!$B$11:$B$14</c:f>
              <c:numCache>
                <c:formatCode>General</c:formatCode>
                <c:ptCount val="3"/>
                <c:pt idx="0">
                  <c:v>180</c:v>
                </c:pt>
                <c:pt idx="1">
                  <c:v>211</c:v>
                </c:pt>
                <c:pt idx="2">
                  <c:v>177</c:v>
                </c:pt>
              </c:numCache>
            </c:numRef>
          </c:val>
          <c:extLst>
            <c:ext xmlns:c16="http://schemas.microsoft.com/office/drawing/2014/chart" uri="{C3380CC4-5D6E-409C-BE32-E72D297353CC}">
              <c16:uniqueId val="{00000000-C8E0-446B-ADC4-5A69928DABBB}"/>
            </c:ext>
          </c:extLst>
        </c:ser>
        <c:ser>
          <c:idx val="1"/>
          <c:order val="1"/>
          <c:tx>
            <c:strRef>
              <c:f>Pivot_Data!$C$9:$C$10</c:f>
              <c:strCache>
                <c:ptCount val="1"/>
                <c:pt idx="0">
                  <c:v>Rejected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Pivot_Data!$A$11:$A$14</c:f>
              <c:strCache>
                <c:ptCount val="3"/>
                <c:pt idx="0">
                  <c:v>Rural</c:v>
                </c:pt>
                <c:pt idx="1">
                  <c:v>Semiurban</c:v>
                </c:pt>
                <c:pt idx="2">
                  <c:v>Urban</c:v>
                </c:pt>
              </c:strCache>
            </c:strRef>
          </c:cat>
          <c:val>
            <c:numRef>
              <c:f>Pivot_Data!$C$11:$C$14</c:f>
              <c:numCache>
                <c:formatCode>General</c:formatCode>
                <c:ptCount val="3"/>
                <c:pt idx="0">
                  <c:v>215</c:v>
                </c:pt>
                <c:pt idx="1">
                  <c:v>214</c:v>
                </c:pt>
                <c:pt idx="2">
                  <c:v>203</c:v>
                </c:pt>
              </c:numCache>
            </c:numRef>
          </c:val>
          <c:extLst>
            <c:ext xmlns:c16="http://schemas.microsoft.com/office/drawing/2014/chart" uri="{C3380CC4-5D6E-409C-BE32-E72D297353CC}">
              <c16:uniqueId val="{00000001-B83A-41EE-90A2-2E5B09C7153B}"/>
            </c:ext>
          </c:extLst>
        </c:ser>
        <c:dLbls>
          <c:showLegendKey val="0"/>
          <c:showVal val="0"/>
          <c:showCatName val="0"/>
          <c:showSerName val="0"/>
          <c:showPercent val="0"/>
          <c:showBubbleSize val="0"/>
        </c:dLbls>
        <c:gapWidth val="115"/>
        <c:overlap val="-20"/>
        <c:axId val="1799633167"/>
        <c:axId val="1799637007"/>
      </c:barChart>
      <c:catAx>
        <c:axId val="1799633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637007"/>
        <c:crosses val="autoZero"/>
        <c:auto val="1"/>
        <c:lblAlgn val="ctr"/>
        <c:lblOffset val="100"/>
        <c:noMultiLvlLbl val="0"/>
      </c:catAx>
      <c:valAx>
        <c:axId val="17996370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63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^0 Risk Analytics Dashboard using Excel.xlsx]Pivot_Data!PivotTable3</c:name>
    <c:fmtId val="4"/>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600" b="1" i="0" u="none" strike="noStrike" cap="none" baseline="0">
                <a:solidFill>
                  <a:schemeClr val="bg1"/>
                </a:solidFill>
                <a:effectLst>
                  <a:outerShdw blurRad="38100" dist="19050" dir="2700000" algn="tl" rotWithShape="0">
                    <a:sysClr val="windowText" lastClr="000000">
                      <a:alpha val="40000"/>
                    </a:sysClr>
                  </a:outerShdw>
                </a:effectLst>
              </a:rPr>
              <a:t>Income Group Approval Comparison</a:t>
            </a:r>
            <a:endParaRPr lang="en-IN" b="0" cap="none" spc="0">
              <a:ln w="0"/>
              <a:solidFill>
                <a:schemeClr val="bg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Pivot_Data!$G$2:$G$3</c:f>
              <c:strCache>
                <c:ptCount val="1"/>
                <c:pt idx="0">
                  <c:v>Approved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Pivot_Data!$F$4:$F$7</c:f>
              <c:strCache>
                <c:ptCount val="3"/>
                <c:pt idx="0">
                  <c:v>High</c:v>
                </c:pt>
                <c:pt idx="1">
                  <c:v>Low</c:v>
                </c:pt>
                <c:pt idx="2">
                  <c:v>Medium</c:v>
                </c:pt>
              </c:strCache>
            </c:strRef>
          </c:cat>
          <c:val>
            <c:numRef>
              <c:f>Pivot_Data!$G$4:$G$7</c:f>
              <c:numCache>
                <c:formatCode>General</c:formatCode>
                <c:ptCount val="3"/>
                <c:pt idx="0">
                  <c:v>519</c:v>
                </c:pt>
                <c:pt idx="1">
                  <c:v>2</c:v>
                </c:pt>
                <c:pt idx="2">
                  <c:v>47</c:v>
                </c:pt>
              </c:numCache>
            </c:numRef>
          </c:val>
          <c:extLst>
            <c:ext xmlns:c16="http://schemas.microsoft.com/office/drawing/2014/chart" uri="{C3380CC4-5D6E-409C-BE32-E72D297353CC}">
              <c16:uniqueId val="{00000000-E166-4055-8C36-9A443ED8AE77}"/>
            </c:ext>
          </c:extLst>
        </c:ser>
        <c:ser>
          <c:idx val="1"/>
          <c:order val="1"/>
          <c:tx>
            <c:strRef>
              <c:f>Pivot_Data!$H$2:$H$3</c:f>
              <c:strCache>
                <c:ptCount val="1"/>
                <c:pt idx="0">
                  <c:v>Rejected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Pivot_Data!$F$4:$F$7</c:f>
              <c:strCache>
                <c:ptCount val="3"/>
                <c:pt idx="0">
                  <c:v>High</c:v>
                </c:pt>
                <c:pt idx="1">
                  <c:v>Low</c:v>
                </c:pt>
                <c:pt idx="2">
                  <c:v>Medium</c:v>
                </c:pt>
              </c:strCache>
            </c:strRef>
          </c:cat>
          <c:val>
            <c:numRef>
              <c:f>Pivot_Data!$H$4:$H$7</c:f>
              <c:numCache>
                <c:formatCode>General</c:formatCode>
                <c:ptCount val="3"/>
                <c:pt idx="0">
                  <c:v>584</c:v>
                </c:pt>
                <c:pt idx="1">
                  <c:v>4</c:v>
                </c:pt>
                <c:pt idx="2">
                  <c:v>44</c:v>
                </c:pt>
              </c:numCache>
            </c:numRef>
          </c:val>
          <c:extLst>
            <c:ext xmlns:c16="http://schemas.microsoft.com/office/drawing/2014/chart" uri="{C3380CC4-5D6E-409C-BE32-E72D297353CC}">
              <c16:uniqueId val="{00000001-98D1-49FF-8FEE-75748D0F645F}"/>
            </c:ext>
          </c:extLst>
        </c:ser>
        <c:dLbls>
          <c:showLegendKey val="0"/>
          <c:showVal val="1"/>
          <c:showCatName val="0"/>
          <c:showSerName val="0"/>
          <c:showPercent val="0"/>
          <c:showBubbleSize val="0"/>
        </c:dLbls>
        <c:gapWidth val="150"/>
        <c:shape val="box"/>
        <c:axId val="1968103359"/>
        <c:axId val="1968099999"/>
        <c:axId val="0"/>
      </c:bar3DChart>
      <c:catAx>
        <c:axId val="196810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8099999"/>
        <c:crosses val="autoZero"/>
        <c:auto val="1"/>
        <c:lblAlgn val="ctr"/>
        <c:lblOffset val="100"/>
        <c:noMultiLvlLbl val="0"/>
      </c:catAx>
      <c:valAx>
        <c:axId val="1968099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810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^0 Risk Analytics Dashboard using Excel.xlsx]Pivot_Data!PivotTable4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Risk vs Loan Status</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Pivot_Data!$G$11:$G$12</c:f>
              <c:strCache>
                <c:ptCount val="1"/>
                <c:pt idx="0">
                  <c:v>Approved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Pivot_Data!$F$13:$F$15</c:f>
              <c:strCache>
                <c:ptCount val="2"/>
                <c:pt idx="0">
                  <c:v>High Risk</c:v>
                </c:pt>
                <c:pt idx="1">
                  <c:v>Low Risk</c:v>
                </c:pt>
              </c:strCache>
            </c:strRef>
          </c:cat>
          <c:val>
            <c:numRef>
              <c:f>Pivot_Data!$G$13:$G$15</c:f>
              <c:numCache>
                <c:formatCode>General</c:formatCode>
                <c:ptCount val="2"/>
                <c:pt idx="0">
                  <c:v>387</c:v>
                </c:pt>
                <c:pt idx="1">
                  <c:v>181</c:v>
                </c:pt>
              </c:numCache>
            </c:numRef>
          </c:val>
          <c:extLst>
            <c:ext xmlns:c16="http://schemas.microsoft.com/office/drawing/2014/chart" uri="{C3380CC4-5D6E-409C-BE32-E72D297353CC}">
              <c16:uniqueId val="{00000000-A210-4113-9068-88699E28CE1A}"/>
            </c:ext>
          </c:extLst>
        </c:ser>
        <c:ser>
          <c:idx val="1"/>
          <c:order val="1"/>
          <c:tx>
            <c:strRef>
              <c:f>Pivot_Data!$H$11:$H$12</c:f>
              <c:strCache>
                <c:ptCount val="1"/>
                <c:pt idx="0">
                  <c:v>Rejected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Pivot_Data!$F$13:$F$15</c:f>
              <c:strCache>
                <c:ptCount val="2"/>
                <c:pt idx="0">
                  <c:v>High Risk</c:v>
                </c:pt>
                <c:pt idx="1">
                  <c:v>Low Risk</c:v>
                </c:pt>
              </c:strCache>
            </c:strRef>
          </c:cat>
          <c:val>
            <c:numRef>
              <c:f>Pivot_Data!$H$13:$H$15</c:f>
              <c:numCache>
                <c:formatCode>General</c:formatCode>
                <c:ptCount val="2"/>
                <c:pt idx="0">
                  <c:v>413</c:v>
                </c:pt>
                <c:pt idx="1">
                  <c:v>219</c:v>
                </c:pt>
              </c:numCache>
            </c:numRef>
          </c:val>
          <c:extLst>
            <c:ext xmlns:c16="http://schemas.microsoft.com/office/drawing/2014/chart" uri="{C3380CC4-5D6E-409C-BE32-E72D297353CC}">
              <c16:uniqueId val="{00000001-3886-4F0C-888D-C2BBC991B2EF}"/>
            </c:ext>
          </c:extLst>
        </c:ser>
        <c:dLbls>
          <c:showLegendKey val="0"/>
          <c:showVal val="1"/>
          <c:showCatName val="0"/>
          <c:showSerName val="0"/>
          <c:showPercent val="0"/>
          <c:showBubbleSize val="0"/>
        </c:dLbls>
        <c:gapWidth val="150"/>
        <c:shape val="box"/>
        <c:axId val="1964602719"/>
        <c:axId val="1964603679"/>
        <c:axId val="0"/>
      </c:bar3DChart>
      <c:catAx>
        <c:axId val="19646027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603679"/>
        <c:crosses val="autoZero"/>
        <c:auto val="1"/>
        <c:lblAlgn val="ctr"/>
        <c:lblOffset val="100"/>
        <c:noMultiLvlLbl val="0"/>
      </c:catAx>
      <c:valAx>
        <c:axId val="19646036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6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5377</xdr:colOff>
      <xdr:row>2</xdr:row>
      <xdr:rowOff>40644</xdr:rowOff>
    </xdr:from>
    <xdr:to>
      <xdr:col>5</xdr:col>
      <xdr:colOff>206964</xdr:colOff>
      <xdr:row>9</xdr:row>
      <xdr:rowOff>171675</xdr:rowOff>
    </xdr:to>
    <xdr:sp macro="" textlink="$AW$14">
      <xdr:nvSpPr>
        <xdr:cNvPr id="3" name="Rectangle 2">
          <a:extLst>
            <a:ext uri="{FF2B5EF4-FFF2-40B4-BE49-F238E27FC236}">
              <a16:creationId xmlns:a16="http://schemas.microsoft.com/office/drawing/2014/main" id="{304041C8-C525-36BE-145C-EA7C7F629E39}"/>
            </a:ext>
          </a:extLst>
        </xdr:cNvPr>
        <xdr:cNvSpPr/>
      </xdr:nvSpPr>
      <xdr:spPr>
        <a:xfrm>
          <a:off x="5377" y="409354"/>
          <a:ext cx="3898926" cy="1421515"/>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t>Total Applications</a:t>
          </a:r>
          <a:br>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br>
          <a:fld id="{F6777A03-76E3-4933-91B8-E1819B43D98B}"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t>1200</a:t>
          </a:fld>
          <a:endParaRPr lang="en-IN" sz="40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8941</xdr:colOff>
      <xdr:row>2</xdr:row>
      <xdr:rowOff>60964</xdr:rowOff>
    </xdr:from>
    <xdr:to>
      <xdr:col>13</xdr:col>
      <xdr:colOff>321401</xdr:colOff>
      <xdr:row>10</xdr:row>
      <xdr:rowOff>7641</xdr:rowOff>
    </xdr:to>
    <xdr:sp macro="" textlink="$AW$15">
      <xdr:nvSpPr>
        <xdr:cNvPr id="4" name="Rectangle 3">
          <a:extLst>
            <a:ext uri="{FF2B5EF4-FFF2-40B4-BE49-F238E27FC236}">
              <a16:creationId xmlns:a16="http://schemas.microsoft.com/office/drawing/2014/main" id="{673E3A25-288D-433E-AF6D-128DAC1EC841}"/>
            </a:ext>
          </a:extLst>
        </xdr:cNvPr>
        <xdr:cNvSpPr/>
      </xdr:nvSpPr>
      <xdr:spPr>
        <a:xfrm>
          <a:off x="4935312" y="429674"/>
          <a:ext cx="3999557" cy="1421515"/>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t>Approval Rate</a:t>
          </a:r>
          <a:br>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br>
          <a:fld id="{2AC50380-0CC2-4B01-9505-AFC1C35B2C3B}"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t>47.33%</a:t>
          </a:fld>
          <a:endParaRPr lang="en-IN" sz="40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15</xdr:col>
      <xdr:colOff>359769</xdr:colOff>
      <xdr:row>2</xdr:row>
      <xdr:rowOff>40969</xdr:rowOff>
    </xdr:from>
    <xdr:to>
      <xdr:col>22</xdr:col>
      <xdr:colOff>47309</xdr:colOff>
      <xdr:row>9</xdr:row>
      <xdr:rowOff>182079</xdr:rowOff>
    </xdr:to>
    <xdr:sp macro="" textlink="$AW$16">
      <xdr:nvSpPr>
        <xdr:cNvPr id="5" name="Rectangle 4">
          <a:extLst>
            <a:ext uri="{FF2B5EF4-FFF2-40B4-BE49-F238E27FC236}">
              <a16:creationId xmlns:a16="http://schemas.microsoft.com/office/drawing/2014/main" id="{A16943EE-E9FD-4466-AF98-73EE43471BB2}"/>
            </a:ext>
          </a:extLst>
        </xdr:cNvPr>
        <xdr:cNvSpPr/>
      </xdr:nvSpPr>
      <xdr:spPr>
        <a:xfrm>
          <a:off x="10202269" y="409679"/>
          <a:ext cx="3989153" cy="1431594"/>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t>Avg. Loan Amount</a:t>
          </a:r>
          <a:br>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br>
          <a:fld id="{73ADE020-056E-4125-95AC-18F786038F3F}"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Times New Roman" panose="02020603050405020304" pitchFamily="18" charset="0"/>
            </a:rPr>
            <a:t>372.90</a:t>
          </a:fld>
          <a:endParaRPr lang="en-IN" sz="40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10</xdr:row>
      <xdr:rowOff>114300</xdr:rowOff>
    </xdr:from>
    <xdr:to>
      <xdr:col>6</xdr:col>
      <xdr:colOff>304800</xdr:colOff>
      <xdr:row>24</xdr:row>
      <xdr:rowOff>101600</xdr:rowOff>
    </xdr:to>
    <xdr:graphicFrame macro="">
      <xdr:nvGraphicFramePr>
        <xdr:cNvPr id="6" name="Chart 5">
          <a:extLst>
            <a:ext uri="{FF2B5EF4-FFF2-40B4-BE49-F238E27FC236}">
              <a16:creationId xmlns:a16="http://schemas.microsoft.com/office/drawing/2014/main" id="{59D430DB-FAA1-4D37-9250-4CD02F2C0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307219</xdr:colOff>
      <xdr:row>10</xdr:row>
      <xdr:rowOff>114300</xdr:rowOff>
    </xdr:from>
    <xdr:to>
      <xdr:col>14</xdr:col>
      <xdr:colOff>148469</xdr:colOff>
      <xdr:row>24</xdr:row>
      <xdr:rowOff>95250</xdr:rowOff>
    </xdr:to>
    <xdr:graphicFrame macro="">
      <xdr:nvGraphicFramePr>
        <xdr:cNvPr id="7" name="Chart 6">
          <a:extLst>
            <a:ext uri="{FF2B5EF4-FFF2-40B4-BE49-F238E27FC236}">
              <a16:creationId xmlns:a16="http://schemas.microsoft.com/office/drawing/2014/main" id="{51FDFFD0-241C-4240-8AF2-662EF9D31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166310</xdr:colOff>
      <xdr:row>10</xdr:row>
      <xdr:rowOff>98273</xdr:rowOff>
    </xdr:from>
    <xdr:to>
      <xdr:col>22</xdr:col>
      <xdr:colOff>188988</xdr:colOff>
      <xdr:row>24</xdr:row>
      <xdr:rowOff>105832</xdr:rowOff>
    </xdr:to>
    <xdr:graphicFrame macro="">
      <xdr:nvGraphicFramePr>
        <xdr:cNvPr id="8" name="Chart 7">
          <a:extLst>
            <a:ext uri="{FF2B5EF4-FFF2-40B4-BE49-F238E27FC236}">
              <a16:creationId xmlns:a16="http://schemas.microsoft.com/office/drawing/2014/main" id="{3AAE98B5-5220-4108-BF9D-3FDB8C97A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309941</xdr:colOff>
      <xdr:row>24</xdr:row>
      <xdr:rowOff>105833</xdr:rowOff>
    </xdr:from>
    <xdr:to>
      <xdr:col>14</xdr:col>
      <xdr:colOff>173869</xdr:colOff>
      <xdr:row>39</xdr:row>
      <xdr:rowOff>157843</xdr:rowOff>
    </xdr:to>
    <xdr:graphicFrame macro="">
      <xdr:nvGraphicFramePr>
        <xdr:cNvPr id="9" name="Chart 8">
          <a:extLst>
            <a:ext uri="{FF2B5EF4-FFF2-40B4-BE49-F238E27FC236}">
              <a16:creationId xmlns:a16="http://schemas.microsoft.com/office/drawing/2014/main" id="{BAFC7FE7-0D9F-4757-9DD6-65FD212A4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127056</xdr:colOff>
      <xdr:row>24</xdr:row>
      <xdr:rowOff>104357</xdr:rowOff>
    </xdr:from>
    <xdr:to>
      <xdr:col>4</xdr:col>
      <xdr:colOff>71693</xdr:colOff>
      <xdr:row>32</xdr:row>
      <xdr:rowOff>61451</xdr:rowOff>
    </xdr:to>
    <mc:AlternateContent xmlns:mc="http://schemas.openxmlformats.org/markup-compatibility/2006">
      <mc:Choice xmlns:a14="http://schemas.microsoft.com/office/drawing/2010/main" Requires="a14">
        <xdr:graphicFrame macro="">
          <xdr:nvGraphicFramePr>
            <xdr:cNvPr id="10" name="Clean_Gender">
              <a:extLst>
                <a:ext uri="{FF2B5EF4-FFF2-40B4-BE49-F238E27FC236}">
                  <a16:creationId xmlns:a16="http://schemas.microsoft.com/office/drawing/2014/main" id="{91E9548B-6C40-466E-8CD5-DCCEC0B0304B}"/>
                </a:ext>
              </a:extLst>
            </xdr:cNvPr>
            <xdr:cNvGraphicFramePr/>
          </xdr:nvGraphicFramePr>
          <xdr:xfrm>
            <a:off x="0" y="0"/>
            <a:ext cx="0" cy="0"/>
          </xdr:xfrm>
          <a:graphic>
            <a:graphicData uri="http://schemas.microsoft.com/office/drawing/2010/slicer">
              <sle:slicer xmlns:sle="http://schemas.microsoft.com/office/drawing/2010/slicer" name="Clean_Gender"/>
            </a:graphicData>
          </a:graphic>
        </xdr:graphicFrame>
      </mc:Choice>
      <mc:Fallback>
        <xdr:sp macro="" textlink="">
          <xdr:nvSpPr>
            <xdr:cNvPr id="0" name=""/>
            <xdr:cNvSpPr>
              <a:spLocks noTextEdit="1"/>
            </xdr:cNvSpPr>
          </xdr:nvSpPr>
          <xdr:spPr>
            <a:xfrm>
              <a:off x="1292958" y="4601406"/>
              <a:ext cx="1860046" cy="1456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594033</xdr:colOff>
      <xdr:row>24</xdr:row>
      <xdr:rowOff>102419</xdr:rowOff>
    </xdr:from>
    <xdr:to>
      <xdr:col>21</xdr:col>
      <xdr:colOff>583790</xdr:colOff>
      <xdr:row>32</xdr:row>
      <xdr:rowOff>20484</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37CAA396-843F-4F81-8F17-B1610623EB7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273869" y="4599468"/>
              <a:ext cx="1832298" cy="1417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594033</xdr:colOff>
      <xdr:row>24</xdr:row>
      <xdr:rowOff>92177</xdr:rowOff>
    </xdr:from>
    <xdr:to>
      <xdr:col>17</xdr:col>
      <xdr:colOff>573549</xdr:colOff>
      <xdr:row>32</xdr:row>
      <xdr:rowOff>71693</xdr:rowOff>
    </xdr:to>
    <mc:AlternateContent xmlns:mc="http://schemas.openxmlformats.org/markup-compatibility/2006">
      <mc:Choice xmlns:a14="http://schemas.microsoft.com/office/drawing/2010/main" Requires="a14">
        <xdr:graphicFrame macro="">
          <xdr:nvGraphicFramePr>
            <xdr:cNvPr id="12" name="Property_Area">
              <a:extLst>
                <a:ext uri="{FF2B5EF4-FFF2-40B4-BE49-F238E27FC236}">
                  <a16:creationId xmlns:a16="http://schemas.microsoft.com/office/drawing/2014/main" id="{E1223BD8-BC8A-447B-AAA6-4AF2CAC6C4D3}"/>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dr:sp macro="" textlink="">
          <xdr:nvSpPr>
            <xdr:cNvPr id="0" name=""/>
            <xdr:cNvSpPr>
              <a:spLocks noTextEdit="1"/>
            </xdr:cNvSpPr>
          </xdr:nvSpPr>
          <xdr:spPr>
            <a:xfrm>
              <a:off x="9817148" y="4589226"/>
              <a:ext cx="1822057" cy="1478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24.898961689818" createdVersion="8" refreshedVersion="8" minRefreshableVersion="3" recordCount="1201" xr:uid="{33816F6A-EFAB-4317-82E1-0B08FA5AE0BF}">
  <cacheSource type="worksheet">
    <worksheetSource ref="A1:R1048576" sheet="Clean_Data"/>
  </cacheSource>
  <cacheFields count="18">
    <cacheField name="Loan_ID" numFmtId="0">
      <sharedItems containsBlank="1"/>
    </cacheField>
    <cacheField name="Clean_Gender" numFmtId="0">
      <sharedItems containsBlank="1" count="4">
        <s v="Male"/>
        <s v="Unknown"/>
        <s v="Female"/>
        <m/>
      </sharedItems>
    </cacheField>
    <cacheField name="Clean_Married" numFmtId="0">
      <sharedItems containsBlank="1"/>
    </cacheField>
    <cacheField name="Dependents" numFmtId="0">
      <sharedItems containsBlank="1" containsMixedTypes="1" containsNumber="1" containsInteger="1" minValue="0" maxValue="2"/>
    </cacheField>
    <cacheField name="Education" numFmtId="0">
      <sharedItems containsBlank="1" count="3">
        <s v="Not Graduate"/>
        <s v="Graduate"/>
        <m/>
      </sharedItems>
    </cacheField>
    <cacheField name="Clean Self Employed" numFmtId="0">
      <sharedItems containsBlank="1"/>
    </cacheField>
    <cacheField name="ApplicantIncome" numFmtId="0">
      <sharedItems containsString="0" containsBlank="1" containsNumber="1" containsInteger="1" minValue="1538" maxValue="19980"/>
    </cacheField>
    <cacheField name="CoapplicantIncome" numFmtId="0">
      <sharedItems containsString="0" containsBlank="1" containsNumber="1" containsInteger="1" minValue="9" maxValue="9999"/>
    </cacheField>
    <cacheField name="LoanAmount (In Thousands)" numFmtId="0">
      <sharedItems containsString="0" containsBlank="1" containsNumber="1" containsInteger="1" minValue="50" maxValue="700"/>
    </cacheField>
    <cacheField name="Clean Loan Term" numFmtId="0">
      <sharedItems containsString="0" containsBlank="1" containsNumber="1" containsInteger="1" minValue="120" maxValue="360"/>
    </cacheField>
    <cacheField name="Clean Credit History" numFmtId="0">
      <sharedItems containsString="0" containsBlank="1" containsNumber="1" containsInteger="1" minValue="0" maxValue="1"/>
    </cacheField>
    <cacheField name="Property_Area" numFmtId="0">
      <sharedItems containsBlank="1" count="4">
        <s v="Semiurban"/>
        <s v="Rural"/>
        <s v="Urban"/>
        <m/>
      </sharedItems>
    </cacheField>
    <cacheField name="Total_Income" numFmtId="0">
      <sharedItems containsString="0" containsBlank="1" containsNumber="1" containsInteger="1" minValue="1953" maxValue="29691"/>
    </cacheField>
    <cacheField name="Loan_Status" numFmtId="0">
      <sharedItems containsBlank="1" count="3">
        <s v="Y"/>
        <s v="N"/>
        <m/>
      </sharedItems>
    </cacheField>
    <cacheField name="Income Group" numFmtId="0">
      <sharedItems containsBlank="1" count="4">
        <s v="High"/>
        <s v="Medium"/>
        <s v="Low"/>
        <m/>
      </sharedItems>
    </cacheField>
    <cacheField name="Loan Status Label" numFmtId="0">
      <sharedItems containsBlank="1" count="3">
        <s v="Approved"/>
        <s v="Rejected"/>
        <m/>
      </sharedItems>
    </cacheField>
    <cacheField name="Risk Category" numFmtId="0">
      <sharedItems containsBlank="1" count="3">
        <s v="Low Risk"/>
        <s v="High Risk"/>
        <m/>
      </sharedItems>
    </cacheField>
    <cacheField name="EMI Estimation" numFmtId="0">
      <sharedItems containsString="0" containsBlank="1" containsNumber="1" minValue="403.57051563365695" maxValue="8468.6660860039137"/>
    </cacheField>
  </cacheFields>
  <extLst>
    <ext xmlns:x14="http://schemas.microsoft.com/office/spreadsheetml/2009/9/main" uri="{725AE2AE-9491-48be-B2B4-4EB974FC3084}">
      <x14:pivotCacheDefinition pivotCacheId="58865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LP0000000"/>
    <x v="0"/>
    <s v="Yes"/>
    <s v="3+"/>
    <x v="0"/>
    <s v="No"/>
    <n v="4024"/>
    <n v="9785"/>
    <n v="430"/>
    <n v="120"/>
    <n v="1"/>
    <x v="0"/>
    <n v="13809"/>
    <x v="0"/>
    <x v="0"/>
    <x v="0"/>
    <x v="0"/>
    <n v="5217.0865572803477"/>
  </r>
  <r>
    <s v="LP0000001"/>
    <x v="1"/>
    <s v="Yes"/>
    <n v="0"/>
    <x v="0"/>
    <s v="No"/>
    <n v="6730"/>
    <n v="2302"/>
    <n v="189"/>
    <n v="360"/>
    <n v="0"/>
    <x v="0"/>
    <n v="9032"/>
    <x v="0"/>
    <x v="0"/>
    <x v="0"/>
    <x v="1"/>
    <n v="1386.815044632021"/>
  </r>
  <r>
    <s v="LP0000002"/>
    <x v="1"/>
    <s v="Yes"/>
    <n v="1"/>
    <x v="1"/>
    <s v="No"/>
    <n v="7432"/>
    <n v="2840"/>
    <n v="374"/>
    <n v="180"/>
    <n v="1"/>
    <x v="0"/>
    <n v="10272"/>
    <x v="1"/>
    <x v="0"/>
    <x v="1"/>
    <x v="0"/>
    <n v="3574.1387953955145"/>
  </r>
  <r>
    <s v="LP0000003"/>
    <x v="2"/>
    <s v="No"/>
    <s v="3+"/>
    <x v="1"/>
    <s v="Yes"/>
    <n v="3362"/>
    <n v="8027"/>
    <n v="430"/>
    <n v="180"/>
    <n v="1"/>
    <x v="1"/>
    <n v="11389"/>
    <x v="0"/>
    <x v="0"/>
    <x v="0"/>
    <x v="0"/>
    <n v="4109.3039626205109"/>
  </r>
  <r>
    <s v="LP0000004"/>
    <x v="1"/>
    <s v="No"/>
    <n v="1"/>
    <x v="0"/>
    <s v="No"/>
    <n v="12977"/>
    <n v="2443"/>
    <n v="165"/>
    <n v="360"/>
    <n v="0"/>
    <x v="0"/>
    <n v="15420"/>
    <x v="1"/>
    <x v="0"/>
    <x v="1"/>
    <x v="1"/>
    <n v="1210.7115469009707"/>
  </r>
  <r>
    <s v="LP0000005"/>
    <x v="0"/>
    <s v="No"/>
    <s v="3+"/>
    <x v="1"/>
    <s v="No"/>
    <n v="5382"/>
    <n v="5923"/>
    <n v="344"/>
    <n v="120"/>
    <n v="0"/>
    <x v="1"/>
    <n v="11305"/>
    <x v="0"/>
    <x v="0"/>
    <x v="0"/>
    <x v="1"/>
    <n v="4173.6692458242787"/>
  </r>
  <r>
    <s v="LP0000006"/>
    <x v="2"/>
    <s v="No"/>
    <n v="1"/>
    <x v="1"/>
    <s v="No"/>
    <n v="12437"/>
    <n v="8387"/>
    <n v="256"/>
    <n v="360"/>
    <n v="1"/>
    <x v="1"/>
    <n v="20824"/>
    <x v="1"/>
    <x v="0"/>
    <x v="1"/>
    <x v="0"/>
    <n v="1878.4373091312029"/>
  </r>
  <r>
    <s v="LP0000007"/>
    <x v="0"/>
    <s v="No"/>
    <n v="1"/>
    <x v="1"/>
    <s v="No"/>
    <n v="12489"/>
    <n v="8987"/>
    <n v="115"/>
    <n v="360"/>
    <n v="0"/>
    <x v="1"/>
    <n v="21476"/>
    <x v="0"/>
    <x v="0"/>
    <x v="0"/>
    <x v="1"/>
    <n v="843.82925996128267"/>
  </r>
  <r>
    <s v="LP0000008"/>
    <x v="2"/>
    <s v="Yes"/>
    <n v="2"/>
    <x v="1"/>
    <s v="No"/>
    <n v="19536"/>
    <n v="4142"/>
    <n v="292"/>
    <n v="360"/>
    <n v="1"/>
    <x v="0"/>
    <n v="23678"/>
    <x v="1"/>
    <x v="0"/>
    <x v="1"/>
    <x v="0"/>
    <n v="2142.5925557277783"/>
  </r>
  <r>
    <s v="LP0000009"/>
    <x v="1"/>
    <s v="No"/>
    <n v="0"/>
    <x v="1"/>
    <s v="No"/>
    <n v="4932"/>
    <n v="6375"/>
    <n v="559"/>
    <n v="120"/>
    <n v="0"/>
    <x v="1"/>
    <n v="11307"/>
    <x v="1"/>
    <x v="0"/>
    <x v="1"/>
    <x v="1"/>
    <n v="6782.2125244644521"/>
  </r>
  <r>
    <s v="LP0000010"/>
    <x v="1"/>
    <s v="Yes"/>
    <n v="0"/>
    <x v="1"/>
    <s v="No"/>
    <n v="3393"/>
    <n v="1654"/>
    <n v="698"/>
    <n v="180"/>
    <n v="0"/>
    <x v="0"/>
    <n v="5047"/>
    <x v="0"/>
    <x v="1"/>
    <x v="0"/>
    <x v="1"/>
    <n v="6670.4515486258533"/>
  </r>
  <r>
    <s v="LP0000011"/>
    <x v="1"/>
    <s v="Yes"/>
    <n v="2"/>
    <x v="1"/>
    <s v="No"/>
    <n v="10051"/>
    <n v="719"/>
    <n v="354"/>
    <n v="360"/>
    <n v="0"/>
    <x v="2"/>
    <n v="10770"/>
    <x v="1"/>
    <x v="0"/>
    <x v="1"/>
    <x v="1"/>
    <n v="2597.5265915329919"/>
  </r>
  <r>
    <s v="LP0000012"/>
    <x v="2"/>
    <s v="No"/>
    <n v="0"/>
    <x v="0"/>
    <s v="No"/>
    <n v="10195"/>
    <n v="3069"/>
    <n v="592"/>
    <n v="360"/>
    <n v="1"/>
    <x v="1"/>
    <n v="13264"/>
    <x v="0"/>
    <x v="0"/>
    <x v="0"/>
    <x v="0"/>
    <n v="4343.8862773659066"/>
  </r>
  <r>
    <s v="LP0000013"/>
    <x v="1"/>
    <s v="Yes"/>
    <n v="2"/>
    <x v="0"/>
    <s v="Yes"/>
    <n v="2216"/>
    <n v="5207"/>
    <n v="676"/>
    <n v="360"/>
    <n v="0"/>
    <x v="0"/>
    <n v="7423"/>
    <x v="1"/>
    <x v="0"/>
    <x v="1"/>
    <x v="1"/>
    <n v="4960.2485194245828"/>
  </r>
  <r>
    <s v="LP0000014"/>
    <x v="2"/>
    <s v="Yes"/>
    <n v="2"/>
    <x v="1"/>
    <s v="No"/>
    <n v="5778"/>
    <n v="7888"/>
    <n v="698"/>
    <n v="360"/>
    <n v="1"/>
    <x v="0"/>
    <n v="13666"/>
    <x v="1"/>
    <x v="0"/>
    <x v="1"/>
    <x v="0"/>
    <n v="5121.6767256780458"/>
  </r>
  <r>
    <s v="LP0000015"/>
    <x v="2"/>
    <s v="Yes"/>
    <s v="3+"/>
    <x v="1"/>
    <s v="No"/>
    <n v="10958"/>
    <n v="3181"/>
    <n v="199"/>
    <n v="120"/>
    <n v="1"/>
    <x v="0"/>
    <n v="14139"/>
    <x v="1"/>
    <x v="0"/>
    <x v="1"/>
    <x v="0"/>
    <n v="2414.4191276716028"/>
  </r>
  <r>
    <s v="LP0000016"/>
    <x v="0"/>
    <s v="Yes"/>
    <s v="3+"/>
    <x v="1"/>
    <s v="No"/>
    <n v="7377"/>
    <n v="5147"/>
    <n v="239"/>
    <n v="120"/>
    <n v="0"/>
    <x v="0"/>
    <n v="12524"/>
    <x v="1"/>
    <x v="0"/>
    <x v="1"/>
    <x v="1"/>
    <n v="2899.7295050930302"/>
  </r>
  <r>
    <s v="LP0000017"/>
    <x v="0"/>
    <s v="No"/>
    <n v="2"/>
    <x v="0"/>
    <s v="No"/>
    <n v="14269"/>
    <n v="2992"/>
    <n v="547"/>
    <n v="360"/>
    <n v="0"/>
    <x v="2"/>
    <n v="17261"/>
    <x v="0"/>
    <x v="0"/>
    <x v="0"/>
    <x v="1"/>
    <n v="4013.6922191201875"/>
  </r>
  <r>
    <s v="LP0000018"/>
    <x v="0"/>
    <s v="No"/>
    <s v="3+"/>
    <x v="1"/>
    <s v="No"/>
    <n v="10982"/>
    <n v="9491"/>
    <n v="609"/>
    <n v="360"/>
    <n v="0"/>
    <x v="0"/>
    <n v="20473"/>
    <x v="1"/>
    <x v="0"/>
    <x v="1"/>
    <x v="1"/>
    <n v="4468.6262549254016"/>
  </r>
  <r>
    <s v="LP0000019"/>
    <x v="1"/>
    <s v="No"/>
    <n v="2"/>
    <x v="1"/>
    <s v="No"/>
    <n v="12082"/>
    <n v="8735"/>
    <n v="145"/>
    <n v="120"/>
    <n v="0"/>
    <x v="0"/>
    <n v="20817"/>
    <x v="0"/>
    <x v="0"/>
    <x v="0"/>
    <x v="1"/>
    <n v="1759.2501181526754"/>
  </r>
  <r>
    <s v="LP0000020"/>
    <x v="0"/>
    <s v="No"/>
    <n v="0"/>
    <x v="1"/>
    <s v="No"/>
    <n v="19383"/>
    <n v="433"/>
    <n v="259"/>
    <n v="360"/>
    <n v="1"/>
    <x v="2"/>
    <n v="19816"/>
    <x v="0"/>
    <x v="0"/>
    <x v="0"/>
    <x v="0"/>
    <n v="1900.4502463475844"/>
  </r>
  <r>
    <s v="LP0000021"/>
    <x v="0"/>
    <s v="Yes"/>
    <s v="3+"/>
    <x v="1"/>
    <s v="Yes"/>
    <n v="2040"/>
    <n v="148"/>
    <n v="310"/>
    <n v="180"/>
    <n v="0"/>
    <x v="2"/>
    <n v="2188"/>
    <x v="1"/>
    <x v="2"/>
    <x v="1"/>
    <x v="1"/>
    <n v="2962.5214614240895"/>
  </r>
  <r>
    <s v="LP0000022"/>
    <x v="1"/>
    <s v="No"/>
    <n v="2"/>
    <x v="0"/>
    <s v="No"/>
    <n v="17565"/>
    <n v="1029"/>
    <n v="316"/>
    <n v="360"/>
    <n v="1"/>
    <x v="0"/>
    <n v="18594"/>
    <x v="1"/>
    <x v="0"/>
    <x v="1"/>
    <x v="0"/>
    <n v="2318.6960534588288"/>
  </r>
  <r>
    <s v="LP0000023"/>
    <x v="0"/>
    <s v="No"/>
    <n v="1"/>
    <x v="0"/>
    <s v="No"/>
    <n v="7139"/>
    <n v="5427"/>
    <n v="338"/>
    <n v="360"/>
    <n v="0"/>
    <x v="0"/>
    <n v="12566"/>
    <x v="1"/>
    <x v="0"/>
    <x v="1"/>
    <x v="1"/>
    <n v="2480.1242597122914"/>
  </r>
  <r>
    <s v="LP0000024"/>
    <x v="0"/>
    <s v="No"/>
    <n v="1"/>
    <x v="1"/>
    <s v="No"/>
    <n v="4235"/>
    <n v="7396"/>
    <n v="314"/>
    <n v="120"/>
    <n v="0"/>
    <x v="2"/>
    <n v="11631"/>
    <x v="0"/>
    <x v="0"/>
    <x v="0"/>
    <x v="1"/>
    <n v="3809.6864627582077"/>
  </r>
  <r>
    <s v="LP0000025"/>
    <x v="1"/>
    <s v="No"/>
    <n v="2"/>
    <x v="1"/>
    <s v="Yes"/>
    <n v="18290"/>
    <n v="7916"/>
    <n v="100"/>
    <n v="180"/>
    <n v="0"/>
    <x v="1"/>
    <n v="26206"/>
    <x v="0"/>
    <x v="0"/>
    <x v="0"/>
    <x v="1"/>
    <n v="955.6520843303515"/>
  </r>
  <r>
    <s v="LP0000026"/>
    <x v="1"/>
    <s v="Yes"/>
    <n v="1"/>
    <x v="1"/>
    <s v="No"/>
    <n v="11432"/>
    <n v="4537"/>
    <n v="496"/>
    <n v="360"/>
    <n v="0"/>
    <x v="0"/>
    <n v="15969"/>
    <x v="1"/>
    <x v="0"/>
    <x v="1"/>
    <x v="1"/>
    <n v="3639.4722864417058"/>
  </r>
  <r>
    <s v="LP0000027"/>
    <x v="1"/>
    <s v="No"/>
    <s v="3+"/>
    <x v="1"/>
    <s v="Yes"/>
    <n v="12689"/>
    <n v="1293"/>
    <n v="331"/>
    <n v="180"/>
    <n v="1"/>
    <x v="0"/>
    <n v="13982"/>
    <x v="1"/>
    <x v="0"/>
    <x v="1"/>
    <x v="0"/>
    <n v="3163.208399133463"/>
  </r>
  <r>
    <s v="LP0000028"/>
    <x v="2"/>
    <s v="Yes"/>
    <s v="3+"/>
    <x v="0"/>
    <s v="No"/>
    <n v="19452"/>
    <n v="4925"/>
    <n v="209"/>
    <n v="180"/>
    <n v="0"/>
    <x v="1"/>
    <n v="24377"/>
    <x v="1"/>
    <x v="0"/>
    <x v="1"/>
    <x v="1"/>
    <n v="1997.3128562504346"/>
  </r>
  <r>
    <s v="LP0000029"/>
    <x v="1"/>
    <s v="No"/>
    <s v="3+"/>
    <x v="0"/>
    <s v="Yes"/>
    <n v="13457"/>
    <n v="7151"/>
    <n v="613"/>
    <n v="360"/>
    <n v="1"/>
    <x v="1"/>
    <n v="20608"/>
    <x v="1"/>
    <x v="0"/>
    <x v="1"/>
    <x v="0"/>
    <n v="4497.9768378805757"/>
  </r>
  <r>
    <s v="LP0000030"/>
    <x v="2"/>
    <s v="Yes"/>
    <n v="1"/>
    <x v="0"/>
    <s v="No"/>
    <n v="10021"/>
    <n v="4440"/>
    <n v="186"/>
    <n v="180"/>
    <n v="1"/>
    <x v="1"/>
    <n v="14461"/>
    <x v="1"/>
    <x v="0"/>
    <x v="1"/>
    <x v="0"/>
    <n v="1777.5128768544537"/>
  </r>
  <r>
    <s v="LP0000031"/>
    <x v="0"/>
    <s v="No"/>
    <n v="1"/>
    <x v="0"/>
    <s v="Yes"/>
    <n v="3342"/>
    <n v="1081"/>
    <n v="665"/>
    <n v="360"/>
    <n v="0"/>
    <x v="0"/>
    <n v="4423"/>
    <x v="0"/>
    <x v="1"/>
    <x v="0"/>
    <x v="1"/>
    <n v="4879.5344162978517"/>
  </r>
  <r>
    <s v="LP0000032"/>
    <x v="2"/>
    <s v="Yes"/>
    <n v="1"/>
    <x v="1"/>
    <s v="No"/>
    <n v="6132"/>
    <n v="3793"/>
    <n v="133"/>
    <n v="360"/>
    <n v="1"/>
    <x v="2"/>
    <n v="9925"/>
    <x v="1"/>
    <x v="0"/>
    <x v="1"/>
    <x v="0"/>
    <n v="975.90688325957035"/>
  </r>
  <r>
    <s v="LP0000033"/>
    <x v="2"/>
    <s v="No"/>
    <n v="2"/>
    <x v="0"/>
    <s v="No"/>
    <n v="15503"/>
    <n v="3603"/>
    <n v="83"/>
    <n v="180"/>
    <n v="0"/>
    <x v="0"/>
    <n v="19106"/>
    <x v="1"/>
    <x v="0"/>
    <x v="1"/>
    <x v="1"/>
    <n v="793.19122999419176"/>
  </r>
  <r>
    <s v="LP0000034"/>
    <x v="2"/>
    <s v="Yes"/>
    <n v="0"/>
    <x v="1"/>
    <s v="No"/>
    <n v="6460"/>
    <n v="3341"/>
    <n v="116"/>
    <n v="360"/>
    <n v="1"/>
    <x v="1"/>
    <n v="9801"/>
    <x v="1"/>
    <x v="0"/>
    <x v="1"/>
    <x v="0"/>
    <n v="851.16690570007631"/>
  </r>
  <r>
    <s v="LP0000035"/>
    <x v="1"/>
    <s v="Yes"/>
    <n v="2"/>
    <x v="0"/>
    <s v="No"/>
    <n v="17702"/>
    <n v="8789"/>
    <n v="671"/>
    <n v="360"/>
    <n v="0"/>
    <x v="2"/>
    <n v="26491"/>
    <x v="1"/>
    <x v="0"/>
    <x v="1"/>
    <x v="1"/>
    <n v="4923.5602907306147"/>
  </r>
  <r>
    <s v="LP0000036"/>
    <x v="2"/>
    <s v="Yes"/>
    <n v="2"/>
    <x v="0"/>
    <s v="No"/>
    <n v="7290"/>
    <n v="2503"/>
    <n v="614"/>
    <n v="180"/>
    <n v="0"/>
    <x v="0"/>
    <n v="9793"/>
    <x v="1"/>
    <x v="0"/>
    <x v="1"/>
    <x v="1"/>
    <n v="5867.7037977883583"/>
  </r>
  <r>
    <s v="LP0000037"/>
    <x v="2"/>
    <s v="No"/>
    <n v="0"/>
    <x v="1"/>
    <s v="Yes"/>
    <n v="6857"/>
    <n v="8833"/>
    <n v="540"/>
    <n v="360"/>
    <n v="0"/>
    <x v="1"/>
    <n v="15690"/>
    <x v="1"/>
    <x v="0"/>
    <x v="1"/>
    <x v="1"/>
    <n v="3962.3286989486314"/>
  </r>
  <r>
    <s v="LP0000038"/>
    <x v="2"/>
    <s v="No"/>
    <n v="0"/>
    <x v="1"/>
    <s v="No"/>
    <n v="5887"/>
    <n v="478"/>
    <n v="318"/>
    <n v="360"/>
    <n v="0"/>
    <x v="0"/>
    <n v="6365"/>
    <x v="1"/>
    <x v="1"/>
    <x v="1"/>
    <x v="1"/>
    <n v="2333.3713449364163"/>
  </r>
  <r>
    <s v="LP0000039"/>
    <x v="0"/>
    <s v="No"/>
    <n v="1"/>
    <x v="1"/>
    <s v="No"/>
    <n v="6407"/>
    <n v="7475"/>
    <n v="55"/>
    <n v="180"/>
    <n v="0"/>
    <x v="1"/>
    <n v="13882"/>
    <x v="0"/>
    <x v="0"/>
    <x v="0"/>
    <x v="1"/>
    <n v="525.60864638169323"/>
  </r>
  <r>
    <s v="LP0000040"/>
    <x v="0"/>
    <s v="No"/>
    <n v="1"/>
    <x v="0"/>
    <s v="Yes"/>
    <n v="11645"/>
    <n v="964"/>
    <n v="309"/>
    <n v="360"/>
    <n v="0"/>
    <x v="2"/>
    <n v="12609"/>
    <x v="0"/>
    <x v="0"/>
    <x v="0"/>
    <x v="1"/>
    <n v="2267.3325332872728"/>
  </r>
  <r>
    <s v="LP0000041"/>
    <x v="0"/>
    <s v="No"/>
    <n v="1"/>
    <x v="1"/>
    <s v="No"/>
    <n v="11026"/>
    <n v="9618"/>
    <n v="274"/>
    <n v="180"/>
    <n v="0"/>
    <x v="2"/>
    <n v="20644"/>
    <x v="1"/>
    <x v="0"/>
    <x v="1"/>
    <x v="1"/>
    <n v="2618.486711065163"/>
  </r>
  <r>
    <s v="LP0000042"/>
    <x v="2"/>
    <s v="No"/>
    <s v="3+"/>
    <x v="1"/>
    <s v="No"/>
    <n v="5531"/>
    <n v="2701"/>
    <n v="463"/>
    <n v="120"/>
    <n v="1"/>
    <x v="1"/>
    <n v="8232"/>
    <x v="1"/>
    <x v="0"/>
    <x v="1"/>
    <x v="0"/>
    <n v="5617.467618653026"/>
  </r>
  <r>
    <s v="LP0000043"/>
    <x v="2"/>
    <s v="Yes"/>
    <n v="0"/>
    <x v="0"/>
    <s v="No"/>
    <n v="11974"/>
    <n v="5499"/>
    <n v="269"/>
    <n v="360"/>
    <n v="0"/>
    <x v="1"/>
    <n v="17473"/>
    <x v="0"/>
    <x v="0"/>
    <x v="0"/>
    <x v="1"/>
    <n v="1973.8267037355217"/>
  </r>
  <r>
    <s v="LP0000044"/>
    <x v="1"/>
    <s v="No"/>
    <n v="2"/>
    <x v="0"/>
    <s v="No"/>
    <n v="4069"/>
    <n v="7868"/>
    <n v="301"/>
    <n v="180"/>
    <n v="0"/>
    <x v="2"/>
    <n v="11937"/>
    <x v="1"/>
    <x v="0"/>
    <x v="1"/>
    <x v="1"/>
    <n v="2876.5127738343576"/>
  </r>
  <r>
    <s v="LP0000045"/>
    <x v="1"/>
    <s v="Yes"/>
    <n v="2"/>
    <x v="1"/>
    <s v="No"/>
    <n v="12899"/>
    <n v="588"/>
    <n v="273"/>
    <n v="360"/>
    <n v="0"/>
    <x v="1"/>
    <n v="13487"/>
    <x v="1"/>
    <x v="0"/>
    <x v="1"/>
    <x v="1"/>
    <n v="2003.1772866906972"/>
  </r>
  <r>
    <s v="LP0000046"/>
    <x v="1"/>
    <s v="No"/>
    <n v="1"/>
    <x v="1"/>
    <s v="No"/>
    <n v="6959"/>
    <n v="7510"/>
    <n v="497"/>
    <n v="120"/>
    <n v="0"/>
    <x v="0"/>
    <n v="14469"/>
    <x v="1"/>
    <x v="0"/>
    <x v="1"/>
    <x v="1"/>
    <n v="6029.9814394612386"/>
  </r>
  <r>
    <s v="LP0000047"/>
    <x v="1"/>
    <s v="Yes"/>
    <n v="1"/>
    <x v="0"/>
    <s v="Yes"/>
    <n v="16147"/>
    <n v="4332"/>
    <n v="517"/>
    <n v="180"/>
    <n v="1"/>
    <x v="0"/>
    <n v="20479"/>
    <x v="0"/>
    <x v="0"/>
    <x v="0"/>
    <x v="0"/>
    <n v="4940.7212759879176"/>
  </r>
  <r>
    <s v="LP0000048"/>
    <x v="1"/>
    <s v="No"/>
    <n v="2"/>
    <x v="0"/>
    <s v="No"/>
    <n v="13257"/>
    <n v="8030"/>
    <n v="376"/>
    <n v="360"/>
    <n v="0"/>
    <x v="1"/>
    <n v="21287"/>
    <x v="0"/>
    <x v="0"/>
    <x v="0"/>
    <x v="1"/>
    <n v="2758.9547977864545"/>
  </r>
  <r>
    <s v="LP0000049"/>
    <x v="0"/>
    <s v="Yes"/>
    <n v="2"/>
    <x v="0"/>
    <s v="No"/>
    <n v="2903"/>
    <n v="3262"/>
    <n v="116"/>
    <n v="360"/>
    <n v="1"/>
    <x v="0"/>
    <n v="6165"/>
    <x v="1"/>
    <x v="1"/>
    <x v="1"/>
    <x v="0"/>
    <n v="851.16690570007631"/>
  </r>
  <r>
    <s v="LP0000050"/>
    <x v="1"/>
    <s v="No"/>
    <n v="1"/>
    <x v="0"/>
    <s v="Yes"/>
    <n v="17171"/>
    <n v="9872"/>
    <n v="651"/>
    <n v="360"/>
    <n v="0"/>
    <x v="2"/>
    <n v="27043"/>
    <x v="1"/>
    <x v="0"/>
    <x v="1"/>
    <x v="1"/>
    <n v="4776.8073759547387"/>
  </r>
  <r>
    <s v="LP0000051"/>
    <x v="2"/>
    <s v="No"/>
    <n v="0"/>
    <x v="1"/>
    <s v="No"/>
    <n v="5276"/>
    <n v="5607"/>
    <n v="85"/>
    <n v="360"/>
    <n v="0"/>
    <x v="1"/>
    <n v="10883"/>
    <x v="0"/>
    <x v="0"/>
    <x v="0"/>
    <x v="1"/>
    <n v="623.69988779746984"/>
  </r>
  <r>
    <s v="LP0000052"/>
    <x v="2"/>
    <s v="No"/>
    <n v="0"/>
    <x v="0"/>
    <s v="Yes"/>
    <n v="19013"/>
    <n v="8916"/>
    <n v="442"/>
    <n v="360"/>
    <n v="1"/>
    <x v="2"/>
    <n v="27929"/>
    <x v="1"/>
    <x v="0"/>
    <x v="1"/>
    <x v="0"/>
    <n v="3243.2394165468427"/>
  </r>
  <r>
    <s v="LP0000053"/>
    <x v="1"/>
    <s v="No"/>
    <s v="3+"/>
    <x v="1"/>
    <s v="No"/>
    <n v="9989"/>
    <n v="5013"/>
    <n v="310"/>
    <n v="180"/>
    <n v="0"/>
    <x v="0"/>
    <n v="15002"/>
    <x v="0"/>
    <x v="0"/>
    <x v="0"/>
    <x v="1"/>
    <n v="2962.5214614240895"/>
  </r>
  <r>
    <s v="LP0000054"/>
    <x v="0"/>
    <s v="No"/>
    <n v="0"/>
    <x v="1"/>
    <s v="Yes"/>
    <n v="18167"/>
    <n v="6725"/>
    <n v="412"/>
    <n v="360"/>
    <n v="0"/>
    <x v="1"/>
    <n v="24892"/>
    <x v="1"/>
    <x v="0"/>
    <x v="1"/>
    <x v="1"/>
    <n v="3023.1100443830301"/>
  </r>
  <r>
    <s v="LP0000055"/>
    <x v="1"/>
    <s v="Yes"/>
    <n v="1"/>
    <x v="1"/>
    <s v="No"/>
    <n v="7971"/>
    <n v="2090"/>
    <n v="583"/>
    <n v="120"/>
    <n v="1"/>
    <x v="1"/>
    <n v="10061"/>
    <x v="1"/>
    <x v="0"/>
    <x v="1"/>
    <x v="0"/>
    <n v="7073.3987509173085"/>
  </r>
  <r>
    <s v="LP0000056"/>
    <x v="0"/>
    <s v="No"/>
    <s v="3+"/>
    <x v="0"/>
    <s v="Yes"/>
    <n v="4763"/>
    <n v="7638"/>
    <n v="382"/>
    <n v="360"/>
    <n v="1"/>
    <x v="1"/>
    <n v="12401"/>
    <x v="0"/>
    <x v="0"/>
    <x v="0"/>
    <x v="0"/>
    <n v="2802.980672219217"/>
  </r>
  <r>
    <s v="LP0000057"/>
    <x v="1"/>
    <s v="No"/>
    <n v="1"/>
    <x v="0"/>
    <s v="No"/>
    <n v="9137"/>
    <n v="297"/>
    <n v="114"/>
    <n v="360"/>
    <n v="1"/>
    <x v="2"/>
    <n v="9434"/>
    <x v="1"/>
    <x v="0"/>
    <x v="1"/>
    <x v="0"/>
    <n v="836.49161422248892"/>
  </r>
  <r>
    <s v="LP0000058"/>
    <x v="2"/>
    <s v="No"/>
    <n v="0"/>
    <x v="0"/>
    <s v="Yes"/>
    <n v="17606"/>
    <n v="2844"/>
    <n v="110"/>
    <n v="180"/>
    <n v="1"/>
    <x v="1"/>
    <n v="20450"/>
    <x v="1"/>
    <x v="0"/>
    <x v="1"/>
    <x v="0"/>
    <n v="1051.2172927633865"/>
  </r>
  <r>
    <s v="LP0000059"/>
    <x v="1"/>
    <s v="Yes"/>
    <n v="0"/>
    <x v="0"/>
    <s v="No"/>
    <n v="16987"/>
    <n v="511"/>
    <n v="622"/>
    <n v="180"/>
    <n v="0"/>
    <x v="2"/>
    <n v="17498"/>
    <x v="1"/>
    <x v="0"/>
    <x v="1"/>
    <x v="1"/>
    <n v="5944.1559645347861"/>
  </r>
  <r>
    <s v="LP0000060"/>
    <x v="2"/>
    <s v="No"/>
    <n v="2"/>
    <x v="0"/>
    <s v="No"/>
    <n v="3940"/>
    <n v="5419"/>
    <n v="262"/>
    <n v="360"/>
    <n v="1"/>
    <x v="0"/>
    <n v="9359"/>
    <x v="0"/>
    <x v="0"/>
    <x v="0"/>
    <x v="0"/>
    <n v="1922.4631835639657"/>
  </r>
  <r>
    <s v="LP0000061"/>
    <x v="1"/>
    <s v="No"/>
    <n v="1"/>
    <x v="0"/>
    <s v="No"/>
    <n v="1726"/>
    <n v="4865"/>
    <n v="149"/>
    <n v="360"/>
    <n v="0"/>
    <x v="0"/>
    <n v="6591"/>
    <x v="1"/>
    <x v="1"/>
    <x v="1"/>
    <x v="1"/>
    <n v="1093.3092150802706"/>
  </r>
  <r>
    <s v="LP0000062"/>
    <x v="0"/>
    <s v="Yes"/>
    <n v="0"/>
    <x v="0"/>
    <s v="No"/>
    <n v="14368"/>
    <n v="7824"/>
    <n v="632"/>
    <n v="180"/>
    <n v="1"/>
    <x v="0"/>
    <n v="22192"/>
    <x v="1"/>
    <x v="0"/>
    <x v="1"/>
    <x v="0"/>
    <n v="6039.7211729678211"/>
  </r>
  <r>
    <s v="LP0000063"/>
    <x v="2"/>
    <s v="No"/>
    <n v="2"/>
    <x v="1"/>
    <s v="Yes"/>
    <n v="16400"/>
    <n v="965"/>
    <n v="601"/>
    <n v="120"/>
    <n v="0"/>
    <x v="1"/>
    <n v="17365"/>
    <x v="1"/>
    <x v="0"/>
    <x v="1"/>
    <x v="1"/>
    <n v="7291.7884207569514"/>
  </r>
  <r>
    <s v="LP0000064"/>
    <x v="2"/>
    <s v="No"/>
    <n v="1"/>
    <x v="0"/>
    <s v="No"/>
    <n v="15110"/>
    <n v="1468"/>
    <n v="249"/>
    <n v="180"/>
    <n v="0"/>
    <x v="1"/>
    <n v="16578"/>
    <x v="1"/>
    <x v="0"/>
    <x v="1"/>
    <x v="1"/>
    <n v="2379.5736899825752"/>
  </r>
  <r>
    <s v="LP0000065"/>
    <x v="2"/>
    <s v="No"/>
    <n v="1"/>
    <x v="1"/>
    <s v="No"/>
    <n v="15688"/>
    <n v="4198"/>
    <n v="349"/>
    <n v="120"/>
    <n v="1"/>
    <x v="1"/>
    <n v="19886"/>
    <x v="0"/>
    <x v="0"/>
    <x v="0"/>
    <x v="0"/>
    <n v="4234.3330430019569"/>
  </r>
  <r>
    <s v="LP0000066"/>
    <x v="0"/>
    <s v="Yes"/>
    <n v="2"/>
    <x v="1"/>
    <s v="Yes"/>
    <n v="11585"/>
    <n v="565"/>
    <n v="305"/>
    <n v="120"/>
    <n v="0"/>
    <x v="2"/>
    <n v="12150"/>
    <x v="1"/>
    <x v="0"/>
    <x v="1"/>
    <x v="1"/>
    <n v="3700.4916278383862"/>
  </r>
  <r>
    <s v="LP0000067"/>
    <x v="0"/>
    <s v="No"/>
    <s v="3+"/>
    <x v="0"/>
    <s v="Yes"/>
    <n v="8281"/>
    <n v="912"/>
    <n v="421"/>
    <n v="120"/>
    <n v="0"/>
    <x v="1"/>
    <n v="9193"/>
    <x v="0"/>
    <x v="0"/>
    <x v="0"/>
    <x v="1"/>
    <n v="5107.8917223605267"/>
  </r>
  <r>
    <s v="LP0000068"/>
    <x v="0"/>
    <s v="Yes"/>
    <n v="2"/>
    <x v="0"/>
    <s v="No"/>
    <n v="13971"/>
    <n v="9008"/>
    <n v="601"/>
    <n v="360"/>
    <n v="1"/>
    <x v="0"/>
    <n v="22979"/>
    <x v="1"/>
    <x v="0"/>
    <x v="1"/>
    <x v="0"/>
    <n v="4409.9250890150506"/>
  </r>
  <r>
    <s v="LP0000069"/>
    <x v="0"/>
    <s v="No"/>
    <n v="0"/>
    <x v="1"/>
    <s v="Yes"/>
    <n v="11242"/>
    <n v="887"/>
    <n v="301"/>
    <n v="180"/>
    <n v="0"/>
    <x v="1"/>
    <n v="12129"/>
    <x v="0"/>
    <x v="0"/>
    <x v="0"/>
    <x v="1"/>
    <n v="2876.5127738343576"/>
  </r>
  <r>
    <s v="LP0000070"/>
    <x v="0"/>
    <s v="Yes"/>
    <n v="0"/>
    <x v="1"/>
    <s v="Yes"/>
    <n v="10911"/>
    <n v="4892"/>
    <n v="122"/>
    <n v="360"/>
    <n v="0"/>
    <x v="2"/>
    <n v="15803"/>
    <x v="1"/>
    <x v="0"/>
    <x v="1"/>
    <x v="1"/>
    <n v="895.19278013283895"/>
  </r>
  <r>
    <s v="LP0000071"/>
    <x v="1"/>
    <s v="No"/>
    <n v="0"/>
    <x v="0"/>
    <s v="No"/>
    <n v="18768"/>
    <n v="1158"/>
    <n v="649"/>
    <n v="360"/>
    <n v="1"/>
    <x v="0"/>
    <n v="19926"/>
    <x v="0"/>
    <x v="0"/>
    <x v="0"/>
    <x v="0"/>
    <n v="4762.1320844771517"/>
  </r>
  <r>
    <s v="LP0000072"/>
    <x v="1"/>
    <s v="Yes"/>
    <n v="1"/>
    <x v="0"/>
    <s v="No"/>
    <n v="17454"/>
    <n v="9143"/>
    <n v="568"/>
    <n v="120"/>
    <n v="0"/>
    <x v="1"/>
    <n v="26597"/>
    <x v="1"/>
    <x v="0"/>
    <x v="1"/>
    <x v="1"/>
    <n v="6891.4073593842731"/>
  </r>
  <r>
    <s v="LP0000073"/>
    <x v="1"/>
    <s v="No"/>
    <n v="1"/>
    <x v="0"/>
    <s v="No"/>
    <n v="3536"/>
    <n v="7526"/>
    <n v="89"/>
    <n v="120"/>
    <n v="0"/>
    <x v="2"/>
    <n v="11062"/>
    <x v="0"/>
    <x v="0"/>
    <x v="0"/>
    <x v="1"/>
    <n v="1079.8155897626766"/>
  </r>
  <r>
    <s v="LP0000074"/>
    <x v="1"/>
    <s v="No"/>
    <s v="3+"/>
    <x v="0"/>
    <s v="No"/>
    <n v="10537"/>
    <n v="7032"/>
    <n v="273"/>
    <n v="360"/>
    <n v="0"/>
    <x v="1"/>
    <n v="17569"/>
    <x v="1"/>
    <x v="0"/>
    <x v="1"/>
    <x v="1"/>
    <n v="2003.1772866906972"/>
  </r>
  <r>
    <s v="LP0000075"/>
    <x v="2"/>
    <s v="No"/>
    <n v="2"/>
    <x v="0"/>
    <s v="No"/>
    <n v="9903"/>
    <n v="1705"/>
    <n v="490"/>
    <n v="360"/>
    <n v="1"/>
    <x v="0"/>
    <n v="11608"/>
    <x v="0"/>
    <x v="0"/>
    <x v="0"/>
    <x v="0"/>
    <n v="3595.4464120089438"/>
  </r>
  <r>
    <s v="LP0000076"/>
    <x v="1"/>
    <s v="Yes"/>
    <n v="0"/>
    <x v="0"/>
    <s v="No"/>
    <n v="14557"/>
    <n v="5045"/>
    <n v="96"/>
    <n v="180"/>
    <n v="0"/>
    <x v="2"/>
    <n v="19602"/>
    <x v="1"/>
    <x v="0"/>
    <x v="1"/>
    <x v="1"/>
    <n v="917.42600095713726"/>
  </r>
  <r>
    <s v="LP0000077"/>
    <x v="0"/>
    <s v="No"/>
    <n v="2"/>
    <x v="0"/>
    <s v="No"/>
    <n v="16905"/>
    <n v="18"/>
    <n v="632"/>
    <n v="120"/>
    <n v="1"/>
    <x v="1"/>
    <n v="16923"/>
    <x v="1"/>
    <x v="0"/>
    <x v="1"/>
    <x v="0"/>
    <n v="7667.9039632585573"/>
  </r>
  <r>
    <s v="LP0000078"/>
    <x v="2"/>
    <s v="Yes"/>
    <s v="3+"/>
    <x v="1"/>
    <s v="No"/>
    <n v="17517"/>
    <n v="1640"/>
    <n v="127"/>
    <n v="360"/>
    <n v="0"/>
    <x v="2"/>
    <n v="19157"/>
    <x v="1"/>
    <x v="0"/>
    <x v="1"/>
    <x v="1"/>
    <n v="931.88100882680783"/>
  </r>
  <r>
    <s v="LP0000079"/>
    <x v="1"/>
    <s v="No"/>
    <n v="2"/>
    <x v="1"/>
    <s v="Yes"/>
    <n v="18393"/>
    <n v="2385"/>
    <n v="144"/>
    <n v="360"/>
    <n v="1"/>
    <x v="1"/>
    <n v="20778"/>
    <x v="1"/>
    <x v="0"/>
    <x v="1"/>
    <x v="0"/>
    <n v="1056.6209863863016"/>
  </r>
  <r>
    <s v="LP0000080"/>
    <x v="0"/>
    <s v="Yes"/>
    <n v="1"/>
    <x v="0"/>
    <s v="No"/>
    <n v="11548"/>
    <n v="9487"/>
    <n v="435"/>
    <n v="180"/>
    <n v="0"/>
    <x v="1"/>
    <n v="21035"/>
    <x v="1"/>
    <x v="0"/>
    <x v="1"/>
    <x v="1"/>
    <n v="4157.0865668370288"/>
  </r>
  <r>
    <s v="LP0000081"/>
    <x v="1"/>
    <s v="No"/>
    <s v="3+"/>
    <x v="0"/>
    <s v="No"/>
    <n v="17474"/>
    <n v="475"/>
    <n v="395"/>
    <n v="180"/>
    <n v="0"/>
    <x v="1"/>
    <n v="17949"/>
    <x v="1"/>
    <x v="0"/>
    <x v="1"/>
    <x v="1"/>
    <n v="3774.8257331048885"/>
  </r>
  <r>
    <s v="LP0000082"/>
    <x v="1"/>
    <s v="No"/>
    <n v="2"/>
    <x v="1"/>
    <s v="No"/>
    <n v="15138"/>
    <n v="5402"/>
    <n v="673"/>
    <n v="180"/>
    <n v="0"/>
    <x v="0"/>
    <n v="20540"/>
    <x v="1"/>
    <x v="0"/>
    <x v="1"/>
    <x v="1"/>
    <n v="6431.5385275432654"/>
  </r>
  <r>
    <s v="LP0000083"/>
    <x v="0"/>
    <s v="No"/>
    <n v="2"/>
    <x v="1"/>
    <s v="Yes"/>
    <n v="18189"/>
    <n v="6462"/>
    <n v="552"/>
    <n v="180"/>
    <n v="0"/>
    <x v="2"/>
    <n v="24651"/>
    <x v="0"/>
    <x v="0"/>
    <x v="0"/>
    <x v="1"/>
    <n v="5275.1995055035395"/>
  </r>
  <r>
    <s v="LP0000084"/>
    <x v="0"/>
    <s v="No"/>
    <n v="1"/>
    <x v="1"/>
    <s v="Yes"/>
    <n v="17798"/>
    <n v="4189"/>
    <n v="494"/>
    <n v="360"/>
    <n v="0"/>
    <x v="1"/>
    <n v="21987"/>
    <x v="1"/>
    <x v="0"/>
    <x v="1"/>
    <x v="1"/>
    <n v="3624.7969949641183"/>
  </r>
  <r>
    <s v="LP0000085"/>
    <x v="0"/>
    <s v="No"/>
    <s v="3+"/>
    <x v="0"/>
    <s v="Yes"/>
    <n v="3423"/>
    <n v="9414"/>
    <n v="685"/>
    <n v="360"/>
    <n v="0"/>
    <x v="2"/>
    <n v="12837"/>
    <x v="1"/>
    <x v="0"/>
    <x v="1"/>
    <x v="1"/>
    <n v="5026.2873310737268"/>
  </r>
  <r>
    <s v="LP0000086"/>
    <x v="1"/>
    <s v="Yes"/>
    <n v="2"/>
    <x v="1"/>
    <s v="No"/>
    <n v="2121"/>
    <n v="1225"/>
    <n v="364"/>
    <n v="360"/>
    <n v="0"/>
    <x v="1"/>
    <n v="3346"/>
    <x v="1"/>
    <x v="1"/>
    <x v="1"/>
    <x v="1"/>
    <n v="2670.903048920929"/>
  </r>
  <r>
    <s v="LP0000087"/>
    <x v="1"/>
    <s v="Yes"/>
    <n v="0"/>
    <x v="0"/>
    <s v="No"/>
    <n v="17974"/>
    <n v="5038"/>
    <n v="327"/>
    <n v="120"/>
    <n v="0"/>
    <x v="2"/>
    <n v="23012"/>
    <x v="1"/>
    <x v="0"/>
    <x v="1"/>
    <x v="1"/>
    <n v="3967.4123354201711"/>
  </r>
  <r>
    <s v="LP0000088"/>
    <x v="1"/>
    <s v="No"/>
    <s v="3+"/>
    <x v="0"/>
    <s v="No"/>
    <n v="12503"/>
    <n v="864"/>
    <n v="627"/>
    <n v="180"/>
    <n v="0"/>
    <x v="0"/>
    <n v="13367"/>
    <x v="0"/>
    <x v="0"/>
    <x v="0"/>
    <x v="1"/>
    <n v="5991.9385687513031"/>
  </r>
  <r>
    <s v="LP0000089"/>
    <x v="0"/>
    <s v="Yes"/>
    <n v="1"/>
    <x v="0"/>
    <s v="Yes"/>
    <n v="1991"/>
    <n v="5361"/>
    <n v="282"/>
    <n v="360"/>
    <n v="0"/>
    <x v="0"/>
    <n v="7352"/>
    <x v="0"/>
    <x v="0"/>
    <x v="0"/>
    <x v="1"/>
    <n v="2069.2160983398412"/>
  </r>
  <r>
    <s v="LP0000090"/>
    <x v="1"/>
    <s v="No"/>
    <s v="3+"/>
    <x v="1"/>
    <s v="No"/>
    <n v="2318"/>
    <n v="6905"/>
    <n v="371"/>
    <n v="360"/>
    <n v="0"/>
    <x v="2"/>
    <n v="9223"/>
    <x v="0"/>
    <x v="0"/>
    <x v="0"/>
    <x v="1"/>
    <n v="2722.266569092486"/>
  </r>
  <r>
    <s v="LP0000091"/>
    <x v="0"/>
    <s v="No"/>
    <n v="1"/>
    <x v="1"/>
    <s v="No"/>
    <n v="19792"/>
    <n v="8367"/>
    <n v="257"/>
    <n v="120"/>
    <n v="0"/>
    <x v="0"/>
    <n v="28159"/>
    <x v="1"/>
    <x v="0"/>
    <x v="1"/>
    <x v="1"/>
    <n v="3118.1191749326731"/>
  </r>
  <r>
    <s v="LP0000092"/>
    <x v="2"/>
    <s v="No"/>
    <n v="1"/>
    <x v="0"/>
    <s v="No"/>
    <n v="9843"/>
    <n v="4425"/>
    <n v="561"/>
    <n v="120"/>
    <n v="0"/>
    <x v="2"/>
    <n v="14268"/>
    <x v="1"/>
    <x v="0"/>
    <x v="1"/>
    <x v="1"/>
    <n v="6806.4780433355236"/>
  </r>
  <r>
    <s v="LP0000093"/>
    <x v="0"/>
    <s v="Yes"/>
    <n v="1"/>
    <x v="1"/>
    <s v="No"/>
    <n v="17821"/>
    <n v="1424"/>
    <n v="239"/>
    <n v="360"/>
    <n v="0"/>
    <x v="0"/>
    <n v="19245"/>
    <x v="0"/>
    <x v="0"/>
    <x v="0"/>
    <x v="1"/>
    <n v="1753.6973315717091"/>
  </r>
  <r>
    <s v="LP0000094"/>
    <x v="0"/>
    <s v="Yes"/>
    <n v="2"/>
    <x v="1"/>
    <s v="No"/>
    <n v="9092"/>
    <n v="2389"/>
    <n v="488"/>
    <n v="180"/>
    <n v="0"/>
    <x v="2"/>
    <n v="11481"/>
    <x v="0"/>
    <x v="0"/>
    <x v="0"/>
    <x v="1"/>
    <n v="4663.5821715321154"/>
  </r>
  <r>
    <s v="LP0000095"/>
    <x v="2"/>
    <s v="No"/>
    <n v="1"/>
    <x v="1"/>
    <s v="Yes"/>
    <n v="12342"/>
    <n v="1591"/>
    <n v="478"/>
    <n v="360"/>
    <n v="0"/>
    <x v="0"/>
    <n v="13933"/>
    <x v="1"/>
    <x v="0"/>
    <x v="1"/>
    <x v="1"/>
    <n v="3507.3946631434183"/>
  </r>
  <r>
    <s v="LP0000096"/>
    <x v="2"/>
    <s v="No"/>
    <n v="1"/>
    <x v="1"/>
    <s v="No"/>
    <n v="15020"/>
    <n v="6481"/>
    <n v="388"/>
    <n v="120"/>
    <n v="0"/>
    <x v="0"/>
    <n v="21501"/>
    <x v="1"/>
    <x v="0"/>
    <x v="1"/>
    <x v="1"/>
    <n v="4707.5106609878494"/>
  </r>
  <r>
    <s v="LP0000097"/>
    <x v="0"/>
    <s v="No"/>
    <s v="3+"/>
    <x v="1"/>
    <s v="No"/>
    <n v="3160"/>
    <n v="502"/>
    <n v="242"/>
    <n v="360"/>
    <n v="0"/>
    <x v="2"/>
    <n v="3662"/>
    <x v="0"/>
    <x v="1"/>
    <x v="0"/>
    <x v="1"/>
    <n v="1775.7102687880902"/>
  </r>
  <r>
    <s v="LP0000098"/>
    <x v="0"/>
    <s v="No"/>
    <n v="1"/>
    <x v="1"/>
    <s v="Yes"/>
    <n v="7436"/>
    <n v="9912"/>
    <n v="526"/>
    <n v="120"/>
    <n v="1"/>
    <x v="0"/>
    <n v="17348"/>
    <x v="1"/>
    <x v="0"/>
    <x v="1"/>
    <x v="0"/>
    <n v="6381.8314630917739"/>
  </r>
  <r>
    <s v="LP0000099"/>
    <x v="0"/>
    <s v="No"/>
    <n v="1"/>
    <x v="0"/>
    <s v="No"/>
    <n v="10116"/>
    <n v="9601"/>
    <n v="332"/>
    <n v="120"/>
    <n v="0"/>
    <x v="0"/>
    <n v="19717"/>
    <x v="1"/>
    <x v="0"/>
    <x v="1"/>
    <x v="1"/>
    <n v="4028.0761325978497"/>
  </r>
  <r>
    <s v="LP0000100"/>
    <x v="0"/>
    <s v="Yes"/>
    <n v="1"/>
    <x v="0"/>
    <s v="Yes"/>
    <n v="19757"/>
    <n v="3121"/>
    <n v="637"/>
    <n v="180"/>
    <n v="0"/>
    <x v="0"/>
    <n v="22878"/>
    <x v="1"/>
    <x v="0"/>
    <x v="1"/>
    <x v="1"/>
    <n v="6087.5037771843381"/>
  </r>
  <r>
    <s v="LP0000101"/>
    <x v="0"/>
    <s v="No"/>
    <n v="1"/>
    <x v="1"/>
    <s v="No"/>
    <n v="8345"/>
    <n v="8815"/>
    <n v="422"/>
    <n v="180"/>
    <n v="1"/>
    <x v="0"/>
    <n v="17160"/>
    <x v="0"/>
    <x v="0"/>
    <x v="0"/>
    <x v="0"/>
    <n v="4032.8517958740831"/>
  </r>
  <r>
    <s v="LP0000102"/>
    <x v="0"/>
    <s v="No"/>
    <n v="0"/>
    <x v="1"/>
    <s v="No"/>
    <n v="15065"/>
    <n v="662"/>
    <n v="115"/>
    <n v="180"/>
    <n v="1"/>
    <x v="1"/>
    <n v="15727"/>
    <x v="1"/>
    <x v="0"/>
    <x v="1"/>
    <x v="0"/>
    <n v="1098.9998969799042"/>
  </r>
  <r>
    <s v="LP0000103"/>
    <x v="2"/>
    <s v="Yes"/>
    <n v="2"/>
    <x v="1"/>
    <s v="No"/>
    <n v="18815"/>
    <n v="4439"/>
    <n v="534"/>
    <n v="360"/>
    <n v="1"/>
    <x v="2"/>
    <n v="23254"/>
    <x v="1"/>
    <x v="0"/>
    <x v="1"/>
    <x v="0"/>
    <n v="3918.3028245158689"/>
  </r>
  <r>
    <s v="LP0000104"/>
    <x v="0"/>
    <s v="No"/>
    <s v="3+"/>
    <x v="0"/>
    <s v="Yes"/>
    <n v="15687"/>
    <n v="99"/>
    <n v="377"/>
    <n v="120"/>
    <n v="0"/>
    <x v="0"/>
    <n v="15786"/>
    <x v="0"/>
    <x v="0"/>
    <x v="0"/>
    <x v="1"/>
    <n v="4574.0503071969561"/>
  </r>
  <r>
    <s v="LP0000105"/>
    <x v="0"/>
    <s v="Yes"/>
    <n v="1"/>
    <x v="1"/>
    <s v="No"/>
    <n v="11692"/>
    <n v="9572"/>
    <n v="312"/>
    <n v="360"/>
    <n v="0"/>
    <x v="1"/>
    <n v="21264"/>
    <x v="1"/>
    <x v="0"/>
    <x v="1"/>
    <x v="1"/>
    <n v="2289.3454705036538"/>
  </r>
  <r>
    <s v="LP0000106"/>
    <x v="1"/>
    <s v="No"/>
    <n v="0"/>
    <x v="0"/>
    <s v="No"/>
    <n v="15000"/>
    <n v="4739"/>
    <n v="582"/>
    <n v="360"/>
    <n v="1"/>
    <x v="2"/>
    <n v="19739"/>
    <x v="0"/>
    <x v="0"/>
    <x v="0"/>
    <x v="0"/>
    <n v="4270.5098199779695"/>
  </r>
  <r>
    <s v="LP0000107"/>
    <x v="1"/>
    <s v="Yes"/>
    <n v="2"/>
    <x v="1"/>
    <s v="Yes"/>
    <n v="14573"/>
    <n v="1499"/>
    <n v="625"/>
    <n v="360"/>
    <n v="0"/>
    <x v="2"/>
    <n v="16072"/>
    <x v="1"/>
    <x v="0"/>
    <x v="1"/>
    <x v="1"/>
    <n v="4586.0285867461016"/>
  </r>
  <r>
    <s v="LP0000108"/>
    <x v="1"/>
    <s v="No"/>
    <n v="0"/>
    <x v="1"/>
    <s v="Yes"/>
    <n v="10631"/>
    <n v="2904"/>
    <n v="159"/>
    <n v="120"/>
    <n v="0"/>
    <x v="2"/>
    <n v="13535"/>
    <x v="0"/>
    <x v="0"/>
    <x v="0"/>
    <x v="1"/>
    <n v="1929.108750250175"/>
  </r>
  <r>
    <s v="LP0000109"/>
    <x v="0"/>
    <s v="No"/>
    <n v="2"/>
    <x v="0"/>
    <s v="No"/>
    <n v="3094"/>
    <n v="511"/>
    <n v="519"/>
    <n v="180"/>
    <n v="0"/>
    <x v="2"/>
    <n v="3605"/>
    <x v="0"/>
    <x v="1"/>
    <x v="0"/>
    <x v="1"/>
    <n v="4959.8343176745238"/>
  </r>
  <r>
    <s v="LP0000110"/>
    <x v="2"/>
    <s v="No"/>
    <n v="1"/>
    <x v="0"/>
    <s v="No"/>
    <n v="12111"/>
    <n v="3110"/>
    <n v="569"/>
    <n v="120"/>
    <n v="0"/>
    <x v="0"/>
    <n v="15221"/>
    <x v="1"/>
    <x v="0"/>
    <x v="1"/>
    <x v="1"/>
    <n v="6903.5401188198093"/>
  </r>
  <r>
    <s v="LP0000111"/>
    <x v="2"/>
    <s v="No"/>
    <s v="3+"/>
    <x v="1"/>
    <s v="No"/>
    <n v="8026"/>
    <n v="7352"/>
    <n v="344"/>
    <n v="360"/>
    <n v="0"/>
    <x v="1"/>
    <n v="15378"/>
    <x v="0"/>
    <x v="0"/>
    <x v="0"/>
    <x v="1"/>
    <n v="2524.1501341450544"/>
  </r>
  <r>
    <s v="LP0000112"/>
    <x v="0"/>
    <s v="No"/>
    <n v="2"/>
    <x v="1"/>
    <s v="No"/>
    <n v="2164"/>
    <n v="8965"/>
    <n v="670"/>
    <n v="180"/>
    <n v="0"/>
    <x v="2"/>
    <n v="11129"/>
    <x v="1"/>
    <x v="0"/>
    <x v="1"/>
    <x v="1"/>
    <n v="6402.8689650133547"/>
  </r>
  <r>
    <s v="LP0000113"/>
    <x v="2"/>
    <s v="No"/>
    <n v="0"/>
    <x v="1"/>
    <s v="No"/>
    <n v="9025"/>
    <n v="7009"/>
    <n v="236"/>
    <n v="360"/>
    <n v="1"/>
    <x v="2"/>
    <n v="16034"/>
    <x v="1"/>
    <x v="0"/>
    <x v="1"/>
    <x v="0"/>
    <n v="1731.6843943553276"/>
  </r>
  <r>
    <s v="LP0000114"/>
    <x v="1"/>
    <s v="No"/>
    <s v="3+"/>
    <x v="1"/>
    <s v="Yes"/>
    <n v="15261"/>
    <n v="6225"/>
    <n v="499"/>
    <n v="360"/>
    <n v="0"/>
    <x v="0"/>
    <n v="21486"/>
    <x v="0"/>
    <x v="0"/>
    <x v="0"/>
    <x v="1"/>
    <n v="3661.4852236580873"/>
  </r>
  <r>
    <s v="LP0000115"/>
    <x v="0"/>
    <s v="Yes"/>
    <s v="3+"/>
    <x v="0"/>
    <s v="Yes"/>
    <n v="15126"/>
    <n v="7643"/>
    <n v="350"/>
    <n v="360"/>
    <n v="0"/>
    <x v="2"/>
    <n v="22769"/>
    <x v="0"/>
    <x v="0"/>
    <x v="0"/>
    <x v="1"/>
    <n v="2568.1760085778164"/>
  </r>
  <r>
    <s v="LP0000116"/>
    <x v="0"/>
    <s v="Yes"/>
    <n v="0"/>
    <x v="1"/>
    <s v="No"/>
    <n v="15578"/>
    <n v="5851"/>
    <n v="578"/>
    <n v="180"/>
    <n v="1"/>
    <x v="2"/>
    <n v="21429"/>
    <x v="0"/>
    <x v="0"/>
    <x v="0"/>
    <x v="0"/>
    <n v="5523.6690474294319"/>
  </r>
  <r>
    <s v="LP0000117"/>
    <x v="2"/>
    <s v="No"/>
    <s v="3+"/>
    <x v="0"/>
    <s v="No"/>
    <n v="13267"/>
    <n v="4588"/>
    <n v="460"/>
    <n v="180"/>
    <n v="0"/>
    <x v="0"/>
    <n v="17855"/>
    <x v="1"/>
    <x v="0"/>
    <x v="1"/>
    <x v="1"/>
    <n v="4395.9995879196167"/>
  </r>
  <r>
    <s v="LP0000118"/>
    <x v="2"/>
    <s v="No"/>
    <n v="0"/>
    <x v="0"/>
    <s v="Yes"/>
    <n v="18217"/>
    <n v="5493"/>
    <n v="272"/>
    <n v="360"/>
    <n v="0"/>
    <x v="2"/>
    <n v="23710"/>
    <x v="0"/>
    <x v="0"/>
    <x v="0"/>
    <x v="1"/>
    <n v="1995.8396409519034"/>
  </r>
  <r>
    <s v="LP0000119"/>
    <x v="0"/>
    <s v="No"/>
    <n v="2"/>
    <x v="1"/>
    <s v="Yes"/>
    <n v="14093"/>
    <n v="2923"/>
    <n v="477"/>
    <n v="360"/>
    <n v="1"/>
    <x v="1"/>
    <n v="17016"/>
    <x v="1"/>
    <x v="0"/>
    <x v="1"/>
    <x v="0"/>
    <n v="3500.0570174046243"/>
  </r>
  <r>
    <s v="LP0000120"/>
    <x v="0"/>
    <s v="No"/>
    <s v="3+"/>
    <x v="0"/>
    <s v="Yes"/>
    <n v="14386"/>
    <n v="8132"/>
    <n v="629"/>
    <n v="120"/>
    <n v="0"/>
    <x v="0"/>
    <n v="22518"/>
    <x v="0"/>
    <x v="0"/>
    <x v="0"/>
    <x v="1"/>
    <n v="7631.5056849519506"/>
  </r>
  <r>
    <s v="LP0000121"/>
    <x v="0"/>
    <s v="No"/>
    <n v="1"/>
    <x v="1"/>
    <s v="No"/>
    <n v="14474"/>
    <n v="9451"/>
    <n v="415"/>
    <n v="360"/>
    <n v="0"/>
    <x v="0"/>
    <n v="23925"/>
    <x v="0"/>
    <x v="0"/>
    <x v="0"/>
    <x v="1"/>
    <n v="3045.1229815994111"/>
  </r>
  <r>
    <s v="LP0000122"/>
    <x v="2"/>
    <s v="Yes"/>
    <s v="3+"/>
    <x v="1"/>
    <s v="Yes"/>
    <n v="10032"/>
    <n v="1758"/>
    <n v="209"/>
    <n v="360"/>
    <n v="0"/>
    <x v="0"/>
    <n v="11790"/>
    <x v="1"/>
    <x v="0"/>
    <x v="1"/>
    <x v="1"/>
    <n v="1533.5679594078961"/>
  </r>
  <r>
    <s v="LP0000123"/>
    <x v="2"/>
    <s v="Yes"/>
    <n v="2"/>
    <x v="0"/>
    <s v="No"/>
    <n v="9197"/>
    <n v="8614"/>
    <n v="462"/>
    <n v="360"/>
    <n v="0"/>
    <x v="2"/>
    <n v="17811"/>
    <x v="0"/>
    <x v="0"/>
    <x v="0"/>
    <x v="1"/>
    <n v="3389.9923313227182"/>
  </r>
  <r>
    <s v="LP0000124"/>
    <x v="0"/>
    <s v="No"/>
    <s v="3+"/>
    <x v="1"/>
    <s v="No"/>
    <n v="11471"/>
    <n v="5166"/>
    <n v="480"/>
    <n v="180"/>
    <n v="0"/>
    <x v="0"/>
    <n v="16637"/>
    <x v="1"/>
    <x v="0"/>
    <x v="1"/>
    <x v="1"/>
    <n v="4587.1300047856867"/>
  </r>
  <r>
    <s v="LP0000125"/>
    <x v="2"/>
    <s v="Yes"/>
    <s v="3+"/>
    <x v="0"/>
    <s v="No"/>
    <n v="5172"/>
    <n v="3854"/>
    <n v="460"/>
    <n v="180"/>
    <n v="0"/>
    <x v="1"/>
    <n v="9026"/>
    <x v="1"/>
    <x v="0"/>
    <x v="1"/>
    <x v="1"/>
    <n v="4395.9995879196167"/>
  </r>
  <r>
    <s v="LP0000126"/>
    <x v="0"/>
    <s v="No"/>
    <s v="3+"/>
    <x v="1"/>
    <s v="No"/>
    <n v="8183"/>
    <n v="2817"/>
    <n v="592"/>
    <n v="360"/>
    <n v="1"/>
    <x v="0"/>
    <n v="11000"/>
    <x v="0"/>
    <x v="0"/>
    <x v="0"/>
    <x v="0"/>
    <n v="4343.8862773659066"/>
  </r>
  <r>
    <s v="LP0000127"/>
    <x v="1"/>
    <s v="Yes"/>
    <n v="0"/>
    <x v="0"/>
    <s v="No"/>
    <n v="16983"/>
    <n v="1738"/>
    <n v="649"/>
    <n v="360"/>
    <n v="0"/>
    <x v="2"/>
    <n v="18721"/>
    <x v="1"/>
    <x v="0"/>
    <x v="1"/>
    <x v="1"/>
    <n v="4762.1320844771517"/>
  </r>
  <r>
    <s v="LP0000128"/>
    <x v="1"/>
    <s v="No"/>
    <n v="1"/>
    <x v="0"/>
    <s v="No"/>
    <n v="11719"/>
    <n v="1478"/>
    <n v="326"/>
    <n v="180"/>
    <n v="0"/>
    <x v="0"/>
    <n v="13197"/>
    <x v="0"/>
    <x v="0"/>
    <x v="0"/>
    <x v="1"/>
    <n v="3115.4257949169455"/>
  </r>
  <r>
    <s v="LP0000129"/>
    <x v="2"/>
    <s v="Yes"/>
    <n v="2"/>
    <x v="0"/>
    <s v="No"/>
    <n v="2898"/>
    <n v="8456"/>
    <n v="232"/>
    <n v="360"/>
    <n v="0"/>
    <x v="2"/>
    <n v="11354"/>
    <x v="0"/>
    <x v="0"/>
    <x v="0"/>
    <x v="1"/>
    <n v="1702.3338114001526"/>
  </r>
  <r>
    <s v="LP0000130"/>
    <x v="1"/>
    <s v="Yes"/>
    <n v="0"/>
    <x v="0"/>
    <s v="Yes"/>
    <n v="19213"/>
    <n v="269"/>
    <n v="253"/>
    <n v="360"/>
    <n v="0"/>
    <x v="0"/>
    <n v="19482"/>
    <x v="0"/>
    <x v="0"/>
    <x v="0"/>
    <x v="1"/>
    <n v="1856.4243719148219"/>
  </r>
  <r>
    <s v="LP0000131"/>
    <x v="0"/>
    <s v="No"/>
    <n v="1"/>
    <x v="0"/>
    <s v="No"/>
    <n v="13941"/>
    <n v="3970"/>
    <n v="85"/>
    <n v="360"/>
    <n v="0"/>
    <x v="0"/>
    <n v="17911"/>
    <x v="0"/>
    <x v="0"/>
    <x v="0"/>
    <x v="1"/>
    <n v="623.69988779746984"/>
  </r>
  <r>
    <s v="LP0000132"/>
    <x v="1"/>
    <s v="No"/>
    <n v="2"/>
    <x v="0"/>
    <s v="No"/>
    <n v="11641"/>
    <n v="2714"/>
    <n v="487"/>
    <n v="360"/>
    <n v="0"/>
    <x v="0"/>
    <n v="14355"/>
    <x v="0"/>
    <x v="0"/>
    <x v="0"/>
    <x v="1"/>
    <n v="3573.4334747925618"/>
  </r>
  <r>
    <s v="LP0000133"/>
    <x v="0"/>
    <s v="Yes"/>
    <n v="2"/>
    <x v="0"/>
    <s v="Yes"/>
    <n v="12273"/>
    <n v="5082"/>
    <n v="385"/>
    <n v="360"/>
    <n v="1"/>
    <x v="1"/>
    <n v="17355"/>
    <x v="0"/>
    <x v="0"/>
    <x v="0"/>
    <x v="0"/>
    <n v="2824.9936094355985"/>
  </r>
  <r>
    <s v="LP0000134"/>
    <x v="1"/>
    <s v="No"/>
    <n v="0"/>
    <x v="1"/>
    <s v="No"/>
    <n v="3515"/>
    <n v="7537"/>
    <n v="116"/>
    <n v="120"/>
    <n v="0"/>
    <x v="0"/>
    <n v="11052"/>
    <x v="0"/>
    <x v="0"/>
    <x v="0"/>
    <x v="1"/>
    <n v="1407.4000945221403"/>
  </r>
  <r>
    <s v="LP0000135"/>
    <x v="0"/>
    <s v="No"/>
    <n v="0"/>
    <x v="0"/>
    <s v="No"/>
    <n v="12039"/>
    <n v="8150"/>
    <n v="480"/>
    <n v="360"/>
    <n v="0"/>
    <x v="2"/>
    <n v="20189"/>
    <x v="1"/>
    <x v="0"/>
    <x v="1"/>
    <x v="1"/>
    <n v="3522.0699546210058"/>
  </r>
  <r>
    <s v="LP0000136"/>
    <x v="0"/>
    <s v="No"/>
    <n v="1"/>
    <x v="0"/>
    <s v="Yes"/>
    <n v="4134"/>
    <n v="2310"/>
    <n v="609"/>
    <n v="360"/>
    <n v="0"/>
    <x v="1"/>
    <n v="6444"/>
    <x v="0"/>
    <x v="1"/>
    <x v="0"/>
    <x v="1"/>
    <n v="4468.6262549254016"/>
  </r>
  <r>
    <s v="LP0000137"/>
    <x v="1"/>
    <s v="Yes"/>
    <n v="2"/>
    <x v="1"/>
    <s v="No"/>
    <n v="6207"/>
    <n v="7515"/>
    <n v="60"/>
    <n v="360"/>
    <n v="1"/>
    <x v="2"/>
    <n v="13722"/>
    <x v="1"/>
    <x v="0"/>
    <x v="1"/>
    <x v="0"/>
    <n v="440.25874432762572"/>
  </r>
  <r>
    <s v="LP0000138"/>
    <x v="2"/>
    <s v="No"/>
    <n v="1"/>
    <x v="1"/>
    <s v="No"/>
    <n v="4742"/>
    <n v="5300"/>
    <n v="392"/>
    <n v="120"/>
    <n v="1"/>
    <x v="0"/>
    <n v="10042"/>
    <x v="0"/>
    <x v="0"/>
    <x v="0"/>
    <x v="0"/>
    <n v="4756.0416987299914"/>
  </r>
  <r>
    <s v="LP0000139"/>
    <x v="0"/>
    <s v="No"/>
    <n v="1"/>
    <x v="0"/>
    <s v="No"/>
    <n v="12731"/>
    <n v="2130"/>
    <n v="560"/>
    <n v="360"/>
    <n v="0"/>
    <x v="0"/>
    <n v="14861"/>
    <x v="1"/>
    <x v="0"/>
    <x v="1"/>
    <x v="1"/>
    <n v="4109.0816137245065"/>
  </r>
  <r>
    <s v="LP0000140"/>
    <x v="0"/>
    <s v="Yes"/>
    <s v="3+"/>
    <x v="0"/>
    <s v="No"/>
    <n v="19477"/>
    <n v="5071"/>
    <n v="225"/>
    <n v="360"/>
    <n v="0"/>
    <x v="1"/>
    <n v="24548"/>
    <x v="0"/>
    <x v="0"/>
    <x v="0"/>
    <x v="1"/>
    <n v="1650.9702912285964"/>
  </r>
  <r>
    <s v="LP0000141"/>
    <x v="0"/>
    <s v="Yes"/>
    <n v="0"/>
    <x v="0"/>
    <s v="Yes"/>
    <n v="16224"/>
    <n v="944"/>
    <n v="650"/>
    <n v="120"/>
    <n v="0"/>
    <x v="2"/>
    <n v="17168"/>
    <x v="1"/>
    <x v="0"/>
    <x v="1"/>
    <x v="1"/>
    <n v="7886.2936330982011"/>
  </r>
  <r>
    <s v="LP0000142"/>
    <x v="1"/>
    <s v="No"/>
    <n v="1"/>
    <x v="0"/>
    <s v="Yes"/>
    <n v="5434"/>
    <n v="1965"/>
    <n v="447"/>
    <n v="180"/>
    <n v="0"/>
    <x v="1"/>
    <n v="7399"/>
    <x v="1"/>
    <x v="0"/>
    <x v="1"/>
    <x v="1"/>
    <n v="4271.764816956671"/>
  </r>
  <r>
    <s v="LP0000143"/>
    <x v="1"/>
    <s v="No"/>
    <s v="3+"/>
    <x v="1"/>
    <s v="No"/>
    <n v="19575"/>
    <n v="9971"/>
    <n v="380"/>
    <n v="180"/>
    <n v="0"/>
    <x v="1"/>
    <n v="29546"/>
    <x v="0"/>
    <x v="0"/>
    <x v="0"/>
    <x v="1"/>
    <n v="3631.4779204553352"/>
  </r>
  <r>
    <s v="LP0000144"/>
    <x v="2"/>
    <s v="Yes"/>
    <n v="1"/>
    <x v="1"/>
    <s v="No"/>
    <n v="5497"/>
    <n v="7058"/>
    <n v="444"/>
    <n v="360"/>
    <n v="0"/>
    <x v="2"/>
    <n v="12555"/>
    <x v="0"/>
    <x v="0"/>
    <x v="0"/>
    <x v="1"/>
    <n v="3257.9147080244306"/>
  </r>
  <r>
    <s v="LP0000145"/>
    <x v="1"/>
    <s v="Yes"/>
    <n v="0"/>
    <x v="1"/>
    <s v="No"/>
    <n v="14559"/>
    <n v="9946"/>
    <n v="170"/>
    <n v="120"/>
    <n v="0"/>
    <x v="2"/>
    <n v="24505"/>
    <x v="0"/>
    <x v="0"/>
    <x v="0"/>
    <x v="1"/>
    <n v="2062.5691040410679"/>
  </r>
  <r>
    <s v="LP0000146"/>
    <x v="1"/>
    <s v="No"/>
    <n v="1"/>
    <x v="1"/>
    <s v="No"/>
    <n v="11411"/>
    <n v="3040"/>
    <n v="441"/>
    <n v="180"/>
    <n v="0"/>
    <x v="2"/>
    <n v="14451"/>
    <x v="0"/>
    <x v="0"/>
    <x v="0"/>
    <x v="1"/>
    <n v="4214.4256918968495"/>
  </r>
  <r>
    <s v="LP0000147"/>
    <x v="2"/>
    <s v="Yes"/>
    <n v="2"/>
    <x v="0"/>
    <s v="No"/>
    <n v="13679"/>
    <n v="1014"/>
    <n v="674"/>
    <n v="120"/>
    <n v="0"/>
    <x v="2"/>
    <n v="14693"/>
    <x v="0"/>
    <x v="0"/>
    <x v="0"/>
    <x v="1"/>
    <n v="8177.4798595510565"/>
  </r>
  <r>
    <s v="LP0000148"/>
    <x v="1"/>
    <s v="No"/>
    <n v="2"/>
    <x v="0"/>
    <s v="Yes"/>
    <n v="10912"/>
    <n v="1100"/>
    <n v="74"/>
    <n v="120"/>
    <n v="0"/>
    <x v="0"/>
    <n v="12012"/>
    <x v="1"/>
    <x v="0"/>
    <x v="1"/>
    <x v="1"/>
    <n v="897.8241982296413"/>
  </r>
  <r>
    <s v="LP0000149"/>
    <x v="1"/>
    <s v="Yes"/>
    <s v="3+"/>
    <x v="1"/>
    <s v="No"/>
    <n v="18210"/>
    <n v="7845"/>
    <n v="170"/>
    <n v="360"/>
    <n v="0"/>
    <x v="0"/>
    <n v="26055"/>
    <x v="0"/>
    <x v="0"/>
    <x v="0"/>
    <x v="1"/>
    <n v="1247.3997755949397"/>
  </r>
  <r>
    <s v="LP0000150"/>
    <x v="1"/>
    <s v="No"/>
    <n v="0"/>
    <x v="0"/>
    <s v="Yes"/>
    <n v="11621"/>
    <n v="2729"/>
    <n v="413"/>
    <n v="360"/>
    <n v="0"/>
    <x v="0"/>
    <n v="14350"/>
    <x v="1"/>
    <x v="0"/>
    <x v="1"/>
    <x v="1"/>
    <n v="3030.4476901218241"/>
  </r>
  <r>
    <s v="LP0000151"/>
    <x v="0"/>
    <s v="Yes"/>
    <n v="1"/>
    <x v="1"/>
    <s v="Yes"/>
    <n v="19353"/>
    <n v="6397"/>
    <n v="546"/>
    <n v="120"/>
    <n v="1"/>
    <x v="1"/>
    <n v="25750"/>
    <x v="1"/>
    <x v="0"/>
    <x v="1"/>
    <x v="0"/>
    <n v="6624.4866518024883"/>
  </r>
  <r>
    <s v="LP0000152"/>
    <x v="2"/>
    <s v="No"/>
    <n v="0"/>
    <x v="0"/>
    <s v="Yes"/>
    <n v="12005"/>
    <n v="8400"/>
    <n v="75"/>
    <n v="180"/>
    <n v="0"/>
    <x v="0"/>
    <n v="20405"/>
    <x v="0"/>
    <x v="0"/>
    <x v="0"/>
    <x v="1"/>
    <n v="716.73906324776362"/>
  </r>
  <r>
    <s v="LP0000153"/>
    <x v="1"/>
    <s v="Yes"/>
    <n v="2"/>
    <x v="0"/>
    <s v="No"/>
    <n v="12025"/>
    <n v="5088"/>
    <n v="565"/>
    <n v="360"/>
    <n v="0"/>
    <x v="2"/>
    <n v="17113"/>
    <x v="1"/>
    <x v="0"/>
    <x v="1"/>
    <x v="1"/>
    <n v="4145.7698424184755"/>
  </r>
  <r>
    <s v="LP0000154"/>
    <x v="2"/>
    <s v="Yes"/>
    <s v="3+"/>
    <x v="1"/>
    <s v="Yes"/>
    <n v="17091"/>
    <n v="2224"/>
    <n v="505"/>
    <n v="180"/>
    <n v="1"/>
    <x v="1"/>
    <n v="19315"/>
    <x v="1"/>
    <x v="0"/>
    <x v="1"/>
    <x v="0"/>
    <n v="4826.0430258682745"/>
  </r>
  <r>
    <s v="LP0000155"/>
    <x v="0"/>
    <s v="No"/>
    <s v="3+"/>
    <x v="1"/>
    <s v="No"/>
    <n v="17132"/>
    <n v="8205"/>
    <n v="457"/>
    <n v="120"/>
    <n v="0"/>
    <x v="0"/>
    <n v="25337"/>
    <x v="1"/>
    <x v="0"/>
    <x v="1"/>
    <x v="1"/>
    <n v="5544.6710620398117"/>
  </r>
  <r>
    <s v="LP0000156"/>
    <x v="0"/>
    <s v="No"/>
    <n v="0"/>
    <x v="0"/>
    <s v="No"/>
    <n v="7413"/>
    <n v="4051"/>
    <n v="647"/>
    <n v="180"/>
    <n v="0"/>
    <x v="1"/>
    <n v="11464"/>
    <x v="1"/>
    <x v="0"/>
    <x v="1"/>
    <x v="1"/>
    <n v="6183.068985617374"/>
  </r>
  <r>
    <s v="LP0000157"/>
    <x v="2"/>
    <s v="No"/>
    <n v="0"/>
    <x v="1"/>
    <s v="No"/>
    <n v="7374"/>
    <n v="8102"/>
    <n v="599"/>
    <n v="360"/>
    <n v="0"/>
    <x v="0"/>
    <n v="15476"/>
    <x v="1"/>
    <x v="0"/>
    <x v="1"/>
    <x v="1"/>
    <n v="4395.2497975374636"/>
  </r>
  <r>
    <s v="LP0000158"/>
    <x v="1"/>
    <s v="No"/>
    <n v="2"/>
    <x v="0"/>
    <s v="No"/>
    <n v="15757"/>
    <n v="2872"/>
    <n v="633"/>
    <n v="360"/>
    <n v="1"/>
    <x v="0"/>
    <n v="18629"/>
    <x v="1"/>
    <x v="0"/>
    <x v="1"/>
    <x v="0"/>
    <n v="4644.7297526564516"/>
  </r>
  <r>
    <s v="LP0000159"/>
    <x v="2"/>
    <s v="No"/>
    <n v="0"/>
    <x v="1"/>
    <s v="Yes"/>
    <n v="19300"/>
    <n v="5949"/>
    <n v="695"/>
    <n v="120"/>
    <n v="0"/>
    <x v="0"/>
    <n v="25249"/>
    <x v="0"/>
    <x v="0"/>
    <x v="0"/>
    <x v="1"/>
    <n v="8432.2678076973061"/>
  </r>
  <r>
    <s v="LP0000160"/>
    <x v="1"/>
    <s v="Yes"/>
    <n v="2"/>
    <x v="1"/>
    <s v="Yes"/>
    <n v="17334"/>
    <n v="7531"/>
    <n v="149"/>
    <n v="360"/>
    <n v="0"/>
    <x v="2"/>
    <n v="24865"/>
    <x v="0"/>
    <x v="0"/>
    <x v="0"/>
    <x v="1"/>
    <n v="1093.3092150802706"/>
  </r>
  <r>
    <s v="LP0000161"/>
    <x v="2"/>
    <s v="No"/>
    <n v="0"/>
    <x v="1"/>
    <s v="No"/>
    <n v="16230"/>
    <n v="3007"/>
    <n v="598"/>
    <n v="120"/>
    <n v="0"/>
    <x v="1"/>
    <n v="19237"/>
    <x v="1"/>
    <x v="0"/>
    <x v="1"/>
    <x v="1"/>
    <n v="7255.3901424503438"/>
  </r>
  <r>
    <s v="LP0000162"/>
    <x v="0"/>
    <s v="Yes"/>
    <s v="3+"/>
    <x v="0"/>
    <s v="No"/>
    <n v="1714"/>
    <n v="2872"/>
    <n v="167"/>
    <n v="180"/>
    <n v="0"/>
    <x v="1"/>
    <n v="4586"/>
    <x v="0"/>
    <x v="1"/>
    <x v="0"/>
    <x v="1"/>
    <n v="1595.9389808316869"/>
  </r>
  <r>
    <s v="LP0000163"/>
    <x v="1"/>
    <s v="No"/>
    <n v="1"/>
    <x v="1"/>
    <s v="No"/>
    <n v="15639"/>
    <n v="7808"/>
    <n v="605"/>
    <n v="180"/>
    <n v="0"/>
    <x v="1"/>
    <n v="23447"/>
    <x v="1"/>
    <x v="0"/>
    <x v="1"/>
    <x v="1"/>
    <n v="5781.695110198626"/>
  </r>
  <r>
    <s v="LP0000164"/>
    <x v="0"/>
    <s v="No"/>
    <s v="3+"/>
    <x v="0"/>
    <s v="Yes"/>
    <n v="4167"/>
    <n v="984"/>
    <n v="259"/>
    <n v="180"/>
    <n v="0"/>
    <x v="1"/>
    <n v="5151"/>
    <x v="0"/>
    <x v="1"/>
    <x v="0"/>
    <x v="1"/>
    <n v="2475.1388984156101"/>
  </r>
  <r>
    <s v="LP0000165"/>
    <x v="0"/>
    <s v="No"/>
    <n v="1"/>
    <x v="0"/>
    <s v="Yes"/>
    <n v="19676"/>
    <n v="8759"/>
    <n v="675"/>
    <n v="360"/>
    <n v="0"/>
    <x v="0"/>
    <n v="28435"/>
    <x v="0"/>
    <x v="0"/>
    <x v="0"/>
    <x v="1"/>
    <n v="4952.9108736857888"/>
  </r>
  <r>
    <s v="LP0000166"/>
    <x v="0"/>
    <s v="Yes"/>
    <n v="2"/>
    <x v="1"/>
    <s v="No"/>
    <n v="2781"/>
    <n v="6624"/>
    <n v="651"/>
    <n v="180"/>
    <n v="0"/>
    <x v="2"/>
    <n v="9405"/>
    <x v="1"/>
    <x v="0"/>
    <x v="1"/>
    <x v="1"/>
    <n v="6221.2950689905874"/>
  </r>
  <r>
    <s v="LP0000167"/>
    <x v="1"/>
    <s v="No"/>
    <s v="3+"/>
    <x v="1"/>
    <s v="No"/>
    <n v="12421"/>
    <n v="7868"/>
    <n v="142"/>
    <n v="120"/>
    <n v="1"/>
    <x v="2"/>
    <n v="20289"/>
    <x v="1"/>
    <x v="0"/>
    <x v="1"/>
    <x v="0"/>
    <n v="1722.8518398460683"/>
  </r>
  <r>
    <s v="LP0000168"/>
    <x v="1"/>
    <s v="No"/>
    <s v="3+"/>
    <x v="0"/>
    <s v="No"/>
    <n v="11625"/>
    <n v="7572"/>
    <n v="254"/>
    <n v="360"/>
    <n v="0"/>
    <x v="0"/>
    <n v="19197"/>
    <x v="0"/>
    <x v="0"/>
    <x v="0"/>
    <x v="1"/>
    <n v="1863.7620176536157"/>
  </r>
  <r>
    <s v="LP0000169"/>
    <x v="0"/>
    <s v="No"/>
    <n v="2"/>
    <x v="0"/>
    <s v="No"/>
    <n v="12520"/>
    <n v="23"/>
    <n v="454"/>
    <n v="360"/>
    <n v="0"/>
    <x v="1"/>
    <n v="12543"/>
    <x v="0"/>
    <x v="0"/>
    <x v="0"/>
    <x v="1"/>
    <n v="3331.2911654123677"/>
  </r>
  <r>
    <s v="LP0000170"/>
    <x v="2"/>
    <s v="No"/>
    <s v="3+"/>
    <x v="1"/>
    <s v="No"/>
    <n v="7712"/>
    <n v="8780"/>
    <n v="153"/>
    <n v="120"/>
    <n v="0"/>
    <x v="2"/>
    <n v="16492"/>
    <x v="0"/>
    <x v="0"/>
    <x v="0"/>
    <x v="1"/>
    <n v="1856.3121936369612"/>
  </r>
  <r>
    <s v="LP0000171"/>
    <x v="2"/>
    <s v="No"/>
    <n v="1"/>
    <x v="1"/>
    <s v="No"/>
    <n v="12084"/>
    <n v="3045"/>
    <n v="408"/>
    <n v="180"/>
    <n v="1"/>
    <x v="2"/>
    <n v="15129"/>
    <x v="1"/>
    <x v="0"/>
    <x v="1"/>
    <x v="0"/>
    <n v="3899.0605040678338"/>
  </r>
  <r>
    <s v="LP0000172"/>
    <x v="0"/>
    <s v="No"/>
    <n v="0"/>
    <x v="0"/>
    <s v="No"/>
    <n v="16589"/>
    <n v="906"/>
    <n v="118"/>
    <n v="120"/>
    <n v="0"/>
    <x v="1"/>
    <n v="17495"/>
    <x v="1"/>
    <x v="0"/>
    <x v="1"/>
    <x v="1"/>
    <n v="1431.6656133932117"/>
  </r>
  <r>
    <s v="LP0000173"/>
    <x v="0"/>
    <s v="No"/>
    <n v="1"/>
    <x v="0"/>
    <s v="No"/>
    <n v="15405"/>
    <n v="7736"/>
    <n v="567"/>
    <n v="120"/>
    <n v="0"/>
    <x v="1"/>
    <n v="23141"/>
    <x v="0"/>
    <x v="0"/>
    <x v="0"/>
    <x v="1"/>
    <n v="6879.2745999487379"/>
  </r>
  <r>
    <s v="LP0000174"/>
    <x v="0"/>
    <s v="No"/>
    <n v="0"/>
    <x v="1"/>
    <s v="No"/>
    <n v="4979"/>
    <n v="9348"/>
    <n v="488"/>
    <n v="360"/>
    <n v="1"/>
    <x v="0"/>
    <n v="14327"/>
    <x v="1"/>
    <x v="0"/>
    <x v="1"/>
    <x v="0"/>
    <n v="3580.7711205313558"/>
  </r>
  <r>
    <s v="LP0000175"/>
    <x v="0"/>
    <s v="No"/>
    <n v="1"/>
    <x v="0"/>
    <s v="Yes"/>
    <n v="3760"/>
    <n v="5746"/>
    <n v="185"/>
    <n v="180"/>
    <n v="1"/>
    <x v="0"/>
    <n v="9506"/>
    <x v="1"/>
    <x v="0"/>
    <x v="1"/>
    <x v="0"/>
    <n v="1767.9563560111503"/>
  </r>
  <r>
    <s v="LP0000176"/>
    <x v="1"/>
    <s v="Yes"/>
    <n v="2"/>
    <x v="0"/>
    <s v="No"/>
    <n v="17970"/>
    <n v="3771"/>
    <n v="579"/>
    <n v="180"/>
    <n v="0"/>
    <x v="2"/>
    <n v="21741"/>
    <x v="1"/>
    <x v="0"/>
    <x v="1"/>
    <x v="1"/>
    <n v="5533.2255682727346"/>
  </r>
  <r>
    <s v="LP0000177"/>
    <x v="2"/>
    <s v="No"/>
    <n v="0"/>
    <x v="1"/>
    <s v="Yes"/>
    <n v="5212"/>
    <n v="9456"/>
    <n v="512"/>
    <n v="360"/>
    <n v="0"/>
    <x v="0"/>
    <n v="14668"/>
    <x v="0"/>
    <x v="0"/>
    <x v="0"/>
    <x v="1"/>
    <n v="3756.8746182624059"/>
  </r>
  <r>
    <s v="LP0000178"/>
    <x v="2"/>
    <s v="No"/>
    <n v="1"/>
    <x v="0"/>
    <s v="No"/>
    <n v="18759"/>
    <n v="351"/>
    <n v="99"/>
    <n v="360"/>
    <n v="0"/>
    <x v="0"/>
    <n v="19110"/>
    <x v="0"/>
    <x v="0"/>
    <x v="0"/>
    <x v="1"/>
    <n v="726.42692814058239"/>
  </r>
  <r>
    <s v="LP0000179"/>
    <x v="2"/>
    <s v="Yes"/>
    <n v="2"/>
    <x v="1"/>
    <s v="No"/>
    <n v="8382"/>
    <n v="4467"/>
    <n v="116"/>
    <n v="360"/>
    <n v="0"/>
    <x v="0"/>
    <n v="12849"/>
    <x v="1"/>
    <x v="0"/>
    <x v="1"/>
    <x v="1"/>
    <n v="851.16690570007631"/>
  </r>
  <r>
    <s v="LP0000180"/>
    <x v="0"/>
    <s v="No"/>
    <n v="0"/>
    <x v="0"/>
    <s v="Yes"/>
    <n v="13592"/>
    <n v="3345"/>
    <n v="389"/>
    <n v="360"/>
    <n v="1"/>
    <x v="0"/>
    <n v="16937"/>
    <x v="1"/>
    <x v="0"/>
    <x v="1"/>
    <x v="0"/>
    <n v="2854.3441923907735"/>
  </r>
  <r>
    <s v="LP0000181"/>
    <x v="2"/>
    <s v="Yes"/>
    <s v="3+"/>
    <x v="1"/>
    <s v="No"/>
    <n v="16147"/>
    <n v="7976"/>
    <n v="181"/>
    <n v="360"/>
    <n v="1"/>
    <x v="2"/>
    <n v="24123"/>
    <x v="0"/>
    <x v="0"/>
    <x v="0"/>
    <x v="0"/>
    <n v="1328.113878721671"/>
  </r>
  <r>
    <s v="LP0000182"/>
    <x v="0"/>
    <s v="No"/>
    <n v="1"/>
    <x v="0"/>
    <s v="No"/>
    <n v="19544"/>
    <n v="7750"/>
    <n v="358"/>
    <n v="120"/>
    <n v="0"/>
    <x v="1"/>
    <n v="27294"/>
    <x v="0"/>
    <x v="0"/>
    <x v="0"/>
    <x v="1"/>
    <n v="4343.5278779217779"/>
  </r>
  <r>
    <s v="LP0000183"/>
    <x v="1"/>
    <s v="No"/>
    <n v="2"/>
    <x v="1"/>
    <s v="No"/>
    <n v="19665"/>
    <n v="6640"/>
    <n v="293"/>
    <n v="360"/>
    <n v="1"/>
    <x v="0"/>
    <n v="26305"/>
    <x v="1"/>
    <x v="0"/>
    <x v="1"/>
    <x v="0"/>
    <n v="2149.9302014665723"/>
  </r>
  <r>
    <s v="LP0000184"/>
    <x v="0"/>
    <s v="No"/>
    <n v="1"/>
    <x v="1"/>
    <s v="Yes"/>
    <n v="17817"/>
    <n v="2556"/>
    <n v="310"/>
    <n v="120"/>
    <n v="0"/>
    <x v="2"/>
    <n v="20373"/>
    <x v="1"/>
    <x v="0"/>
    <x v="1"/>
    <x v="1"/>
    <n v="3761.1554250160648"/>
  </r>
  <r>
    <s v="LP0000185"/>
    <x v="2"/>
    <s v="No"/>
    <n v="2"/>
    <x v="1"/>
    <s v="Yes"/>
    <n v="19404"/>
    <n v="4646"/>
    <n v="185"/>
    <n v="360"/>
    <n v="0"/>
    <x v="1"/>
    <n v="24050"/>
    <x v="0"/>
    <x v="0"/>
    <x v="0"/>
    <x v="1"/>
    <n v="1357.464461676846"/>
  </r>
  <r>
    <s v="LP0000186"/>
    <x v="0"/>
    <s v="No"/>
    <n v="1"/>
    <x v="0"/>
    <s v="No"/>
    <n v="19457"/>
    <n v="9779"/>
    <n v="596"/>
    <n v="180"/>
    <n v="0"/>
    <x v="2"/>
    <n v="29236"/>
    <x v="1"/>
    <x v="0"/>
    <x v="1"/>
    <x v="1"/>
    <n v="5695.6864226088946"/>
  </r>
  <r>
    <s v="LP0000187"/>
    <x v="1"/>
    <s v="No"/>
    <n v="1"/>
    <x v="1"/>
    <s v="Yes"/>
    <n v="19128"/>
    <n v="1096"/>
    <n v="502"/>
    <n v="360"/>
    <n v="0"/>
    <x v="1"/>
    <n v="20224"/>
    <x v="0"/>
    <x v="0"/>
    <x v="0"/>
    <x v="1"/>
    <n v="3683.4981608744683"/>
  </r>
  <r>
    <s v="LP0000188"/>
    <x v="1"/>
    <s v="No"/>
    <n v="2"/>
    <x v="0"/>
    <s v="No"/>
    <n v="9425"/>
    <n v="520"/>
    <n v="635"/>
    <n v="120"/>
    <n v="1"/>
    <x v="2"/>
    <n v="9945"/>
    <x v="1"/>
    <x v="0"/>
    <x v="1"/>
    <x v="0"/>
    <n v="7704.3022415651649"/>
  </r>
  <r>
    <s v="LP0000189"/>
    <x v="1"/>
    <s v="Yes"/>
    <n v="0"/>
    <x v="1"/>
    <s v="Yes"/>
    <n v="14862"/>
    <n v="6113"/>
    <n v="362"/>
    <n v="360"/>
    <n v="1"/>
    <x v="2"/>
    <n v="20975"/>
    <x v="1"/>
    <x v="0"/>
    <x v="1"/>
    <x v="0"/>
    <n v="2656.2277574433419"/>
  </r>
  <r>
    <s v="LP0000190"/>
    <x v="0"/>
    <s v="No"/>
    <n v="2"/>
    <x v="1"/>
    <s v="Yes"/>
    <n v="19974"/>
    <n v="8322"/>
    <n v="390"/>
    <n v="120"/>
    <n v="0"/>
    <x v="1"/>
    <n v="28296"/>
    <x v="1"/>
    <x v="0"/>
    <x v="1"/>
    <x v="1"/>
    <n v="4731.7761798589199"/>
  </r>
  <r>
    <s v="LP0000191"/>
    <x v="2"/>
    <s v="Yes"/>
    <n v="2"/>
    <x v="1"/>
    <s v="No"/>
    <n v="5359"/>
    <n v="7441"/>
    <n v="527"/>
    <n v="360"/>
    <n v="1"/>
    <x v="0"/>
    <n v="12800"/>
    <x v="1"/>
    <x v="0"/>
    <x v="1"/>
    <x v="0"/>
    <n v="3866.9393043443129"/>
  </r>
  <r>
    <s v="LP0000192"/>
    <x v="1"/>
    <s v="No"/>
    <n v="1"/>
    <x v="1"/>
    <s v="Yes"/>
    <n v="12657"/>
    <n v="3869"/>
    <n v="143"/>
    <n v="120"/>
    <n v="0"/>
    <x v="2"/>
    <n v="16526"/>
    <x v="0"/>
    <x v="0"/>
    <x v="0"/>
    <x v="1"/>
    <n v="1734.984599281604"/>
  </r>
  <r>
    <s v="LP0000193"/>
    <x v="0"/>
    <s v="No"/>
    <n v="0"/>
    <x v="1"/>
    <s v="No"/>
    <n v="5974"/>
    <n v="3206"/>
    <n v="540"/>
    <n v="180"/>
    <n v="1"/>
    <x v="2"/>
    <n v="9180"/>
    <x v="0"/>
    <x v="0"/>
    <x v="0"/>
    <x v="0"/>
    <n v="5160.5212553838974"/>
  </r>
  <r>
    <s v="LP0000194"/>
    <x v="1"/>
    <s v="Yes"/>
    <n v="1"/>
    <x v="1"/>
    <s v="No"/>
    <n v="4222"/>
    <n v="654"/>
    <n v="545"/>
    <n v="360"/>
    <n v="1"/>
    <x v="1"/>
    <n v="4876"/>
    <x v="0"/>
    <x v="1"/>
    <x v="0"/>
    <x v="0"/>
    <n v="3999.0169276426004"/>
  </r>
  <r>
    <s v="LP0000195"/>
    <x v="0"/>
    <s v="Yes"/>
    <n v="0"/>
    <x v="1"/>
    <s v="No"/>
    <n v="6586"/>
    <n v="9236"/>
    <n v="354"/>
    <n v="120"/>
    <n v="0"/>
    <x v="0"/>
    <n v="15822"/>
    <x v="0"/>
    <x v="0"/>
    <x v="0"/>
    <x v="1"/>
    <n v="4294.996840179635"/>
  </r>
  <r>
    <s v="LP0000196"/>
    <x v="1"/>
    <s v="No"/>
    <n v="1"/>
    <x v="0"/>
    <s v="Yes"/>
    <n v="15415"/>
    <n v="5334"/>
    <n v="665"/>
    <n v="360"/>
    <n v="0"/>
    <x v="2"/>
    <n v="20749"/>
    <x v="0"/>
    <x v="0"/>
    <x v="0"/>
    <x v="1"/>
    <n v="4879.5344162978517"/>
  </r>
  <r>
    <s v="LP0000197"/>
    <x v="2"/>
    <s v="No"/>
    <s v="3+"/>
    <x v="1"/>
    <s v="No"/>
    <n v="3968"/>
    <n v="8802"/>
    <n v="236"/>
    <n v="360"/>
    <n v="0"/>
    <x v="0"/>
    <n v="12770"/>
    <x v="0"/>
    <x v="0"/>
    <x v="0"/>
    <x v="1"/>
    <n v="1731.6843943553276"/>
  </r>
  <r>
    <s v="LP0000198"/>
    <x v="2"/>
    <s v="No"/>
    <s v="3+"/>
    <x v="0"/>
    <s v="No"/>
    <n v="7362"/>
    <n v="7906"/>
    <n v="599"/>
    <n v="360"/>
    <n v="1"/>
    <x v="1"/>
    <n v="15268"/>
    <x v="0"/>
    <x v="0"/>
    <x v="0"/>
    <x v="0"/>
    <n v="4395.2497975374636"/>
  </r>
  <r>
    <s v="LP0000199"/>
    <x v="1"/>
    <s v="No"/>
    <n v="2"/>
    <x v="0"/>
    <s v="No"/>
    <n v="5278"/>
    <n v="9614"/>
    <n v="657"/>
    <n v="120"/>
    <n v="0"/>
    <x v="2"/>
    <n v="14892"/>
    <x v="1"/>
    <x v="0"/>
    <x v="1"/>
    <x v="1"/>
    <n v="7971.2229491469498"/>
  </r>
  <r>
    <s v="LP0000200"/>
    <x v="1"/>
    <s v="No"/>
    <s v="3+"/>
    <x v="0"/>
    <s v="No"/>
    <n v="18212"/>
    <n v="281"/>
    <n v="665"/>
    <n v="360"/>
    <n v="0"/>
    <x v="0"/>
    <n v="18493"/>
    <x v="1"/>
    <x v="0"/>
    <x v="1"/>
    <x v="1"/>
    <n v="4879.5344162978517"/>
  </r>
  <r>
    <s v="LP0000201"/>
    <x v="2"/>
    <s v="No"/>
    <n v="2"/>
    <x v="0"/>
    <s v="Yes"/>
    <n v="5780"/>
    <n v="9732"/>
    <n v="568"/>
    <n v="360"/>
    <n v="0"/>
    <x v="0"/>
    <n v="15512"/>
    <x v="1"/>
    <x v="0"/>
    <x v="1"/>
    <x v="1"/>
    <n v="4167.7827796348565"/>
  </r>
  <r>
    <s v="LP0000202"/>
    <x v="0"/>
    <s v="Yes"/>
    <n v="2"/>
    <x v="1"/>
    <s v="No"/>
    <n v="5066"/>
    <n v="6847"/>
    <n v="61"/>
    <n v="360"/>
    <n v="0"/>
    <x v="2"/>
    <n v="11913"/>
    <x v="1"/>
    <x v="0"/>
    <x v="1"/>
    <x v="1"/>
    <n v="447.59639006641947"/>
  </r>
  <r>
    <s v="LP0000203"/>
    <x v="2"/>
    <s v="No"/>
    <n v="2"/>
    <x v="0"/>
    <s v="No"/>
    <n v="12764"/>
    <n v="8791"/>
    <n v="115"/>
    <n v="360"/>
    <n v="0"/>
    <x v="1"/>
    <n v="21555"/>
    <x v="1"/>
    <x v="0"/>
    <x v="1"/>
    <x v="1"/>
    <n v="843.82925996128267"/>
  </r>
  <r>
    <s v="LP0000204"/>
    <x v="2"/>
    <s v="No"/>
    <n v="1"/>
    <x v="0"/>
    <s v="No"/>
    <n v="7137"/>
    <n v="8005"/>
    <n v="193"/>
    <n v="360"/>
    <n v="0"/>
    <x v="1"/>
    <n v="15142"/>
    <x v="1"/>
    <x v="0"/>
    <x v="1"/>
    <x v="1"/>
    <n v="1416.165627587196"/>
  </r>
  <r>
    <s v="LP0000205"/>
    <x v="1"/>
    <s v="Yes"/>
    <s v="3+"/>
    <x v="0"/>
    <s v="No"/>
    <n v="12415"/>
    <n v="8229"/>
    <n v="555"/>
    <n v="360"/>
    <n v="1"/>
    <x v="0"/>
    <n v="20644"/>
    <x v="1"/>
    <x v="0"/>
    <x v="1"/>
    <x v="0"/>
    <n v="4072.3933850305384"/>
  </r>
  <r>
    <s v="LP0000206"/>
    <x v="0"/>
    <s v="No"/>
    <n v="0"/>
    <x v="1"/>
    <s v="Yes"/>
    <n v="19113"/>
    <n v="1039"/>
    <n v="331"/>
    <n v="360"/>
    <n v="0"/>
    <x v="1"/>
    <n v="20152"/>
    <x v="0"/>
    <x v="0"/>
    <x v="0"/>
    <x v="1"/>
    <n v="2428.7607395407354"/>
  </r>
  <r>
    <s v="LP0000207"/>
    <x v="2"/>
    <s v="No"/>
    <n v="2"/>
    <x v="1"/>
    <s v="No"/>
    <n v="9091"/>
    <n v="4958"/>
    <n v="128"/>
    <n v="120"/>
    <n v="0"/>
    <x v="1"/>
    <n v="14049"/>
    <x v="0"/>
    <x v="0"/>
    <x v="0"/>
    <x v="1"/>
    <n v="1552.9932077485687"/>
  </r>
  <r>
    <s v="LP0000208"/>
    <x v="1"/>
    <s v="Yes"/>
    <n v="1"/>
    <x v="0"/>
    <s v="No"/>
    <n v="9035"/>
    <n v="3428"/>
    <n v="87"/>
    <n v="360"/>
    <n v="1"/>
    <x v="2"/>
    <n v="12463"/>
    <x v="0"/>
    <x v="0"/>
    <x v="0"/>
    <x v="0"/>
    <n v="638.37517927505735"/>
  </r>
  <r>
    <s v="LP0000209"/>
    <x v="2"/>
    <s v="Yes"/>
    <n v="1"/>
    <x v="0"/>
    <s v="No"/>
    <n v="17039"/>
    <n v="7347"/>
    <n v="342"/>
    <n v="360"/>
    <n v="0"/>
    <x v="2"/>
    <n v="24386"/>
    <x v="1"/>
    <x v="0"/>
    <x v="1"/>
    <x v="1"/>
    <n v="2509.4748426674664"/>
  </r>
  <r>
    <s v="LP0000210"/>
    <x v="2"/>
    <s v="No"/>
    <n v="1"/>
    <x v="0"/>
    <s v="Yes"/>
    <n v="5045"/>
    <n v="4205"/>
    <n v="536"/>
    <n v="120"/>
    <n v="0"/>
    <x v="2"/>
    <n v="9250"/>
    <x v="1"/>
    <x v="0"/>
    <x v="1"/>
    <x v="1"/>
    <n v="6503.1590574471311"/>
  </r>
  <r>
    <s v="LP0000211"/>
    <x v="0"/>
    <s v="No"/>
    <s v="3+"/>
    <x v="0"/>
    <s v="No"/>
    <n v="16909"/>
    <n v="2798"/>
    <n v="454"/>
    <n v="360"/>
    <n v="1"/>
    <x v="2"/>
    <n v="19707"/>
    <x v="1"/>
    <x v="0"/>
    <x v="1"/>
    <x v="0"/>
    <n v="3331.2911654123677"/>
  </r>
  <r>
    <s v="LP0000212"/>
    <x v="2"/>
    <s v="No"/>
    <n v="1"/>
    <x v="0"/>
    <s v="No"/>
    <n v="10189"/>
    <n v="617"/>
    <n v="438"/>
    <n v="360"/>
    <n v="1"/>
    <x v="0"/>
    <n v="10806"/>
    <x v="0"/>
    <x v="0"/>
    <x v="0"/>
    <x v="0"/>
    <n v="3213.8888335916677"/>
  </r>
  <r>
    <s v="LP0000213"/>
    <x v="0"/>
    <s v="No"/>
    <n v="1"/>
    <x v="0"/>
    <s v="No"/>
    <n v="12204"/>
    <n v="36"/>
    <n v="519"/>
    <n v="120"/>
    <n v="1"/>
    <x v="1"/>
    <n v="12240"/>
    <x v="1"/>
    <x v="0"/>
    <x v="1"/>
    <x v="0"/>
    <n v="6296.9021470430243"/>
  </r>
  <r>
    <s v="LP0000214"/>
    <x v="2"/>
    <s v="No"/>
    <s v="3+"/>
    <x v="0"/>
    <s v="Yes"/>
    <n v="5281"/>
    <n v="8156"/>
    <n v="559"/>
    <n v="360"/>
    <n v="1"/>
    <x v="2"/>
    <n v="13437"/>
    <x v="1"/>
    <x v="0"/>
    <x v="1"/>
    <x v="0"/>
    <n v="4101.7439679857125"/>
  </r>
  <r>
    <s v="LP0000215"/>
    <x v="2"/>
    <s v="Yes"/>
    <s v="3+"/>
    <x v="0"/>
    <s v="No"/>
    <n v="15705"/>
    <n v="9905"/>
    <n v="258"/>
    <n v="180"/>
    <n v="0"/>
    <x v="2"/>
    <n v="25610"/>
    <x v="1"/>
    <x v="0"/>
    <x v="1"/>
    <x v="1"/>
    <n v="2465.5823775723065"/>
  </r>
  <r>
    <s v="LP0000216"/>
    <x v="2"/>
    <s v="No"/>
    <n v="0"/>
    <x v="1"/>
    <s v="No"/>
    <n v="9178"/>
    <n v="5210"/>
    <n v="617"/>
    <n v="360"/>
    <n v="1"/>
    <x v="1"/>
    <n v="14388"/>
    <x v="0"/>
    <x v="0"/>
    <x v="0"/>
    <x v="0"/>
    <n v="4527.3274208357516"/>
  </r>
  <r>
    <s v="LP0000217"/>
    <x v="1"/>
    <s v="Yes"/>
    <n v="2"/>
    <x v="1"/>
    <s v="No"/>
    <n v="8716"/>
    <n v="2913"/>
    <n v="606"/>
    <n v="360"/>
    <n v="0"/>
    <x v="0"/>
    <n v="11629"/>
    <x v="0"/>
    <x v="0"/>
    <x v="0"/>
    <x v="1"/>
    <n v="4446.6133177090196"/>
  </r>
  <r>
    <s v="LP0000218"/>
    <x v="0"/>
    <s v="No"/>
    <n v="0"/>
    <x v="1"/>
    <s v="No"/>
    <n v="7495"/>
    <n v="2651"/>
    <n v="524"/>
    <n v="180"/>
    <n v="0"/>
    <x v="1"/>
    <n v="10146"/>
    <x v="1"/>
    <x v="0"/>
    <x v="1"/>
    <x v="1"/>
    <n v="5007.6169218910418"/>
  </r>
  <r>
    <s v="LP0000219"/>
    <x v="0"/>
    <s v="Yes"/>
    <n v="1"/>
    <x v="1"/>
    <s v="No"/>
    <n v="6172"/>
    <n v="3244"/>
    <n v="272"/>
    <n v="120"/>
    <n v="1"/>
    <x v="0"/>
    <n v="9416"/>
    <x v="0"/>
    <x v="0"/>
    <x v="0"/>
    <x v="0"/>
    <n v="3300.1105664657084"/>
  </r>
  <r>
    <s v="LP0000220"/>
    <x v="2"/>
    <s v="No"/>
    <n v="2"/>
    <x v="1"/>
    <s v="Yes"/>
    <n v="7852"/>
    <n v="4800"/>
    <n v="192"/>
    <n v="360"/>
    <n v="1"/>
    <x v="0"/>
    <n v="12652"/>
    <x v="1"/>
    <x v="0"/>
    <x v="1"/>
    <x v="0"/>
    <n v="1408.8279818484023"/>
  </r>
  <r>
    <s v="LP0000221"/>
    <x v="1"/>
    <s v="No"/>
    <n v="1"/>
    <x v="1"/>
    <s v="Yes"/>
    <n v="7542"/>
    <n v="5879"/>
    <n v="191"/>
    <n v="360"/>
    <n v="0"/>
    <x v="2"/>
    <n v="13421"/>
    <x v="0"/>
    <x v="0"/>
    <x v="0"/>
    <x v="1"/>
    <n v="1401.4903361096085"/>
  </r>
  <r>
    <s v="LP0000222"/>
    <x v="2"/>
    <s v="Yes"/>
    <n v="0"/>
    <x v="1"/>
    <s v="No"/>
    <n v="19441"/>
    <n v="9973"/>
    <n v="490"/>
    <n v="180"/>
    <n v="0"/>
    <x v="0"/>
    <n v="29414"/>
    <x v="0"/>
    <x v="0"/>
    <x v="0"/>
    <x v="1"/>
    <n v="4682.6952132187216"/>
  </r>
  <r>
    <s v="LP0000223"/>
    <x v="2"/>
    <s v="No"/>
    <s v="3+"/>
    <x v="1"/>
    <s v="No"/>
    <n v="17613"/>
    <n v="1685"/>
    <n v="486"/>
    <n v="120"/>
    <n v="0"/>
    <x v="0"/>
    <n v="19298"/>
    <x v="0"/>
    <x v="0"/>
    <x v="0"/>
    <x v="1"/>
    <n v="5896.5210856703461"/>
  </r>
  <r>
    <s v="LP0000224"/>
    <x v="0"/>
    <s v="No"/>
    <s v="3+"/>
    <x v="1"/>
    <s v="No"/>
    <n v="19006"/>
    <n v="7422"/>
    <n v="251"/>
    <n v="180"/>
    <n v="1"/>
    <x v="0"/>
    <n v="26428"/>
    <x v="0"/>
    <x v="0"/>
    <x v="0"/>
    <x v="0"/>
    <n v="2398.6867316691819"/>
  </r>
  <r>
    <s v="LP0000225"/>
    <x v="1"/>
    <s v="No"/>
    <n v="2"/>
    <x v="1"/>
    <s v="Yes"/>
    <n v="10115"/>
    <n v="6607"/>
    <n v="530"/>
    <n v="180"/>
    <n v="0"/>
    <x v="2"/>
    <n v="16722"/>
    <x v="0"/>
    <x v="0"/>
    <x v="0"/>
    <x v="1"/>
    <n v="5064.9560469508624"/>
  </r>
  <r>
    <s v="LP0000226"/>
    <x v="2"/>
    <s v="No"/>
    <n v="1"/>
    <x v="1"/>
    <s v="No"/>
    <n v="3806"/>
    <n v="3177"/>
    <n v="489"/>
    <n v="360"/>
    <n v="0"/>
    <x v="2"/>
    <n v="6983"/>
    <x v="1"/>
    <x v="1"/>
    <x v="1"/>
    <x v="1"/>
    <n v="3588.1087662701498"/>
  </r>
  <r>
    <s v="LP0000227"/>
    <x v="0"/>
    <s v="Yes"/>
    <n v="1"/>
    <x v="0"/>
    <s v="No"/>
    <n v="10763"/>
    <n v="8716"/>
    <n v="427"/>
    <n v="360"/>
    <n v="1"/>
    <x v="2"/>
    <n v="19479"/>
    <x v="1"/>
    <x v="0"/>
    <x v="1"/>
    <x v="0"/>
    <n v="3133.1747304649361"/>
  </r>
  <r>
    <s v="LP0000228"/>
    <x v="0"/>
    <s v="No"/>
    <n v="2"/>
    <x v="1"/>
    <s v="Yes"/>
    <n v="4407"/>
    <n v="9635"/>
    <n v="74"/>
    <n v="180"/>
    <n v="1"/>
    <x v="2"/>
    <n v="14042"/>
    <x v="1"/>
    <x v="0"/>
    <x v="1"/>
    <x v="0"/>
    <n v="707.18254240446015"/>
  </r>
  <r>
    <s v="LP0000229"/>
    <x v="0"/>
    <s v="Yes"/>
    <s v="3+"/>
    <x v="1"/>
    <s v="Yes"/>
    <n v="19916"/>
    <n v="6395"/>
    <n v="367"/>
    <n v="180"/>
    <n v="1"/>
    <x v="1"/>
    <n v="26311"/>
    <x v="1"/>
    <x v="0"/>
    <x v="1"/>
    <x v="0"/>
    <n v="3507.2431494923899"/>
  </r>
  <r>
    <s v="LP0000230"/>
    <x v="1"/>
    <s v="Yes"/>
    <n v="1"/>
    <x v="0"/>
    <s v="Yes"/>
    <n v="11149"/>
    <n v="649"/>
    <n v="89"/>
    <n v="180"/>
    <n v="0"/>
    <x v="1"/>
    <n v="11798"/>
    <x v="0"/>
    <x v="0"/>
    <x v="0"/>
    <x v="1"/>
    <n v="850.53035505401272"/>
  </r>
  <r>
    <s v="LP0000231"/>
    <x v="2"/>
    <s v="Yes"/>
    <s v="3+"/>
    <x v="1"/>
    <s v="No"/>
    <n v="9526"/>
    <n v="5460"/>
    <n v="424"/>
    <n v="360"/>
    <n v="0"/>
    <x v="2"/>
    <n v="14986"/>
    <x v="1"/>
    <x v="0"/>
    <x v="1"/>
    <x v="1"/>
    <n v="3111.1617932485551"/>
  </r>
  <r>
    <s v="LP0000232"/>
    <x v="0"/>
    <s v="No"/>
    <s v="3+"/>
    <x v="0"/>
    <s v="No"/>
    <n v="7229"/>
    <n v="2239"/>
    <n v="186"/>
    <n v="120"/>
    <n v="0"/>
    <x v="0"/>
    <n v="9468"/>
    <x v="0"/>
    <x v="0"/>
    <x v="0"/>
    <x v="1"/>
    <n v="2256.693255009639"/>
  </r>
  <r>
    <s v="LP0000233"/>
    <x v="1"/>
    <s v="No"/>
    <s v="3+"/>
    <x v="1"/>
    <s v="No"/>
    <n v="15661"/>
    <n v="2478"/>
    <n v="498"/>
    <n v="360"/>
    <n v="0"/>
    <x v="0"/>
    <n v="18139"/>
    <x v="1"/>
    <x v="0"/>
    <x v="1"/>
    <x v="1"/>
    <n v="3654.1475779192938"/>
  </r>
  <r>
    <s v="LP0000234"/>
    <x v="0"/>
    <s v="No"/>
    <n v="0"/>
    <x v="1"/>
    <s v="No"/>
    <n v="13653"/>
    <n v="6446"/>
    <n v="78"/>
    <n v="360"/>
    <n v="1"/>
    <x v="2"/>
    <n v="20099"/>
    <x v="0"/>
    <x v="0"/>
    <x v="0"/>
    <x v="0"/>
    <n v="572.33636762591345"/>
  </r>
  <r>
    <s v="LP0000235"/>
    <x v="0"/>
    <s v="No"/>
    <n v="2"/>
    <x v="1"/>
    <s v="Yes"/>
    <n v="8486"/>
    <n v="5509"/>
    <n v="465"/>
    <n v="360"/>
    <n v="0"/>
    <x v="2"/>
    <n v="13995"/>
    <x v="0"/>
    <x v="0"/>
    <x v="0"/>
    <x v="1"/>
    <n v="3412.0052685390992"/>
  </r>
  <r>
    <s v="LP0000236"/>
    <x v="1"/>
    <s v="No"/>
    <s v="3+"/>
    <x v="0"/>
    <s v="No"/>
    <n v="16867"/>
    <n v="7876"/>
    <n v="472"/>
    <n v="360"/>
    <n v="0"/>
    <x v="0"/>
    <n v="24743"/>
    <x v="0"/>
    <x v="0"/>
    <x v="0"/>
    <x v="1"/>
    <n v="3463.3687887106553"/>
  </r>
  <r>
    <s v="LP0000237"/>
    <x v="1"/>
    <s v="No"/>
    <n v="0"/>
    <x v="1"/>
    <s v="Yes"/>
    <n v="11896"/>
    <n v="3844"/>
    <n v="516"/>
    <n v="120"/>
    <n v="0"/>
    <x v="0"/>
    <n v="15740"/>
    <x v="0"/>
    <x v="0"/>
    <x v="0"/>
    <x v="1"/>
    <n v="6260.5038687364167"/>
  </r>
  <r>
    <s v="LP0000238"/>
    <x v="2"/>
    <s v="No"/>
    <n v="2"/>
    <x v="1"/>
    <s v="No"/>
    <n v="2102"/>
    <n v="5697"/>
    <n v="189"/>
    <n v="360"/>
    <n v="0"/>
    <x v="1"/>
    <n v="7799"/>
    <x v="1"/>
    <x v="0"/>
    <x v="1"/>
    <x v="1"/>
    <n v="1386.815044632021"/>
  </r>
  <r>
    <s v="LP0000239"/>
    <x v="1"/>
    <s v="Yes"/>
    <n v="1"/>
    <x v="1"/>
    <s v="Yes"/>
    <n v="16279"/>
    <n v="760"/>
    <n v="103"/>
    <n v="120"/>
    <n v="0"/>
    <x v="0"/>
    <n v="17039"/>
    <x v="1"/>
    <x v="0"/>
    <x v="1"/>
    <x v="1"/>
    <n v="1249.6742218601762"/>
  </r>
  <r>
    <s v="LP0000240"/>
    <x v="1"/>
    <s v="Yes"/>
    <s v="3+"/>
    <x v="1"/>
    <s v="No"/>
    <n v="15448"/>
    <n v="9304"/>
    <n v="71"/>
    <n v="360"/>
    <n v="0"/>
    <x v="1"/>
    <n v="24752"/>
    <x v="1"/>
    <x v="0"/>
    <x v="1"/>
    <x v="1"/>
    <n v="520.97284745435707"/>
  </r>
  <r>
    <s v="LP0000241"/>
    <x v="1"/>
    <s v="No"/>
    <s v="3+"/>
    <x v="1"/>
    <s v="No"/>
    <n v="1725"/>
    <n v="4209"/>
    <n v="207"/>
    <n v="360"/>
    <n v="0"/>
    <x v="2"/>
    <n v="5934"/>
    <x v="1"/>
    <x v="1"/>
    <x v="1"/>
    <x v="1"/>
    <n v="1518.8926679303086"/>
  </r>
  <r>
    <s v="LP0000242"/>
    <x v="2"/>
    <s v="Yes"/>
    <n v="1"/>
    <x v="1"/>
    <s v="No"/>
    <n v="18455"/>
    <n v="1783"/>
    <n v="260"/>
    <n v="360"/>
    <n v="0"/>
    <x v="0"/>
    <n v="20238"/>
    <x v="1"/>
    <x v="0"/>
    <x v="1"/>
    <x v="1"/>
    <n v="1907.787892086378"/>
  </r>
  <r>
    <s v="LP0000243"/>
    <x v="2"/>
    <s v="No"/>
    <n v="1"/>
    <x v="1"/>
    <s v="No"/>
    <n v="9779"/>
    <n v="6849"/>
    <n v="235"/>
    <n v="360"/>
    <n v="0"/>
    <x v="0"/>
    <n v="16628"/>
    <x v="0"/>
    <x v="0"/>
    <x v="0"/>
    <x v="1"/>
    <n v="1724.3467486165341"/>
  </r>
  <r>
    <s v="LP0000244"/>
    <x v="0"/>
    <s v="No"/>
    <n v="2"/>
    <x v="1"/>
    <s v="No"/>
    <n v="11281"/>
    <n v="6420"/>
    <n v="112"/>
    <n v="360"/>
    <n v="0"/>
    <x v="0"/>
    <n v="17701"/>
    <x v="0"/>
    <x v="0"/>
    <x v="0"/>
    <x v="1"/>
    <n v="821.81632274490141"/>
  </r>
  <r>
    <s v="LP0000245"/>
    <x v="2"/>
    <s v="No"/>
    <n v="0"/>
    <x v="1"/>
    <s v="No"/>
    <n v="8903"/>
    <n v="8028"/>
    <n v="519"/>
    <n v="180"/>
    <n v="1"/>
    <x v="2"/>
    <n v="16931"/>
    <x v="0"/>
    <x v="0"/>
    <x v="0"/>
    <x v="0"/>
    <n v="4959.8343176745238"/>
  </r>
  <r>
    <s v="LP0000246"/>
    <x v="1"/>
    <s v="No"/>
    <n v="1"/>
    <x v="1"/>
    <s v="Yes"/>
    <n v="16105"/>
    <n v="9996"/>
    <n v="561"/>
    <n v="360"/>
    <n v="0"/>
    <x v="2"/>
    <n v="26101"/>
    <x v="0"/>
    <x v="0"/>
    <x v="0"/>
    <x v="1"/>
    <n v="4116.4192594633005"/>
  </r>
  <r>
    <s v="LP0000247"/>
    <x v="0"/>
    <s v="No"/>
    <n v="2"/>
    <x v="0"/>
    <s v="Yes"/>
    <n v="9649"/>
    <n v="7821"/>
    <n v="407"/>
    <n v="360"/>
    <n v="0"/>
    <x v="2"/>
    <n v="17470"/>
    <x v="0"/>
    <x v="0"/>
    <x v="0"/>
    <x v="1"/>
    <n v="2986.4218156890611"/>
  </r>
  <r>
    <s v="LP0000248"/>
    <x v="2"/>
    <s v="No"/>
    <s v="3+"/>
    <x v="1"/>
    <s v="No"/>
    <n v="16622"/>
    <n v="6630"/>
    <n v="203"/>
    <n v="180"/>
    <n v="0"/>
    <x v="2"/>
    <n v="23252"/>
    <x v="0"/>
    <x v="0"/>
    <x v="0"/>
    <x v="1"/>
    <n v="1939.9737311906135"/>
  </r>
  <r>
    <s v="LP0000249"/>
    <x v="0"/>
    <s v="No"/>
    <s v="3+"/>
    <x v="1"/>
    <s v="No"/>
    <n v="6845"/>
    <n v="3732"/>
    <n v="379"/>
    <n v="360"/>
    <n v="0"/>
    <x v="0"/>
    <n v="10577"/>
    <x v="1"/>
    <x v="0"/>
    <x v="1"/>
    <x v="1"/>
    <n v="2780.967735002836"/>
  </r>
  <r>
    <s v="LP0000250"/>
    <x v="2"/>
    <s v="Yes"/>
    <n v="1"/>
    <x v="1"/>
    <s v="Yes"/>
    <n v="3606"/>
    <n v="7330"/>
    <n v="397"/>
    <n v="180"/>
    <n v="0"/>
    <x v="0"/>
    <n v="10936"/>
    <x v="1"/>
    <x v="0"/>
    <x v="1"/>
    <x v="1"/>
    <n v="3793.9387747914952"/>
  </r>
  <r>
    <s v="LP0000251"/>
    <x v="0"/>
    <s v="Yes"/>
    <n v="1"/>
    <x v="0"/>
    <s v="No"/>
    <n v="11777"/>
    <n v="9328"/>
    <n v="622"/>
    <n v="120"/>
    <n v="0"/>
    <x v="0"/>
    <n v="21105"/>
    <x v="0"/>
    <x v="0"/>
    <x v="0"/>
    <x v="1"/>
    <n v="7546.5763689032019"/>
  </r>
  <r>
    <s v="LP0000252"/>
    <x v="2"/>
    <s v="Yes"/>
    <n v="1"/>
    <x v="0"/>
    <s v="Yes"/>
    <n v="1558"/>
    <n v="3351"/>
    <n v="668"/>
    <n v="180"/>
    <n v="1"/>
    <x v="1"/>
    <n v="4909"/>
    <x v="1"/>
    <x v="1"/>
    <x v="1"/>
    <x v="0"/>
    <n v="6383.7559233267475"/>
  </r>
  <r>
    <s v="LP0000253"/>
    <x v="0"/>
    <s v="No"/>
    <s v="3+"/>
    <x v="1"/>
    <s v="No"/>
    <n v="15142"/>
    <n v="2426"/>
    <n v="362"/>
    <n v="180"/>
    <n v="0"/>
    <x v="0"/>
    <n v="17568"/>
    <x v="1"/>
    <x v="0"/>
    <x v="1"/>
    <x v="1"/>
    <n v="3459.4605452758724"/>
  </r>
  <r>
    <s v="LP0000254"/>
    <x v="1"/>
    <s v="Yes"/>
    <s v="3+"/>
    <x v="1"/>
    <s v="No"/>
    <n v="6424"/>
    <n v="4113"/>
    <n v="85"/>
    <n v="180"/>
    <n v="1"/>
    <x v="0"/>
    <n v="10537"/>
    <x v="1"/>
    <x v="0"/>
    <x v="1"/>
    <x v="0"/>
    <n v="812.30427168079871"/>
  </r>
  <r>
    <s v="LP0000255"/>
    <x v="0"/>
    <s v="No"/>
    <n v="1"/>
    <x v="0"/>
    <s v="No"/>
    <n v="12393"/>
    <n v="3615"/>
    <n v="284"/>
    <n v="120"/>
    <n v="0"/>
    <x v="2"/>
    <n v="16008"/>
    <x v="1"/>
    <x v="0"/>
    <x v="1"/>
    <x v="1"/>
    <n v="3445.7036796921366"/>
  </r>
  <r>
    <s v="LP0000256"/>
    <x v="0"/>
    <s v="No"/>
    <n v="1"/>
    <x v="1"/>
    <s v="No"/>
    <n v="14147"/>
    <n v="7725"/>
    <n v="101"/>
    <n v="180"/>
    <n v="0"/>
    <x v="1"/>
    <n v="21872"/>
    <x v="1"/>
    <x v="0"/>
    <x v="1"/>
    <x v="1"/>
    <n v="965.20860517365497"/>
  </r>
  <r>
    <s v="LP0000257"/>
    <x v="0"/>
    <s v="No"/>
    <n v="1"/>
    <x v="0"/>
    <s v="No"/>
    <n v="6263"/>
    <n v="3999"/>
    <n v="257"/>
    <n v="120"/>
    <n v="0"/>
    <x v="1"/>
    <n v="10262"/>
    <x v="0"/>
    <x v="0"/>
    <x v="0"/>
    <x v="1"/>
    <n v="3118.1191749326731"/>
  </r>
  <r>
    <s v="LP0000258"/>
    <x v="1"/>
    <s v="Yes"/>
    <n v="0"/>
    <x v="1"/>
    <s v="No"/>
    <n v="8785"/>
    <n v="7264"/>
    <n v="437"/>
    <n v="180"/>
    <n v="0"/>
    <x v="1"/>
    <n v="16049"/>
    <x v="0"/>
    <x v="0"/>
    <x v="0"/>
    <x v="1"/>
    <n v="4176.199608523636"/>
  </r>
  <r>
    <s v="LP0000259"/>
    <x v="2"/>
    <s v="Yes"/>
    <s v="3+"/>
    <x v="0"/>
    <s v="No"/>
    <n v="4224"/>
    <n v="5895"/>
    <n v="572"/>
    <n v="360"/>
    <n v="0"/>
    <x v="0"/>
    <n v="10119"/>
    <x v="0"/>
    <x v="0"/>
    <x v="0"/>
    <x v="1"/>
    <n v="4197.1333625900324"/>
  </r>
  <r>
    <s v="LP0000260"/>
    <x v="0"/>
    <s v="No"/>
    <n v="1"/>
    <x v="1"/>
    <s v="No"/>
    <n v="11935"/>
    <n v="1977"/>
    <n v="360"/>
    <n v="180"/>
    <n v="0"/>
    <x v="1"/>
    <n v="13912"/>
    <x v="0"/>
    <x v="0"/>
    <x v="0"/>
    <x v="1"/>
    <n v="3440.3475035892652"/>
  </r>
  <r>
    <s v="LP0000261"/>
    <x v="2"/>
    <s v="No"/>
    <n v="0"/>
    <x v="0"/>
    <s v="No"/>
    <n v="17433"/>
    <n v="4463"/>
    <n v="317"/>
    <n v="360"/>
    <n v="0"/>
    <x v="0"/>
    <n v="21896"/>
    <x v="0"/>
    <x v="0"/>
    <x v="0"/>
    <x v="1"/>
    <n v="2326.0336991976228"/>
  </r>
  <r>
    <s v="LP0000262"/>
    <x v="2"/>
    <s v="Yes"/>
    <n v="1"/>
    <x v="1"/>
    <s v="No"/>
    <n v="3190"/>
    <n v="7693"/>
    <n v="459"/>
    <n v="360"/>
    <n v="0"/>
    <x v="1"/>
    <n v="10883"/>
    <x v="1"/>
    <x v="0"/>
    <x v="1"/>
    <x v="1"/>
    <n v="3367.9793941063367"/>
  </r>
  <r>
    <s v="LP0000263"/>
    <x v="2"/>
    <s v="No"/>
    <s v="3+"/>
    <x v="0"/>
    <s v="No"/>
    <n v="10138"/>
    <n v="4535"/>
    <n v="668"/>
    <n v="360"/>
    <n v="0"/>
    <x v="1"/>
    <n v="14673"/>
    <x v="0"/>
    <x v="0"/>
    <x v="0"/>
    <x v="1"/>
    <n v="4901.5473535142328"/>
  </r>
  <r>
    <s v="LP0000264"/>
    <x v="0"/>
    <s v="No"/>
    <n v="0"/>
    <x v="1"/>
    <s v="Yes"/>
    <n v="5241"/>
    <n v="7186"/>
    <n v="631"/>
    <n v="360"/>
    <n v="1"/>
    <x v="2"/>
    <n v="12427"/>
    <x v="1"/>
    <x v="0"/>
    <x v="1"/>
    <x v="0"/>
    <n v="4630.0544611788637"/>
  </r>
  <r>
    <s v="LP0000265"/>
    <x v="1"/>
    <s v="No"/>
    <n v="0"/>
    <x v="1"/>
    <s v="Yes"/>
    <n v="5208"/>
    <n v="6817"/>
    <n v="442"/>
    <n v="180"/>
    <n v="0"/>
    <x v="0"/>
    <n v="12025"/>
    <x v="0"/>
    <x v="0"/>
    <x v="0"/>
    <x v="1"/>
    <n v="4223.982212740154"/>
  </r>
  <r>
    <s v="LP0000266"/>
    <x v="0"/>
    <s v="No"/>
    <n v="0"/>
    <x v="1"/>
    <s v="No"/>
    <n v="6452"/>
    <n v="8259"/>
    <n v="435"/>
    <n v="360"/>
    <n v="0"/>
    <x v="0"/>
    <n v="14711"/>
    <x v="0"/>
    <x v="0"/>
    <x v="0"/>
    <x v="1"/>
    <n v="3191.8758963752866"/>
  </r>
  <r>
    <s v="LP0000267"/>
    <x v="2"/>
    <s v="Yes"/>
    <n v="2"/>
    <x v="1"/>
    <s v="No"/>
    <n v="7537"/>
    <n v="5143"/>
    <n v="302"/>
    <n v="120"/>
    <n v="1"/>
    <x v="0"/>
    <n v="12680"/>
    <x v="0"/>
    <x v="0"/>
    <x v="0"/>
    <x v="0"/>
    <n v="3664.093349531779"/>
  </r>
  <r>
    <s v="LP0000268"/>
    <x v="1"/>
    <s v="No"/>
    <s v="3+"/>
    <x v="0"/>
    <s v="Yes"/>
    <n v="5373"/>
    <n v="4134"/>
    <n v="263"/>
    <n v="360"/>
    <n v="0"/>
    <x v="0"/>
    <n v="9507"/>
    <x v="0"/>
    <x v="0"/>
    <x v="0"/>
    <x v="1"/>
    <n v="1929.8008293027594"/>
  </r>
  <r>
    <s v="LP0000269"/>
    <x v="2"/>
    <s v="No"/>
    <n v="2"/>
    <x v="1"/>
    <s v="No"/>
    <n v="18935"/>
    <n v="468"/>
    <n v="501"/>
    <n v="360"/>
    <n v="0"/>
    <x v="0"/>
    <n v="19403"/>
    <x v="1"/>
    <x v="0"/>
    <x v="1"/>
    <x v="1"/>
    <n v="3676.1605151356753"/>
  </r>
  <r>
    <s v="LP0000270"/>
    <x v="0"/>
    <s v="No"/>
    <n v="0"/>
    <x v="1"/>
    <s v="No"/>
    <n v="5885"/>
    <n v="8293"/>
    <n v="697"/>
    <n v="360"/>
    <n v="0"/>
    <x v="1"/>
    <n v="14178"/>
    <x v="1"/>
    <x v="0"/>
    <x v="1"/>
    <x v="1"/>
    <n v="5114.3390799392519"/>
  </r>
  <r>
    <s v="LP0000271"/>
    <x v="0"/>
    <s v="Yes"/>
    <n v="2"/>
    <x v="0"/>
    <s v="No"/>
    <n v="3215"/>
    <n v="3260"/>
    <n v="531"/>
    <n v="120"/>
    <n v="0"/>
    <x v="0"/>
    <n v="6475"/>
    <x v="1"/>
    <x v="1"/>
    <x v="1"/>
    <x v="1"/>
    <n v="6442.495260269453"/>
  </r>
  <r>
    <s v="LP0000272"/>
    <x v="1"/>
    <s v="No"/>
    <n v="2"/>
    <x v="1"/>
    <s v="No"/>
    <n v="18511"/>
    <n v="7029"/>
    <n v="112"/>
    <n v="120"/>
    <n v="0"/>
    <x v="1"/>
    <n v="25540"/>
    <x v="1"/>
    <x v="0"/>
    <x v="1"/>
    <x v="1"/>
    <n v="1358.8690567799977"/>
  </r>
  <r>
    <s v="LP0000273"/>
    <x v="0"/>
    <s v="No"/>
    <s v="3+"/>
    <x v="1"/>
    <s v="No"/>
    <n v="18815"/>
    <n v="4054"/>
    <n v="340"/>
    <n v="180"/>
    <n v="0"/>
    <x v="1"/>
    <n v="22869"/>
    <x v="0"/>
    <x v="0"/>
    <x v="0"/>
    <x v="1"/>
    <n v="3249.2170867231948"/>
  </r>
  <r>
    <s v="LP0000274"/>
    <x v="2"/>
    <s v="No"/>
    <n v="1"/>
    <x v="1"/>
    <s v="No"/>
    <n v="11339"/>
    <n v="1363"/>
    <n v="74"/>
    <n v="360"/>
    <n v="0"/>
    <x v="1"/>
    <n v="12702"/>
    <x v="0"/>
    <x v="0"/>
    <x v="0"/>
    <x v="1"/>
    <n v="542.98578467073833"/>
  </r>
  <r>
    <s v="LP0000275"/>
    <x v="1"/>
    <s v="No"/>
    <n v="1"/>
    <x v="1"/>
    <s v="Yes"/>
    <n v="7568"/>
    <n v="2213"/>
    <n v="469"/>
    <n v="180"/>
    <n v="1"/>
    <x v="0"/>
    <n v="9781"/>
    <x v="1"/>
    <x v="0"/>
    <x v="1"/>
    <x v="0"/>
    <n v="4482.0082755093481"/>
  </r>
  <r>
    <s v="LP0000276"/>
    <x v="1"/>
    <s v="No"/>
    <n v="0"/>
    <x v="1"/>
    <s v="No"/>
    <n v="12299"/>
    <n v="8147"/>
    <n v="474"/>
    <n v="120"/>
    <n v="0"/>
    <x v="2"/>
    <n v="20446"/>
    <x v="1"/>
    <x v="0"/>
    <x v="1"/>
    <x v="1"/>
    <n v="5750.9279724439184"/>
  </r>
  <r>
    <s v="LP0000277"/>
    <x v="0"/>
    <s v="No"/>
    <n v="1"/>
    <x v="1"/>
    <s v="Yes"/>
    <n v="15147"/>
    <n v="1556"/>
    <n v="416"/>
    <n v="120"/>
    <n v="0"/>
    <x v="1"/>
    <n v="16703"/>
    <x v="1"/>
    <x v="0"/>
    <x v="1"/>
    <x v="1"/>
    <n v="5047.2279251828486"/>
  </r>
  <r>
    <s v="LP0000278"/>
    <x v="0"/>
    <s v="Yes"/>
    <s v="3+"/>
    <x v="0"/>
    <s v="No"/>
    <n v="11832"/>
    <n v="5784"/>
    <n v="91"/>
    <n v="180"/>
    <n v="0"/>
    <x v="1"/>
    <n v="17616"/>
    <x v="1"/>
    <x v="0"/>
    <x v="1"/>
    <x v="1"/>
    <n v="869.64339674061989"/>
  </r>
  <r>
    <s v="LP0000279"/>
    <x v="2"/>
    <s v="No"/>
    <n v="1"/>
    <x v="1"/>
    <s v="No"/>
    <n v="14938"/>
    <n v="1378"/>
    <n v="257"/>
    <n v="120"/>
    <n v="1"/>
    <x v="2"/>
    <n v="16316"/>
    <x v="1"/>
    <x v="0"/>
    <x v="1"/>
    <x v="0"/>
    <n v="3118.1191749326731"/>
  </r>
  <r>
    <s v="LP0000280"/>
    <x v="2"/>
    <s v="No"/>
    <n v="1"/>
    <x v="0"/>
    <s v="No"/>
    <n v="6667"/>
    <n v="3753"/>
    <n v="499"/>
    <n v="360"/>
    <n v="0"/>
    <x v="0"/>
    <n v="10420"/>
    <x v="0"/>
    <x v="0"/>
    <x v="0"/>
    <x v="1"/>
    <n v="3661.4852236580873"/>
  </r>
  <r>
    <s v="LP0000281"/>
    <x v="0"/>
    <s v="Yes"/>
    <n v="1"/>
    <x v="0"/>
    <s v="No"/>
    <n v="6950"/>
    <n v="8665"/>
    <n v="199"/>
    <n v="360"/>
    <n v="0"/>
    <x v="1"/>
    <n v="15615"/>
    <x v="0"/>
    <x v="0"/>
    <x v="0"/>
    <x v="1"/>
    <n v="1460.1915020199588"/>
  </r>
  <r>
    <s v="LP0000282"/>
    <x v="0"/>
    <s v="Yes"/>
    <n v="1"/>
    <x v="1"/>
    <s v="No"/>
    <n v="18210"/>
    <n v="6892"/>
    <n v="161"/>
    <n v="180"/>
    <n v="1"/>
    <x v="1"/>
    <n v="25102"/>
    <x v="1"/>
    <x v="0"/>
    <x v="1"/>
    <x v="0"/>
    <n v="1538.5998557718658"/>
  </r>
  <r>
    <s v="LP0000283"/>
    <x v="2"/>
    <s v="No"/>
    <n v="0"/>
    <x v="1"/>
    <s v="No"/>
    <n v="1717"/>
    <n v="1851"/>
    <n v="250"/>
    <n v="180"/>
    <n v="1"/>
    <x v="2"/>
    <n v="3568"/>
    <x v="1"/>
    <x v="1"/>
    <x v="1"/>
    <x v="0"/>
    <n v="2389.1302108258787"/>
  </r>
  <r>
    <s v="LP0000284"/>
    <x v="0"/>
    <s v="Yes"/>
    <n v="1"/>
    <x v="0"/>
    <s v="No"/>
    <n v="14629"/>
    <n v="6008"/>
    <n v="261"/>
    <n v="120"/>
    <n v="0"/>
    <x v="1"/>
    <n v="20637"/>
    <x v="1"/>
    <x v="0"/>
    <x v="1"/>
    <x v="1"/>
    <n v="3166.650212674816"/>
  </r>
  <r>
    <s v="LP0000285"/>
    <x v="1"/>
    <s v="No"/>
    <n v="2"/>
    <x v="0"/>
    <s v="No"/>
    <n v="3921"/>
    <n v="3606"/>
    <n v="517"/>
    <n v="180"/>
    <n v="1"/>
    <x v="0"/>
    <n v="7527"/>
    <x v="0"/>
    <x v="0"/>
    <x v="0"/>
    <x v="0"/>
    <n v="4940.7212759879176"/>
  </r>
  <r>
    <s v="LP0000286"/>
    <x v="2"/>
    <s v="No"/>
    <s v="3+"/>
    <x v="0"/>
    <s v="Yes"/>
    <n v="6581"/>
    <n v="9195"/>
    <n v="425"/>
    <n v="120"/>
    <n v="0"/>
    <x v="2"/>
    <n v="15776"/>
    <x v="0"/>
    <x v="0"/>
    <x v="0"/>
    <x v="1"/>
    <n v="5156.4227601026696"/>
  </r>
  <r>
    <s v="LP0000287"/>
    <x v="1"/>
    <s v="Yes"/>
    <n v="2"/>
    <x v="1"/>
    <s v="Yes"/>
    <n v="6058"/>
    <n v="5268"/>
    <n v="52"/>
    <n v="120"/>
    <n v="0"/>
    <x v="0"/>
    <n v="11326"/>
    <x v="0"/>
    <x v="0"/>
    <x v="0"/>
    <x v="1"/>
    <n v="630.90349064785607"/>
  </r>
  <r>
    <s v="LP0000288"/>
    <x v="1"/>
    <s v="No"/>
    <s v="3+"/>
    <x v="1"/>
    <s v="No"/>
    <n v="11689"/>
    <n v="385"/>
    <n v="394"/>
    <n v="360"/>
    <n v="0"/>
    <x v="2"/>
    <n v="12074"/>
    <x v="0"/>
    <x v="0"/>
    <x v="0"/>
    <x v="1"/>
    <n v="2891.0324210847425"/>
  </r>
  <r>
    <s v="LP0000289"/>
    <x v="0"/>
    <s v="Yes"/>
    <n v="0"/>
    <x v="1"/>
    <s v="No"/>
    <n v="13245"/>
    <n v="8599"/>
    <n v="457"/>
    <n v="360"/>
    <n v="0"/>
    <x v="1"/>
    <n v="21844"/>
    <x v="1"/>
    <x v="0"/>
    <x v="1"/>
    <x v="1"/>
    <n v="3353.3041026287492"/>
  </r>
  <r>
    <s v="LP0000290"/>
    <x v="0"/>
    <s v="Yes"/>
    <n v="2"/>
    <x v="0"/>
    <s v="No"/>
    <n v="13105"/>
    <n v="9226"/>
    <n v="600"/>
    <n v="180"/>
    <n v="1"/>
    <x v="1"/>
    <n v="22331"/>
    <x v="1"/>
    <x v="0"/>
    <x v="1"/>
    <x v="0"/>
    <n v="5733.912505982109"/>
  </r>
  <r>
    <s v="LP0000291"/>
    <x v="2"/>
    <s v="No"/>
    <n v="2"/>
    <x v="1"/>
    <s v="No"/>
    <n v="18158"/>
    <n v="7530"/>
    <n v="62"/>
    <n v="360"/>
    <n v="1"/>
    <x v="0"/>
    <n v="25688"/>
    <x v="1"/>
    <x v="0"/>
    <x v="1"/>
    <x v="0"/>
    <n v="454.93403580521323"/>
  </r>
  <r>
    <s v="LP0000292"/>
    <x v="0"/>
    <s v="Yes"/>
    <n v="2"/>
    <x v="0"/>
    <s v="No"/>
    <n v="11615"/>
    <n v="492"/>
    <n v="148"/>
    <n v="360"/>
    <n v="0"/>
    <x v="2"/>
    <n v="12107"/>
    <x v="1"/>
    <x v="0"/>
    <x v="1"/>
    <x v="1"/>
    <n v="1085.9715693414767"/>
  </r>
  <r>
    <s v="LP0000293"/>
    <x v="0"/>
    <s v="No"/>
    <n v="0"/>
    <x v="1"/>
    <s v="Yes"/>
    <n v="4721"/>
    <n v="9105"/>
    <n v="523"/>
    <n v="360"/>
    <n v="0"/>
    <x v="1"/>
    <n v="13826"/>
    <x v="1"/>
    <x v="0"/>
    <x v="1"/>
    <x v="1"/>
    <n v="3837.5887213891374"/>
  </r>
  <r>
    <s v="LP0000294"/>
    <x v="2"/>
    <s v="No"/>
    <s v="3+"/>
    <x v="1"/>
    <s v="Yes"/>
    <n v="19551"/>
    <n v="6343"/>
    <n v="180"/>
    <n v="360"/>
    <n v="0"/>
    <x v="0"/>
    <n v="25894"/>
    <x v="0"/>
    <x v="0"/>
    <x v="0"/>
    <x v="1"/>
    <n v="1320.7762329828772"/>
  </r>
  <r>
    <s v="LP0000295"/>
    <x v="1"/>
    <s v="No"/>
    <s v="3+"/>
    <x v="1"/>
    <s v="No"/>
    <n v="7342"/>
    <n v="3828"/>
    <n v="362"/>
    <n v="360"/>
    <n v="0"/>
    <x v="2"/>
    <n v="11170"/>
    <x v="0"/>
    <x v="0"/>
    <x v="0"/>
    <x v="1"/>
    <n v="2656.2277574433419"/>
  </r>
  <r>
    <s v="LP0000296"/>
    <x v="1"/>
    <s v="No"/>
    <n v="1"/>
    <x v="1"/>
    <s v="No"/>
    <n v="18303"/>
    <n v="9668"/>
    <n v="173"/>
    <n v="120"/>
    <n v="1"/>
    <x v="1"/>
    <n v="27971"/>
    <x v="0"/>
    <x v="0"/>
    <x v="0"/>
    <x v="0"/>
    <n v="2098.9673823476746"/>
  </r>
  <r>
    <s v="LP0000297"/>
    <x v="1"/>
    <s v="No"/>
    <s v="3+"/>
    <x v="0"/>
    <s v="No"/>
    <n v="4920"/>
    <n v="6122"/>
    <n v="123"/>
    <n v="360"/>
    <n v="0"/>
    <x v="1"/>
    <n v="11042"/>
    <x v="0"/>
    <x v="0"/>
    <x v="0"/>
    <x v="1"/>
    <n v="902.53042587163281"/>
  </r>
  <r>
    <s v="LP0000298"/>
    <x v="1"/>
    <s v="No"/>
    <n v="2"/>
    <x v="1"/>
    <s v="No"/>
    <n v="1663"/>
    <n v="1622"/>
    <n v="95"/>
    <n v="360"/>
    <n v="1"/>
    <x v="2"/>
    <n v="3285"/>
    <x v="1"/>
    <x v="1"/>
    <x v="1"/>
    <x v="0"/>
    <n v="697.07634518540738"/>
  </r>
  <r>
    <s v="LP0000299"/>
    <x v="0"/>
    <s v="No"/>
    <n v="1"/>
    <x v="1"/>
    <s v="No"/>
    <n v="1603"/>
    <n v="1402"/>
    <n v="370"/>
    <n v="360"/>
    <n v="1"/>
    <x v="1"/>
    <n v="3005"/>
    <x v="0"/>
    <x v="1"/>
    <x v="0"/>
    <x v="0"/>
    <n v="2714.928923353692"/>
  </r>
  <r>
    <s v="LP0000300"/>
    <x v="1"/>
    <s v="No"/>
    <n v="0"/>
    <x v="0"/>
    <s v="Yes"/>
    <n v="14116"/>
    <n v="8636"/>
    <n v="260"/>
    <n v="180"/>
    <n v="0"/>
    <x v="1"/>
    <n v="22752"/>
    <x v="1"/>
    <x v="0"/>
    <x v="1"/>
    <x v="1"/>
    <n v="2484.6954192589137"/>
  </r>
  <r>
    <s v="LP0000301"/>
    <x v="1"/>
    <s v="No"/>
    <n v="2"/>
    <x v="0"/>
    <s v="Yes"/>
    <n v="16015"/>
    <n v="6702"/>
    <n v="421"/>
    <n v="180"/>
    <n v="0"/>
    <x v="2"/>
    <n v="22717"/>
    <x v="1"/>
    <x v="0"/>
    <x v="1"/>
    <x v="1"/>
    <n v="4023.29527503078"/>
  </r>
  <r>
    <s v="LP0000302"/>
    <x v="1"/>
    <s v="No"/>
    <n v="0"/>
    <x v="0"/>
    <s v="No"/>
    <n v="11105"/>
    <n v="9374"/>
    <n v="681"/>
    <n v="180"/>
    <n v="0"/>
    <x v="1"/>
    <n v="20479"/>
    <x v="0"/>
    <x v="0"/>
    <x v="0"/>
    <x v="1"/>
    <n v="6507.9906942896941"/>
  </r>
  <r>
    <s v="LP0000303"/>
    <x v="2"/>
    <s v="No"/>
    <s v="3+"/>
    <x v="1"/>
    <s v="Yes"/>
    <n v="13341"/>
    <n v="7662"/>
    <n v="461"/>
    <n v="360"/>
    <n v="1"/>
    <x v="0"/>
    <n v="21003"/>
    <x v="1"/>
    <x v="0"/>
    <x v="1"/>
    <x v="0"/>
    <n v="3382.6546855839242"/>
  </r>
  <r>
    <s v="LP0000304"/>
    <x v="2"/>
    <s v="Yes"/>
    <n v="0"/>
    <x v="1"/>
    <s v="Yes"/>
    <n v="7684"/>
    <n v="1632"/>
    <n v="186"/>
    <n v="180"/>
    <n v="1"/>
    <x v="2"/>
    <n v="9316"/>
    <x v="0"/>
    <x v="0"/>
    <x v="0"/>
    <x v="0"/>
    <n v="1777.5128768544537"/>
  </r>
  <r>
    <s v="LP0000305"/>
    <x v="2"/>
    <s v="No"/>
    <n v="2"/>
    <x v="0"/>
    <s v="No"/>
    <n v="9404"/>
    <n v="5215"/>
    <n v="76"/>
    <n v="120"/>
    <n v="1"/>
    <x v="1"/>
    <n v="14619"/>
    <x v="1"/>
    <x v="0"/>
    <x v="1"/>
    <x v="0"/>
    <n v="922.08971710071262"/>
  </r>
  <r>
    <s v="LP0000306"/>
    <x v="2"/>
    <s v="Yes"/>
    <n v="1"/>
    <x v="0"/>
    <s v="Yes"/>
    <n v="6340"/>
    <n v="2286"/>
    <n v="252"/>
    <n v="360"/>
    <n v="0"/>
    <x v="2"/>
    <n v="8626"/>
    <x v="0"/>
    <x v="0"/>
    <x v="0"/>
    <x v="1"/>
    <n v="1849.0867261760279"/>
  </r>
  <r>
    <s v="LP0000307"/>
    <x v="2"/>
    <s v="No"/>
    <n v="2"/>
    <x v="0"/>
    <s v="Yes"/>
    <n v="2586"/>
    <n v="1160"/>
    <n v="199"/>
    <n v="180"/>
    <n v="0"/>
    <x v="1"/>
    <n v="3746"/>
    <x v="1"/>
    <x v="1"/>
    <x v="1"/>
    <x v="1"/>
    <n v="1901.7476478173992"/>
  </r>
  <r>
    <s v="LP0000308"/>
    <x v="0"/>
    <s v="Yes"/>
    <n v="1"/>
    <x v="0"/>
    <s v="Yes"/>
    <n v="14605"/>
    <n v="3359"/>
    <n v="441"/>
    <n v="360"/>
    <n v="1"/>
    <x v="1"/>
    <n v="17964"/>
    <x v="0"/>
    <x v="0"/>
    <x v="0"/>
    <x v="0"/>
    <n v="3235.9017708080487"/>
  </r>
  <r>
    <s v="LP0000309"/>
    <x v="1"/>
    <s v="Yes"/>
    <n v="1"/>
    <x v="1"/>
    <s v="No"/>
    <n v="15796"/>
    <n v="9758"/>
    <n v="205"/>
    <n v="360"/>
    <n v="1"/>
    <x v="0"/>
    <n v="25554"/>
    <x v="1"/>
    <x v="0"/>
    <x v="1"/>
    <x v="0"/>
    <n v="1504.2173764527213"/>
  </r>
  <r>
    <s v="LP0000310"/>
    <x v="1"/>
    <s v="No"/>
    <n v="0"/>
    <x v="1"/>
    <s v="No"/>
    <n v="9484"/>
    <n v="1206"/>
    <n v="217"/>
    <n v="360"/>
    <n v="0"/>
    <x v="0"/>
    <n v="10690"/>
    <x v="1"/>
    <x v="0"/>
    <x v="1"/>
    <x v="1"/>
    <n v="1592.2691253182463"/>
  </r>
  <r>
    <s v="LP0000311"/>
    <x v="1"/>
    <s v="No"/>
    <n v="1"/>
    <x v="0"/>
    <s v="No"/>
    <n v="1719"/>
    <n v="6491"/>
    <n v="74"/>
    <n v="180"/>
    <n v="0"/>
    <x v="0"/>
    <n v="8210"/>
    <x v="0"/>
    <x v="0"/>
    <x v="0"/>
    <x v="1"/>
    <n v="707.18254240446015"/>
  </r>
  <r>
    <s v="LP0000312"/>
    <x v="2"/>
    <s v="Yes"/>
    <n v="2"/>
    <x v="1"/>
    <s v="No"/>
    <n v="13431"/>
    <n v="9290"/>
    <n v="109"/>
    <n v="180"/>
    <n v="1"/>
    <x v="0"/>
    <n v="22721"/>
    <x v="0"/>
    <x v="0"/>
    <x v="0"/>
    <x v="0"/>
    <n v="1041.6607719200831"/>
  </r>
  <r>
    <s v="LP0000313"/>
    <x v="0"/>
    <s v="No"/>
    <n v="0"/>
    <x v="1"/>
    <s v="Yes"/>
    <n v="4514"/>
    <n v="2012"/>
    <n v="271"/>
    <n v="360"/>
    <n v="0"/>
    <x v="0"/>
    <n v="6526"/>
    <x v="0"/>
    <x v="1"/>
    <x v="0"/>
    <x v="1"/>
    <n v="1988.5019952131095"/>
  </r>
  <r>
    <s v="LP0000314"/>
    <x v="1"/>
    <s v="No"/>
    <s v="3+"/>
    <x v="0"/>
    <s v="No"/>
    <n v="14016"/>
    <n v="1251"/>
    <n v="418"/>
    <n v="360"/>
    <n v="1"/>
    <x v="2"/>
    <n v="15267"/>
    <x v="1"/>
    <x v="0"/>
    <x v="1"/>
    <x v="0"/>
    <n v="3067.1359188157921"/>
  </r>
  <r>
    <s v="LP0000315"/>
    <x v="1"/>
    <s v="No"/>
    <s v="3+"/>
    <x v="0"/>
    <s v="No"/>
    <n v="4992"/>
    <n v="6482"/>
    <n v="86"/>
    <n v="360"/>
    <n v="0"/>
    <x v="2"/>
    <n v="11474"/>
    <x v="1"/>
    <x v="0"/>
    <x v="1"/>
    <x v="1"/>
    <n v="631.0375335362636"/>
  </r>
  <r>
    <s v="LP0000316"/>
    <x v="0"/>
    <s v="No"/>
    <s v="3+"/>
    <x v="1"/>
    <s v="No"/>
    <n v="2344"/>
    <n v="4274"/>
    <n v="364"/>
    <n v="360"/>
    <n v="0"/>
    <x v="0"/>
    <n v="6618"/>
    <x v="1"/>
    <x v="1"/>
    <x v="1"/>
    <x v="1"/>
    <n v="2670.903048920929"/>
  </r>
  <r>
    <s v="LP0000317"/>
    <x v="1"/>
    <s v="No"/>
    <n v="1"/>
    <x v="1"/>
    <s v="No"/>
    <n v="14902"/>
    <n v="7673"/>
    <n v="253"/>
    <n v="180"/>
    <n v="0"/>
    <x v="0"/>
    <n v="22575"/>
    <x v="1"/>
    <x v="0"/>
    <x v="1"/>
    <x v="1"/>
    <n v="2417.7997733557895"/>
  </r>
  <r>
    <s v="LP0000318"/>
    <x v="1"/>
    <s v="No"/>
    <n v="2"/>
    <x v="0"/>
    <s v="No"/>
    <n v="8667"/>
    <n v="2912"/>
    <n v="572"/>
    <n v="120"/>
    <n v="1"/>
    <x v="1"/>
    <n v="11579"/>
    <x v="0"/>
    <x v="0"/>
    <x v="0"/>
    <x v="0"/>
    <n v="6939.938397126416"/>
  </r>
  <r>
    <s v="LP0000319"/>
    <x v="2"/>
    <s v="Yes"/>
    <s v="3+"/>
    <x v="1"/>
    <s v="No"/>
    <n v="11592"/>
    <n v="873"/>
    <n v="325"/>
    <n v="120"/>
    <n v="0"/>
    <x v="2"/>
    <n v="12465"/>
    <x v="1"/>
    <x v="0"/>
    <x v="1"/>
    <x v="1"/>
    <n v="3943.1468165491005"/>
  </r>
  <r>
    <s v="LP0000320"/>
    <x v="0"/>
    <s v="No"/>
    <n v="2"/>
    <x v="0"/>
    <s v="No"/>
    <n v="12714"/>
    <n v="2682"/>
    <n v="383"/>
    <n v="120"/>
    <n v="0"/>
    <x v="0"/>
    <n v="15396"/>
    <x v="0"/>
    <x v="0"/>
    <x v="0"/>
    <x v="1"/>
    <n v="4646.8468638101704"/>
  </r>
  <r>
    <s v="LP0000321"/>
    <x v="1"/>
    <s v="No"/>
    <s v="3+"/>
    <x v="1"/>
    <s v="Yes"/>
    <n v="2798"/>
    <n v="3171"/>
    <n v="509"/>
    <n v="180"/>
    <n v="0"/>
    <x v="1"/>
    <n v="5969"/>
    <x v="1"/>
    <x v="1"/>
    <x v="1"/>
    <x v="1"/>
    <n v="4864.2691092414889"/>
  </r>
  <r>
    <s v="LP0000322"/>
    <x v="1"/>
    <s v="Yes"/>
    <n v="1"/>
    <x v="1"/>
    <s v="Yes"/>
    <n v="19443"/>
    <n v="323"/>
    <n v="229"/>
    <n v="180"/>
    <n v="0"/>
    <x v="0"/>
    <n v="19766"/>
    <x v="1"/>
    <x v="0"/>
    <x v="1"/>
    <x v="1"/>
    <n v="2188.4432731165048"/>
  </r>
  <r>
    <s v="LP0000323"/>
    <x v="1"/>
    <s v="No"/>
    <s v="3+"/>
    <x v="1"/>
    <s v="No"/>
    <n v="13895"/>
    <n v="2806"/>
    <n v="137"/>
    <n v="120"/>
    <n v="0"/>
    <x v="1"/>
    <n v="16701"/>
    <x v="1"/>
    <x v="0"/>
    <x v="1"/>
    <x v="1"/>
    <n v="1662.1880426683899"/>
  </r>
  <r>
    <s v="LP0000324"/>
    <x v="1"/>
    <s v="Yes"/>
    <s v="3+"/>
    <x v="1"/>
    <s v="No"/>
    <n v="18012"/>
    <n v="6789"/>
    <n v="252"/>
    <n v="120"/>
    <n v="1"/>
    <x v="1"/>
    <n v="24801"/>
    <x v="1"/>
    <x v="0"/>
    <x v="1"/>
    <x v="0"/>
    <n v="3057.4553777549945"/>
  </r>
  <r>
    <s v="LP0000325"/>
    <x v="1"/>
    <s v="No"/>
    <n v="0"/>
    <x v="1"/>
    <s v="No"/>
    <n v="11259"/>
    <n v="4266"/>
    <n v="164"/>
    <n v="360"/>
    <n v="0"/>
    <x v="1"/>
    <n v="15525"/>
    <x v="0"/>
    <x v="0"/>
    <x v="0"/>
    <x v="1"/>
    <n v="1203.3739011621769"/>
  </r>
  <r>
    <s v="LP0000326"/>
    <x v="2"/>
    <s v="No"/>
    <n v="0"/>
    <x v="0"/>
    <s v="No"/>
    <n v="6761"/>
    <n v="7584"/>
    <n v="660"/>
    <n v="180"/>
    <n v="0"/>
    <x v="2"/>
    <n v="14345"/>
    <x v="0"/>
    <x v="0"/>
    <x v="0"/>
    <x v="1"/>
    <n v="6307.3037565803197"/>
  </r>
  <r>
    <s v="LP0000327"/>
    <x v="1"/>
    <s v="Yes"/>
    <n v="1"/>
    <x v="0"/>
    <s v="No"/>
    <n v="10644"/>
    <n v="9684"/>
    <n v="680"/>
    <n v="180"/>
    <n v="0"/>
    <x v="2"/>
    <n v="20328"/>
    <x v="1"/>
    <x v="0"/>
    <x v="1"/>
    <x v="1"/>
    <n v="6498.4341734463897"/>
  </r>
  <r>
    <s v="LP0000328"/>
    <x v="0"/>
    <s v="No"/>
    <n v="2"/>
    <x v="1"/>
    <s v="No"/>
    <n v="17652"/>
    <n v="3635"/>
    <n v="230"/>
    <n v="180"/>
    <n v="0"/>
    <x v="2"/>
    <n v="21287"/>
    <x v="0"/>
    <x v="0"/>
    <x v="0"/>
    <x v="1"/>
    <n v="2197.9997939598084"/>
  </r>
  <r>
    <s v="LP0000329"/>
    <x v="1"/>
    <s v="No"/>
    <n v="1"/>
    <x v="1"/>
    <s v="No"/>
    <n v="17954"/>
    <n v="5053"/>
    <n v="592"/>
    <n v="180"/>
    <n v="0"/>
    <x v="1"/>
    <n v="23007"/>
    <x v="0"/>
    <x v="0"/>
    <x v="0"/>
    <x v="1"/>
    <n v="5657.4603392356812"/>
  </r>
  <r>
    <s v="LP0000330"/>
    <x v="1"/>
    <s v="Yes"/>
    <n v="1"/>
    <x v="0"/>
    <s v="No"/>
    <n v="4650"/>
    <n v="9335"/>
    <n v="616"/>
    <n v="360"/>
    <n v="0"/>
    <x v="2"/>
    <n v="13985"/>
    <x v="1"/>
    <x v="0"/>
    <x v="1"/>
    <x v="1"/>
    <n v="4519.9897750969576"/>
  </r>
  <r>
    <s v="LP0000331"/>
    <x v="2"/>
    <s v="No"/>
    <n v="0"/>
    <x v="0"/>
    <s v="Yes"/>
    <n v="17348"/>
    <n v="6308"/>
    <n v="489"/>
    <n v="360"/>
    <n v="0"/>
    <x v="1"/>
    <n v="23656"/>
    <x v="0"/>
    <x v="0"/>
    <x v="0"/>
    <x v="1"/>
    <n v="3588.1087662701498"/>
  </r>
  <r>
    <s v="LP0000332"/>
    <x v="1"/>
    <s v="No"/>
    <n v="0"/>
    <x v="0"/>
    <s v="Yes"/>
    <n v="14334"/>
    <n v="5916"/>
    <n v="618"/>
    <n v="120"/>
    <n v="0"/>
    <x v="0"/>
    <n v="20250"/>
    <x v="1"/>
    <x v="0"/>
    <x v="1"/>
    <x v="1"/>
    <n v="7498.0453311610581"/>
  </r>
  <r>
    <s v="LP0000333"/>
    <x v="1"/>
    <s v="No"/>
    <s v="3+"/>
    <x v="1"/>
    <s v="Yes"/>
    <n v="17544"/>
    <n v="5376"/>
    <n v="649"/>
    <n v="120"/>
    <n v="1"/>
    <x v="2"/>
    <n v="22920"/>
    <x v="0"/>
    <x v="0"/>
    <x v="0"/>
    <x v="0"/>
    <n v="7874.160873662664"/>
  </r>
  <r>
    <s v="LP0000334"/>
    <x v="1"/>
    <s v="No"/>
    <n v="0"/>
    <x v="1"/>
    <s v="Yes"/>
    <n v="4994"/>
    <n v="4892"/>
    <n v="656"/>
    <n v="360"/>
    <n v="0"/>
    <x v="2"/>
    <n v="9886"/>
    <x v="0"/>
    <x v="0"/>
    <x v="0"/>
    <x v="1"/>
    <n v="4813.4956046487077"/>
  </r>
  <r>
    <s v="LP0000335"/>
    <x v="2"/>
    <s v="No"/>
    <n v="2"/>
    <x v="1"/>
    <s v="No"/>
    <n v="18839"/>
    <n v="8887"/>
    <n v="565"/>
    <n v="120"/>
    <n v="0"/>
    <x v="0"/>
    <n v="27726"/>
    <x v="1"/>
    <x v="0"/>
    <x v="1"/>
    <x v="1"/>
    <n v="6855.0090810776665"/>
  </r>
  <r>
    <s v="LP0000336"/>
    <x v="0"/>
    <s v="No"/>
    <n v="1"/>
    <x v="0"/>
    <s v="No"/>
    <n v="6182"/>
    <n v="646"/>
    <n v="577"/>
    <n v="180"/>
    <n v="1"/>
    <x v="2"/>
    <n v="6828"/>
    <x v="0"/>
    <x v="1"/>
    <x v="0"/>
    <x v="0"/>
    <n v="5514.1125265861274"/>
  </r>
  <r>
    <s v="LP0000337"/>
    <x v="0"/>
    <s v="No"/>
    <n v="0"/>
    <x v="0"/>
    <s v="No"/>
    <n v="7392"/>
    <n v="4580"/>
    <n v="300"/>
    <n v="180"/>
    <n v="1"/>
    <x v="0"/>
    <n v="11972"/>
    <x v="0"/>
    <x v="0"/>
    <x v="0"/>
    <x v="0"/>
    <n v="2866.9562529910545"/>
  </r>
  <r>
    <s v="LP0000338"/>
    <x v="0"/>
    <s v="No"/>
    <n v="1"/>
    <x v="1"/>
    <s v="Yes"/>
    <n v="12464"/>
    <n v="4959"/>
    <n v="359"/>
    <n v="360"/>
    <n v="1"/>
    <x v="1"/>
    <n v="17423"/>
    <x v="0"/>
    <x v="0"/>
    <x v="0"/>
    <x v="0"/>
    <n v="2634.2148202269605"/>
  </r>
  <r>
    <s v="LP0000339"/>
    <x v="1"/>
    <s v="No"/>
    <n v="0"/>
    <x v="0"/>
    <s v="No"/>
    <n v="6164"/>
    <n v="1706"/>
    <n v="302"/>
    <n v="180"/>
    <n v="0"/>
    <x v="2"/>
    <n v="7870"/>
    <x v="1"/>
    <x v="0"/>
    <x v="1"/>
    <x v="1"/>
    <n v="2886.0692946776612"/>
  </r>
  <r>
    <s v="LP0000340"/>
    <x v="1"/>
    <s v="Yes"/>
    <n v="2"/>
    <x v="1"/>
    <s v="Yes"/>
    <n v="14216"/>
    <n v="7361"/>
    <n v="145"/>
    <n v="180"/>
    <n v="0"/>
    <x v="2"/>
    <n v="21577"/>
    <x v="0"/>
    <x v="0"/>
    <x v="0"/>
    <x v="1"/>
    <n v="1385.6955222790095"/>
  </r>
  <r>
    <s v="LP0000341"/>
    <x v="1"/>
    <s v="No"/>
    <n v="0"/>
    <x v="0"/>
    <s v="No"/>
    <n v="10730"/>
    <n v="2110"/>
    <n v="568"/>
    <n v="360"/>
    <n v="1"/>
    <x v="2"/>
    <n v="12840"/>
    <x v="0"/>
    <x v="0"/>
    <x v="0"/>
    <x v="0"/>
    <n v="4167.7827796348565"/>
  </r>
  <r>
    <s v="LP0000342"/>
    <x v="1"/>
    <s v="Yes"/>
    <n v="0"/>
    <x v="1"/>
    <s v="No"/>
    <n v="10727"/>
    <n v="8996"/>
    <n v="633"/>
    <n v="120"/>
    <n v="0"/>
    <x v="2"/>
    <n v="19723"/>
    <x v="0"/>
    <x v="0"/>
    <x v="0"/>
    <x v="1"/>
    <n v="7680.0367226940944"/>
  </r>
  <r>
    <s v="LP0000343"/>
    <x v="2"/>
    <s v="Yes"/>
    <n v="2"/>
    <x v="0"/>
    <s v="No"/>
    <n v="5214"/>
    <n v="831"/>
    <n v="560"/>
    <n v="180"/>
    <n v="0"/>
    <x v="2"/>
    <n v="6045"/>
    <x v="1"/>
    <x v="1"/>
    <x v="1"/>
    <x v="1"/>
    <n v="5351.6516722499682"/>
  </r>
  <r>
    <s v="LP0000344"/>
    <x v="2"/>
    <s v="No"/>
    <n v="1"/>
    <x v="0"/>
    <s v="No"/>
    <n v="19544"/>
    <n v="299"/>
    <n v="149"/>
    <n v="120"/>
    <n v="1"/>
    <x v="1"/>
    <n v="19843"/>
    <x v="0"/>
    <x v="0"/>
    <x v="0"/>
    <x v="0"/>
    <n v="1807.7811558948183"/>
  </r>
  <r>
    <s v="LP0000345"/>
    <x v="0"/>
    <s v="No"/>
    <n v="0"/>
    <x v="0"/>
    <s v="No"/>
    <n v="7140"/>
    <n v="8499"/>
    <n v="254"/>
    <n v="180"/>
    <n v="1"/>
    <x v="1"/>
    <n v="15639"/>
    <x v="0"/>
    <x v="0"/>
    <x v="0"/>
    <x v="0"/>
    <n v="2427.3562941990926"/>
  </r>
  <r>
    <s v="LP0000346"/>
    <x v="2"/>
    <s v="No"/>
    <s v="3+"/>
    <x v="1"/>
    <s v="No"/>
    <n v="11373"/>
    <n v="8395"/>
    <n v="608"/>
    <n v="360"/>
    <n v="0"/>
    <x v="1"/>
    <n v="19768"/>
    <x v="1"/>
    <x v="0"/>
    <x v="1"/>
    <x v="1"/>
    <n v="4461.2886091866076"/>
  </r>
  <r>
    <s v="LP0000347"/>
    <x v="0"/>
    <s v="No"/>
    <s v="3+"/>
    <x v="0"/>
    <s v="No"/>
    <n v="19100"/>
    <n v="3457"/>
    <n v="59"/>
    <n v="120"/>
    <n v="1"/>
    <x v="2"/>
    <n v="22557"/>
    <x v="0"/>
    <x v="0"/>
    <x v="0"/>
    <x v="0"/>
    <n v="715.83280669660587"/>
  </r>
  <r>
    <s v="LP0000348"/>
    <x v="1"/>
    <s v="Yes"/>
    <s v="3+"/>
    <x v="0"/>
    <s v="No"/>
    <n v="1795"/>
    <n v="1867"/>
    <n v="442"/>
    <n v="360"/>
    <n v="0"/>
    <x v="2"/>
    <n v="3662"/>
    <x v="1"/>
    <x v="1"/>
    <x v="1"/>
    <x v="1"/>
    <n v="3243.2394165468427"/>
  </r>
  <r>
    <s v="LP0000349"/>
    <x v="0"/>
    <s v="Yes"/>
    <n v="0"/>
    <x v="0"/>
    <s v="No"/>
    <n v="9642"/>
    <n v="398"/>
    <n v="219"/>
    <n v="360"/>
    <n v="0"/>
    <x v="1"/>
    <n v="10040"/>
    <x v="0"/>
    <x v="0"/>
    <x v="0"/>
    <x v="1"/>
    <n v="1606.9444167958338"/>
  </r>
  <r>
    <s v="LP0000350"/>
    <x v="0"/>
    <s v="No"/>
    <n v="1"/>
    <x v="1"/>
    <s v="No"/>
    <n v="4607"/>
    <n v="403"/>
    <n v="673"/>
    <n v="120"/>
    <n v="1"/>
    <x v="1"/>
    <n v="5010"/>
    <x v="0"/>
    <x v="1"/>
    <x v="0"/>
    <x v="0"/>
    <n v="8165.3471001155212"/>
  </r>
  <r>
    <s v="LP0000351"/>
    <x v="1"/>
    <s v="No"/>
    <n v="0"/>
    <x v="0"/>
    <s v="No"/>
    <n v="12516"/>
    <n v="3339"/>
    <n v="603"/>
    <n v="120"/>
    <n v="0"/>
    <x v="0"/>
    <n v="15855"/>
    <x v="1"/>
    <x v="0"/>
    <x v="1"/>
    <x v="1"/>
    <n v="7316.0539396280228"/>
  </r>
  <r>
    <s v="LP0000352"/>
    <x v="0"/>
    <s v="No"/>
    <n v="0"/>
    <x v="0"/>
    <s v="No"/>
    <n v="8984"/>
    <n v="4217"/>
    <n v="362"/>
    <n v="180"/>
    <n v="0"/>
    <x v="1"/>
    <n v="13201"/>
    <x v="1"/>
    <x v="0"/>
    <x v="1"/>
    <x v="1"/>
    <n v="3459.4605452758724"/>
  </r>
  <r>
    <s v="LP0000353"/>
    <x v="0"/>
    <s v="No"/>
    <n v="0"/>
    <x v="1"/>
    <s v="No"/>
    <n v="9354"/>
    <n v="2273"/>
    <n v="474"/>
    <n v="360"/>
    <n v="0"/>
    <x v="1"/>
    <n v="11627"/>
    <x v="0"/>
    <x v="0"/>
    <x v="0"/>
    <x v="1"/>
    <n v="3478.0440801882432"/>
  </r>
  <r>
    <s v="LP0000354"/>
    <x v="0"/>
    <s v="Yes"/>
    <n v="2"/>
    <x v="1"/>
    <s v="Yes"/>
    <n v="18353"/>
    <n v="9385"/>
    <n v="592"/>
    <n v="360"/>
    <n v="0"/>
    <x v="0"/>
    <n v="27738"/>
    <x v="1"/>
    <x v="0"/>
    <x v="1"/>
    <x v="1"/>
    <n v="4343.8862773659066"/>
  </r>
  <r>
    <s v="LP0000355"/>
    <x v="1"/>
    <s v="Yes"/>
    <s v="3+"/>
    <x v="1"/>
    <s v="No"/>
    <n v="8844"/>
    <n v="887"/>
    <n v="650"/>
    <n v="120"/>
    <n v="1"/>
    <x v="0"/>
    <n v="9731"/>
    <x v="0"/>
    <x v="0"/>
    <x v="0"/>
    <x v="0"/>
    <n v="7886.2936330982011"/>
  </r>
  <r>
    <s v="LP0000356"/>
    <x v="0"/>
    <s v="No"/>
    <n v="1"/>
    <x v="0"/>
    <s v="No"/>
    <n v="15345"/>
    <n v="1900"/>
    <n v="78"/>
    <n v="360"/>
    <n v="1"/>
    <x v="2"/>
    <n v="17245"/>
    <x v="1"/>
    <x v="0"/>
    <x v="1"/>
    <x v="0"/>
    <n v="572.33636762591345"/>
  </r>
  <r>
    <s v="LP0000357"/>
    <x v="2"/>
    <s v="Yes"/>
    <n v="1"/>
    <x v="1"/>
    <s v="Yes"/>
    <n v="10112"/>
    <n v="4066"/>
    <n v="118"/>
    <n v="180"/>
    <n v="0"/>
    <x v="2"/>
    <n v="14178"/>
    <x v="0"/>
    <x v="0"/>
    <x v="0"/>
    <x v="1"/>
    <n v="1127.6694595098147"/>
  </r>
  <r>
    <s v="LP0000358"/>
    <x v="0"/>
    <s v="No"/>
    <n v="1"/>
    <x v="0"/>
    <s v="Yes"/>
    <n v="6847"/>
    <n v="6122"/>
    <n v="292"/>
    <n v="360"/>
    <n v="1"/>
    <x v="1"/>
    <n v="12969"/>
    <x v="1"/>
    <x v="0"/>
    <x v="1"/>
    <x v="0"/>
    <n v="2142.5925557277783"/>
  </r>
  <r>
    <s v="LP0000359"/>
    <x v="1"/>
    <s v="No"/>
    <n v="0"/>
    <x v="1"/>
    <s v="No"/>
    <n v="12732"/>
    <n v="1751"/>
    <n v="671"/>
    <n v="120"/>
    <n v="0"/>
    <x v="2"/>
    <n v="14483"/>
    <x v="1"/>
    <x v="0"/>
    <x v="1"/>
    <x v="1"/>
    <n v="8141.0815812444489"/>
  </r>
  <r>
    <s v="LP0000360"/>
    <x v="2"/>
    <s v="No"/>
    <n v="1"/>
    <x v="1"/>
    <s v="Yes"/>
    <n v="19509"/>
    <n v="9573"/>
    <n v="624"/>
    <n v="360"/>
    <n v="0"/>
    <x v="2"/>
    <n v="29082"/>
    <x v="1"/>
    <x v="0"/>
    <x v="1"/>
    <x v="1"/>
    <n v="4578.6909410073076"/>
  </r>
  <r>
    <s v="LP0000361"/>
    <x v="1"/>
    <s v="No"/>
    <n v="0"/>
    <x v="0"/>
    <s v="No"/>
    <n v="17651"/>
    <n v="781"/>
    <n v="635"/>
    <n v="120"/>
    <n v="0"/>
    <x v="2"/>
    <n v="18432"/>
    <x v="1"/>
    <x v="0"/>
    <x v="1"/>
    <x v="1"/>
    <n v="7704.3022415651649"/>
  </r>
  <r>
    <s v="LP0000362"/>
    <x v="2"/>
    <s v="No"/>
    <n v="1"/>
    <x v="1"/>
    <s v="No"/>
    <n v="16912"/>
    <n v="8336"/>
    <n v="549"/>
    <n v="120"/>
    <n v="1"/>
    <x v="0"/>
    <n v="25248"/>
    <x v="0"/>
    <x v="0"/>
    <x v="0"/>
    <x v="0"/>
    <n v="6660.884930109095"/>
  </r>
  <r>
    <s v="LP0000363"/>
    <x v="2"/>
    <s v="No"/>
    <n v="2"/>
    <x v="0"/>
    <s v="No"/>
    <n v="8085"/>
    <n v="1969"/>
    <n v="422"/>
    <n v="360"/>
    <n v="0"/>
    <x v="2"/>
    <n v="10054"/>
    <x v="1"/>
    <x v="0"/>
    <x v="1"/>
    <x v="1"/>
    <n v="3096.4865017709676"/>
  </r>
  <r>
    <s v="LP0000364"/>
    <x v="0"/>
    <s v="No"/>
    <s v="3+"/>
    <x v="0"/>
    <s v="No"/>
    <n v="2093"/>
    <n v="7536"/>
    <n v="286"/>
    <n v="180"/>
    <n v="0"/>
    <x v="1"/>
    <n v="9629"/>
    <x v="1"/>
    <x v="0"/>
    <x v="1"/>
    <x v="1"/>
    <n v="2733.1649611848052"/>
  </r>
  <r>
    <s v="LP0000365"/>
    <x v="0"/>
    <s v="No"/>
    <n v="2"/>
    <x v="0"/>
    <s v="No"/>
    <n v="9924"/>
    <n v="7700"/>
    <n v="632"/>
    <n v="360"/>
    <n v="1"/>
    <x v="0"/>
    <n v="17624"/>
    <x v="0"/>
    <x v="0"/>
    <x v="0"/>
    <x v="0"/>
    <n v="4637.3921069176577"/>
  </r>
  <r>
    <s v="LP0000366"/>
    <x v="1"/>
    <s v="No"/>
    <n v="1"/>
    <x v="0"/>
    <s v="No"/>
    <n v="15736"/>
    <n v="121"/>
    <n v="442"/>
    <n v="360"/>
    <n v="1"/>
    <x v="1"/>
    <n v="15857"/>
    <x v="1"/>
    <x v="0"/>
    <x v="1"/>
    <x v="0"/>
    <n v="3243.2394165468427"/>
  </r>
  <r>
    <s v="LP0000367"/>
    <x v="2"/>
    <s v="Yes"/>
    <n v="2"/>
    <x v="0"/>
    <s v="Yes"/>
    <n v="11488"/>
    <n v="1091"/>
    <n v="623"/>
    <n v="180"/>
    <n v="0"/>
    <x v="1"/>
    <n v="12579"/>
    <x v="1"/>
    <x v="0"/>
    <x v="1"/>
    <x v="1"/>
    <n v="5953.7124853780897"/>
  </r>
  <r>
    <s v="LP0000368"/>
    <x v="0"/>
    <s v="No"/>
    <s v="3+"/>
    <x v="0"/>
    <s v="No"/>
    <n v="6294"/>
    <n v="2668"/>
    <n v="628"/>
    <n v="120"/>
    <n v="0"/>
    <x v="1"/>
    <n v="8962"/>
    <x v="1"/>
    <x v="0"/>
    <x v="1"/>
    <x v="1"/>
    <n v="7619.3729255164153"/>
  </r>
  <r>
    <s v="LP0000369"/>
    <x v="0"/>
    <s v="Yes"/>
    <n v="2"/>
    <x v="1"/>
    <s v="No"/>
    <n v="2339"/>
    <n v="6686"/>
    <n v="473"/>
    <n v="120"/>
    <n v="0"/>
    <x v="1"/>
    <n v="9025"/>
    <x v="1"/>
    <x v="0"/>
    <x v="1"/>
    <x v="1"/>
    <n v="5738.7952130083831"/>
  </r>
  <r>
    <s v="LP0000370"/>
    <x v="1"/>
    <s v="No"/>
    <s v="3+"/>
    <x v="0"/>
    <s v="Yes"/>
    <n v="19956"/>
    <n v="7830"/>
    <n v="603"/>
    <n v="360"/>
    <n v="1"/>
    <x v="1"/>
    <n v="27786"/>
    <x v="1"/>
    <x v="0"/>
    <x v="1"/>
    <x v="0"/>
    <n v="4424.6003804926386"/>
  </r>
  <r>
    <s v="LP0000371"/>
    <x v="0"/>
    <s v="No"/>
    <n v="0"/>
    <x v="1"/>
    <s v="Yes"/>
    <n v="5605"/>
    <n v="3613"/>
    <n v="675"/>
    <n v="360"/>
    <n v="0"/>
    <x v="0"/>
    <n v="9218"/>
    <x v="0"/>
    <x v="0"/>
    <x v="0"/>
    <x v="1"/>
    <n v="4952.9108736857888"/>
  </r>
  <r>
    <s v="LP0000372"/>
    <x v="0"/>
    <s v="No"/>
    <n v="0"/>
    <x v="0"/>
    <s v="Yes"/>
    <n v="18435"/>
    <n v="7247"/>
    <n v="557"/>
    <n v="120"/>
    <n v="0"/>
    <x v="0"/>
    <n v="25682"/>
    <x v="0"/>
    <x v="0"/>
    <x v="0"/>
    <x v="1"/>
    <n v="6757.9470055933807"/>
  </r>
  <r>
    <s v="LP0000373"/>
    <x v="1"/>
    <s v="Yes"/>
    <n v="0"/>
    <x v="1"/>
    <s v="No"/>
    <n v="5234"/>
    <n v="9377"/>
    <n v="307"/>
    <n v="360"/>
    <n v="0"/>
    <x v="0"/>
    <n v="14611"/>
    <x v="0"/>
    <x v="0"/>
    <x v="0"/>
    <x v="1"/>
    <n v="2252.6572418096848"/>
  </r>
  <r>
    <s v="LP0000374"/>
    <x v="0"/>
    <s v="No"/>
    <n v="1"/>
    <x v="0"/>
    <s v="Yes"/>
    <n v="17587"/>
    <n v="1074"/>
    <n v="367"/>
    <n v="360"/>
    <n v="0"/>
    <x v="2"/>
    <n v="18661"/>
    <x v="0"/>
    <x v="0"/>
    <x v="0"/>
    <x v="1"/>
    <n v="2692.9159861373109"/>
  </r>
  <r>
    <s v="LP0000375"/>
    <x v="1"/>
    <s v="No"/>
    <n v="0"/>
    <x v="0"/>
    <s v="No"/>
    <n v="4295"/>
    <n v="4295"/>
    <n v="614"/>
    <n v="360"/>
    <n v="0"/>
    <x v="0"/>
    <n v="8590"/>
    <x v="1"/>
    <x v="0"/>
    <x v="1"/>
    <x v="1"/>
    <n v="4505.3144836193696"/>
  </r>
  <r>
    <s v="LP0000376"/>
    <x v="0"/>
    <s v="Yes"/>
    <s v="3+"/>
    <x v="0"/>
    <s v="No"/>
    <n v="2921"/>
    <n v="9254"/>
    <n v="570"/>
    <n v="120"/>
    <n v="0"/>
    <x v="0"/>
    <n v="12175"/>
    <x v="0"/>
    <x v="0"/>
    <x v="0"/>
    <x v="1"/>
    <n v="6915.6728782553446"/>
  </r>
  <r>
    <s v="LP0000377"/>
    <x v="2"/>
    <s v="Yes"/>
    <n v="1"/>
    <x v="0"/>
    <s v="Yes"/>
    <n v="13546"/>
    <n v="535"/>
    <n v="304"/>
    <n v="360"/>
    <n v="0"/>
    <x v="2"/>
    <n v="14081"/>
    <x v="1"/>
    <x v="0"/>
    <x v="1"/>
    <x v="1"/>
    <n v="2230.6443045933038"/>
  </r>
  <r>
    <s v="LP0000378"/>
    <x v="2"/>
    <s v="No"/>
    <s v="3+"/>
    <x v="1"/>
    <s v="No"/>
    <n v="17366"/>
    <n v="4374"/>
    <n v="205"/>
    <n v="180"/>
    <n v="1"/>
    <x v="0"/>
    <n v="21740"/>
    <x v="0"/>
    <x v="0"/>
    <x v="0"/>
    <x v="0"/>
    <n v="1959.0867728772205"/>
  </r>
  <r>
    <s v="LP0000379"/>
    <x v="1"/>
    <s v="Yes"/>
    <n v="0"/>
    <x v="0"/>
    <s v="No"/>
    <n v="2064"/>
    <n v="3697"/>
    <n v="148"/>
    <n v="360"/>
    <n v="0"/>
    <x v="0"/>
    <n v="5761"/>
    <x v="1"/>
    <x v="1"/>
    <x v="1"/>
    <x v="1"/>
    <n v="1085.9715693414767"/>
  </r>
  <r>
    <s v="LP0000380"/>
    <x v="0"/>
    <s v="No"/>
    <n v="2"/>
    <x v="0"/>
    <s v="Yes"/>
    <n v="15786"/>
    <n v="9963"/>
    <n v="698"/>
    <n v="120"/>
    <n v="1"/>
    <x v="0"/>
    <n v="25749"/>
    <x v="0"/>
    <x v="0"/>
    <x v="0"/>
    <x v="0"/>
    <n v="8468.6660860039137"/>
  </r>
  <r>
    <s v="LP0000381"/>
    <x v="2"/>
    <s v="Yes"/>
    <s v="3+"/>
    <x v="0"/>
    <s v="No"/>
    <n v="3481"/>
    <n v="2283"/>
    <n v="169"/>
    <n v="180"/>
    <n v="0"/>
    <x v="2"/>
    <n v="5764"/>
    <x v="1"/>
    <x v="1"/>
    <x v="1"/>
    <x v="1"/>
    <n v="1615.0520225182938"/>
  </r>
  <r>
    <s v="LP0000382"/>
    <x v="2"/>
    <s v="No"/>
    <n v="2"/>
    <x v="1"/>
    <s v="No"/>
    <n v="5332"/>
    <n v="485"/>
    <n v="426"/>
    <n v="120"/>
    <n v="0"/>
    <x v="0"/>
    <n v="5817"/>
    <x v="0"/>
    <x v="1"/>
    <x v="0"/>
    <x v="1"/>
    <n v="5168.5555195382049"/>
  </r>
  <r>
    <s v="LP0000383"/>
    <x v="2"/>
    <s v="Yes"/>
    <n v="1"/>
    <x v="1"/>
    <s v="Yes"/>
    <n v="11933"/>
    <n v="5596"/>
    <n v="600"/>
    <n v="120"/>
    <n v="0"/>
    <x v="0"/>
    <n v="17529"/>
    <x v="1"/>
    <x v="0"/>
    <x v="1"/>
    <x v="1"/>
    <n v="7279.6556613214152"/>
  </r>
  <r>
    <s v="LP0000384"/>
    <x v="0"/>
    <s v="No"/>
    <n v="2"/>
    <x v="0"/>
    <s v="No"/>
    <n v="6383"/>
    <n v="8523"/>
    <n v="269"/>
    <n v="180"/>
    <n v="0"/>
    <x v="1"/>
    <n v="14906"/>
    <x v="1"/>
    <x v="0"/>
    <x v="1"/>
    <x v="1"/>
    <n v="2570.7041068486456"/>
  </r>
  <r>
    <s v="LP0000385"/>
    <x v="0"/>
    <s v="Yes"/>
    <n v="1"/>
    <x v="1"/>
    <s v="No"/>
    <n v="12687"/>
    <n v="463"/>
    <n v="452"/>
    <n v="180"/>
    <n v="0"/>
    <x v="0"/>
    <n v="13150"/>
    <x v="1"/>
    <x v="0"/>
    <x v="1"/>
    <x v="1"/>
    <n v="4319.547421173188"/>
  </r>
  <r>
    <s v="LP0000386"/>
    <x v="2"/>
    <s v="No"/>
    <n v="1"/>
    <x v="0"/>
    <s v="Yes"/>
    <n v="7921"/>
    <n v="2299"/>
    <n v="177"/>
    <n v="360"/>
    <n v="0"/>
    <x v="1"/>
    <n v="10220"/>
    <x v="1"/>
    <x v="0"/>
    <x v="1"/>
    <x v="1"/>
    <n v="1298.763295766496"/>
  </r>
  <r>
    <s v="LP0000387"/>
    <x v="0"/>
    <s v="No"/>
    <n v="0"/>
    <x v="0"/>
    <s v="No"/>
    <n v="10500"/>
    <n v="6215"/>
    <n v="611"/>
    <n v="360"/>
    <n v="0"/>
    <x v="1"/>
    <n v="16715"/>
    <x v="1"/>
    <x v="0"/>
    <x v="1"/>
    <x v="1"/>
    <n v="4483.3015464029886"/>
  </r>
  <r>
    <s v="LP0000388"/>
    <x v="2"/>
    <s v="No"/>
    <n v="0"/>
    <x v="1"/>
    <s v="Yes"/>
    <n v="7274"/>
    <n v="2053"/>
    <n v="139"/>
    <n v="360"/>
    <n v="0"/>
    <x v="1"/>
    <n v="9327"/>
    <x v="1"/>
    <x v="0"/>
    <x v="1"/>
    <x v="1"/>
    <n v="1019.9327576923329"/>
  </r>
  <r>
    <s v="LP0000389"/>
    <x v="2"/>
    <s v="No"/>
    <n v="1"/>
    <x v="1"/>
    <s v="No"/>
    <n v="11089"/>
    <n v="1212"/>
    <n v="408"/>
    <n v="120"/>
    <n v="0"/>
    <x v="1"/>
    <n v="12301"/>
    <x v="1"/>
    <x v="0"/>
    <x v="1"/>
    <x v="1"/>
    <n v="4950.1658496985629"/>
  </r>
  <r>
    <s v="LP0000390"/>
    <x v="1"/>
    <s v="Yes"/>
    <n v="0"/>
    <x v="0"/>
    <s v="Yes"/>
    <n v="18047"/>
    <n v="5671"/>
    <n v="422"/>
    <n v="360"/>
    <n v="0"/>
    <x v="1"/>
    <n v="23718"/>
    <x v="0"/>
    <x v="0"/>
    <x v="0"/>
    <x v="1"/>
    <n v="3096.4865017709676"/>
  </r>
  <r>
    <s v="LP0000391"/>
    <x v="0"/>
    <s v="No"/>
    <n v="1"/>
    <x v="1"/>
    <s v="No"/>
    <n v="2104"/>
    <n v="417"/>
    <n v="230"/>
    <n v="360"/>
    <n v="0"/>
    <x v="1"/>
    <n v="2521"/>
    <x v="0"/>
    <x v="2"/>
    <x v="0"/>
    <x v="1"/>
    <n v="1687.6585199225653"/>
  </r>
  <r>
    <s v="LP0000392"/>
    <x v="0"/>
    <s v="Yes"/>
    <n v="0"/>
    <x v="1"/>
    <s v="Yes"/>
    <n v="17127"/>
    <n v="6427"/>
    <n v="689"/>
    <n v="120"/>
    <n v="0"/>
    <x v="1"/>
    <n v="23554"/>
    <x v="0"/>
    <x v="0"/>
    <x v="0"/>
    <x v="1"/>
    <n v="8359.4712510840927"/>
  </r>
  <r>
    <s v="LP0000393"/>
    <x v="1"/>
    <s v="No"/>
    <s v="3+"/>
    <x v="1"/>
    <s v="Yes"/>
    <n v="16987"/>
    <n v="9516"/>
    <n v="482"/>
    <n v="360"/>
    <n v="0"/>
    <x v="2"/>
    <n v="26503"/>
    <x v="0"/>
    <x v="0"/>
    <x v="0"/>
    <x v="1"/>
    <n v="3536.7452460985937"/>
  </r>
  <r>
    <s v="LP0000394"/>
    <x v="0"/>
    <s v="No"/>
    <s v="3+"/>
    <x v="0"/>
    <s v="No"/>
    <n v="11010"/>
    <n v="9279"/>
    <n v="502"/>
    <n v="360"/>
    <n v="0"/>
    <x v="0"/>
    <n v="20289"/>
    <x v="1"/>
    <x v="0"/>
    <x v="1"/>
    <x v="1"/>
    <n v="3683.4981608744683"/>
  </r>
  <r>
    <s v="LP0000395"/>
    <x v="0"/>
    <s v="Yes"/>
    <s v="3+"/>
    <x v="0"/>
    <s v="No"/>
    <n v="10161"/>
    <n v="9014"/>
    <n v="147"/>
    <n v="180"/>
    <n v="0"/>
    <x v="0"/>
    <n v="19175"/>
    <x v="1"/>
    <x v="0"/>
    <x v="1"/>
    <x v="1"/>
    <n v="1404.8085639656167"/>
  </r>
  <r>
    <s v="LP0000396"/>
    <x v="2"/>
    <s v="No"/>
    <n v="2"/>
    <x v="1"/>
    <s v="Yes"/>
    <n v="16037"/>
    <n v="4942"/>
    <n v="563"/>
    <n v="360"/>
    <n v="0"/>
    <x v="0"/>
    <n v="20979"/>
    <x v="0"/>
    <x v="0"/>
    <x v="0"/>
    <x v="1"/>
    <n v="4131.0945509408884"/>
  </r>
  <r>
    <s v="LP0000397"/>
    <x v="1"/>
    <s v="No"/>
    <n v="1"/>
    <x v="1"/>
    <s v="Yes"/>
    <n v="3280"/>
    <n v="9954"/>
    <n v="552"/>
    <n v="120"/>
    <n v="0"/>
    <x v="2"/>
    <n v="13234"/>
    <x v="0"/>
    <x v="0"/>
    <x v="0"/>
    <x v="1"/>
    <n v="6697.2832084157017"/>
  </r>
  <r>
    <s v="LP0000398"/>
    <x v="0"/>
    <s v="Yes"/>
    <s v="3+"/>
    <x v="0"/>
    <s v="Yes"/>
    <n v="9320"/>
    <n v="9269"/>
    <n v="323"/>
    <n v="360"/>
    <n v="1"/>
    <x v="1"/>
    <n v="18589"/>
    <x v="0"/>
    <x v="0"/>
    <x v="0"/>
    <x v="0"/>
    <n v="2370.0595736303849"/>
  </r>
  <r>
    <s v="LP0000399"/>
    <x v="1"/>
    <s v="Yes"/>
    <n v="1"/>
    <x v="0"/>
    <s v="No"/>
    <n v="18012"/>
    <n v="1740"/>
    <n v="590"/>
    <n v="120"/>
    <n v="0"/>
    <x v="0"/>
    <n v="19752"/>
    <x v="0"/>
    <x v="0"/>
    <x v="0"/>
    <x v="1"/>
    <n v="7158.3280669660589"/>
  </r>
  <r>
    <s v="LP0000400"/>
    <x v="0"/>
    <s v="No"/>
    <s v="3+"/>
    <x v="0"/>
    <s v="Yes"/>
    <n v="19166"/>
    <n v="2877"/>
    <n v="625"/>
    <n v="360"/>
    <n v="1"/>
    <x v="2"/>
    <n v="22043"/>
    <x v="1"/>
    <x v="0"/>
    <x v="1"/>
    <x v="0"/>
    <n v="4586.0285867461016"/>
  </r>
  <r>
    <s v="LP0000401"/>
    <x v="1"/>
    <s v="No"/>
    <n v="0"/>
    <x v="1"/>
    <s v="Yes"/>
    <n v="19423"/>
    <n v="9934"/>
    <n v="179"/>
    <n v="180"/>
    <n v="0"/>
    <x v="1"/>
    <n v="29357"/>
    <x v="0"/>
    <x v="0"/>
    <x v="0"/>
    <x v="1"/>
    <n v="1710.617230951329"/>
  </r>
  <r>
    <s v="LP0000402"/>
    <x v="0"/>
    <s v="Yes"/>
    <s v="3+"/>
    <x v="1"/>
    <s v="Yes"/>
    <n v="11997"/>
    <n v="8712"/>
    <n v="442"/>
    <n v="180"/>
    <n v="0"/>
    <x v="0"/>
    <n v="20709"/>
    <x v="0"/>
    <x v="0"/>
    <x v="0"/>
    <x v="1"/>
    <n v="4223.982212740154"/>
  </r>
  <r>
    <s v="LP0000403"/>
    <x v="1"/>
    <s v="No"/>
    <n v="1"/>
    <x v="0"/>
    <s v="Yes"/>
    <n v="12600"/>
    <n v="7535"/>
    <n v="296"/>
    <n v="360"/>
    <n v="0"/>
    <x v="2"/>
    <n v="20135"/>
    <x v="0"/>
    <x v="0"/>
    <x v="0"/>
    <x v="1"/>
    <n v="2171.9431386829533"/>
  </r>
  <r>
    <s v="LP0000404"/>
    <x v="1"/>
    <s v="Yes"/>
    <n v="0"/>
    <x v="1"/>
    <s v="No"/>
    <n v="16889"/>
    <n v="3592"/>
    <n v="625"/>
    <n v="360"/>
    <n v="1"/>
    <x v="0"/>
    <n v="20481"/>
    <x v="0"/>
    <x v="0"/>
    <x v="0"/>
    <x v="0"/>
    <n v="4586.0285867461016"/>
  </r>
  <r>
    <s v="LP0000405"/>
    <x v="2"/>
    <s v="Yes"/>
    <n v="0"/>
    <x v="0"/>
    <s v="No"/>
    <n v="17019"/>
    <n v="5515"/>
    <n v="86"/>
    <n v="180"/>
    <n v="0"/>
    <x v="0"/>
    <n v="22534"/>
    <x v="0"/>
    <x v="0"/>
    <x v="0"/>
    <x v="1"/>
    <n v="821.86079252410218"/>
  </r>
  <r>
    <s v="LP0000406"/>
    <x v="2"/>
    <s v="Yes"/>
    <n v="2"/>
    <x v="1"/>
    <s v="No"/>
    <n v="15016"/>
    <n v="7783"/>
    <n v="664"/>
    <n v="360"/>
    <n v="1"/>
    <x v="1"/>
    <n v="22799"/>
    <x v="1"/>
    <x v="0"/>
    <x v="1"/>
    <x v="0"/>
    <n v="4872.1967705590578"/>
  </r>
  <r>
    <s v="LP0000407"/>
    <x v="0"/>
    <s v="No"/>
    <n v="0"/>
    <x v="1"/>
    <s v="No"/>
    <n v="5585"/>
    <n v="9967"/>
    <n v="194"/>
    <n v="360"/>
    <n v="0"/>
    <x v="2"/>
    <n v="15552"/>
    <x v="1"/>
    <x v="0"/>
    <x v="1"/>
    <x v="1"/>
    <n v="1423.5032733259898"/>
  </r>
  <r>
    <s v="LP0000408"/>
    <x v="1"/>
    <s v="No"/>
    <n v="2"/>
    <x v="1"/>
    <s v="Yes"/>
    <n v="9838"/>
    <n v="6996"/>
    <n v="562"/>
    <n v="360"/>
    <n v="1"/>
    <x v="2"/>
    <n v="16834"/>
    <x v="0"/>
    <x v="0"/>
    <x v="0"/>
    <x v="0"/>
    <n v="4123.7569052020945"/>
  </r>
  <r>
    <s v="LP0000409"/>
    <x v="1"/>
    <s v="Yes"/>
    <s v="3+"/>
    <x v="0"/>
    <s v="No"/>
    <n v="19480"/>
    <n v="1190"/>
    <n v="573"/>
    <n v="120"/>
    <n v="0"/>
    <x v="1"/>
    <n v="20670"/>
    <x v="0"/>
    <x v="0"/>
    <x v="0"/>
    <x v="1"/>
    <n v="6952.0711565619522"/>
  </r>
  <r>
    <s v="LP0000410"/>
    <x v="2"/>
    <s v="Yes"/>
    <n v="2"/>
    <x v="1"/>
    <s v="Yes"/>
    <n v="9918"/>
    <n v="57"/>
    <n v="93"/>
    <n v="360"/>
    <n v="0"/>
    <x v="1"/>
    <n v="9975"/>
    <x v="0"/>
    <x v="0"/>
    <x v="0"/>
    <x v="1"/>
    <n v="682.40105370781987"/>
  </r>
  <r>
    <s v="LP0000411"/>
    <x v="2"/>
    <s v="Yes"/>
    <s v="3+"/>
    <x v="0"/>
    <s v="No"/>
    <n v="8393"/>
    <n v="7236"/>
    <n v="124"/>
    <n v="360"/>
    <n v="0"/>
    <x v="2"/>
    <n v="15629"/>
    <x v="0"/>
    <x v="0"/>
    <x v="0"/>
    <x v="1"/>
    <n v="909.86807161042645"/>
  </r>
  <r>
    <s v="LP0000412"/>
    <x v="1"/>
    <s v="Yes"/>
    <n v="0"/>
    <x v="0"/>
    <s v="Yes"/>
    <n v="7069"/>
    <n v="7378"/>
    <n v="255"/>
    <n v="180"/>
    <n v="1"/>
    <x v="2"/>
    <n v="14447"/>
    <x v="1"/>
    <x v="0"/>
    <x v="1"/>
    <x v="0"/>
    <n v="2436.9128150423962"/>
  </r>
  <r>
    <s v="LP0000413"/>
    <x v="1"/>
    <s v="No"/>
    <n v="1"/>
    <x v="1"/>
    <s v="No"/>
    <n v="19561"/>
    <n v="3368"/>
    <n v="275"/>
    <n v="180"/>
    <n v="0"/>
    <x v="0"/>
    <n v="22929"/>
    <x v="1"/>
    <x v="0"/>
    <x v="1"/>
    <x v="1"/>
    <n v="2628.0432319084666"/>
  </r>
  <r>
    <s v="LP0000414"/>
    <x v="0"/>
    <s v="No"/>
    <n v="2"/>
    <x v="1"/>
    <s v="No"/>
    <n v="17812"/>
    <n v="2194"/>
    <n v="83"/>
    <n v="360"/>
    <n v="0"/>
    <x v="1"/>
    <n v="20006"/>
    <x v="0"/>
    <x v="0"/>
    <x v="0"/>
    <x v="1"/>
    <n v="609.02459631988222"/>
  </r>
  <r>
    <s v="LP0000415"/>
    <x v="1"/>
    <s v="No"/>
    <s v="3+"/>
    <x v="1"/>
    <s v="No"/>
    <n v="9498"/>
    <n v="7399"/>
    <n v="411"/>
    <n v="120"/>
    <n v="1"/>
    <x v="1"/>
    <n v="16897"/>
    <x v="1"/>
    <x v="0"/>
    <x v="1"/>
    <x v="0"/>
    <n v="4986.5641280051696"/>
  </r>
  <r>
    <s v="LP0000416"/>
    <x v="1"/>
    <s v="Yes"/>
    <n v="1"/>
    <x v="1"/>
    <s v="No"/>
    <n v="3274"/>
    <n v="760"/>
    <n v="408"/>
    <n v="360"/>
    <n v="0"/>
    <x v="1"/>
    <n v="4034"/>
    <x v="1"/>
    <x v="1"/>
    <x v="1"/>
    <x v="1"/>
    <n v="2993.7594614278551"/>
  </r>
  <r>
    <s v="LP0000417"/>
    <x v="1"/>
    <s v="No"/>
    <n v="0"/>
    <x v="1"/>
    <s v="No"/>
    <n v="11055"/>
    <n v="8204"/>
    <n v="322"/>
    <n v="120"/>
    <n v="0"/>
    <x v="0"/>
    <n v="19259"/>
    <x v="1"/>
    <x v="0"/>
    <x v="1"/>
    <x v="1"/>
    <n v="3906.7485382424934"/>
  </r>
  <r>
    <s v="LP0000418"/>
    <x v="0"/>
    <s v="No"/>
    <n v="0"/>
    <x v="1"/>
    <s v="No"/>
    <n v="16638"/>
    <n v="8442"/>
    <n v="616"/>
    <n v="360"/>
    <n v="0"/>
    <x v="1"/>
    <n v="25080"/>
    <x v="1"/>
    <x v="0"/>
    <x v="1"/>
    <x v="1"/>
    <n v="4519.9897750969576"/>
  </r>
  <r>
    <s v="LP0000419"/>
    <x v="2"/>
    <s v="No"/>
    <n v="0"/>
    <x v="0"/>
    <s v="No"/>
    <n v="6678"/>
    <n v="2961"/>
    <n v="145"/>
    <n v="360"/>
    <n v="0"/>
    <x v="2"/>
    <n v="9639"/>
    <x v="1"/>
    <x v="0"/>
    <x v="1"/>
    <x v="1"/>
    <n v="1063.9586321250956"/>
  </r>
  <r>
    <s v="LP0000420"/>
    <x v="1"/>
    <s v="No"/>
    <n v="0"/>
    <x v="0"/>
    <s v="No"/>
    <n v="3325"/>
    <n v="5113"/>
    <n v="533"/>
    <n v="120"/>
    <n v="1"/>
    <x v="0"/>
    <n v="8438"/>
    <x v="0"/>
    <x v="0"/>
    <x v="0"/>
    <x v="0"/>
    <n v="6466.7607791405244"/>
  </r>
  <r>
    <s v="LP0000421"/>
    <x v="1"/>
    <s v="Yes"/>
    <s v="3+"/>
    <x v="0"/>
    <s v="No"/>
    <n v="14219"/>
    <n v="8918"/>
    <n v="240"/>
    <n v="120"/>
    <n v="0"/>
    <x v="1"/>
    <n v="23137"/>
    <x v="0"/>
    <x v="0"/>
    <x v="0"/>
    <x v="1"/>
    <n v="2911.8622645285664"/>
  </r>
  <r>
    <s v="LP0000422"/>
    <x v="0"/>
    <s v="Yes"/>
    <n v="1"/>
    <x v="0"/>
    <s v="No"/>
    <n v="11910"/>
    <n v="3779"/>
    <n v="538"/>
    <n v="180"/>
    <n v="0"/>
    <x v="1"/>
    <n v="15689"/>
    <x v="0"/>
    <x v="0"/>
    <x v="0"/>
    <x v="1"/>
    <n v="5141.4082136972911"/>
  </r>
  <r>
    <s v="LP0000423"/>
    <x v="1"/>
    <s v="No"/>
    <n v="1"/>
    <x v="1"/>
    <s v="Yes"/>
    <n v="13192"/>
    <n v="3081"/>
    <n v="317"/>
    <n v="360"/>
    <n v="0"/>
    <x v="2"/>
    <n v="16273"/>
    <x v="1"/>
    <x v="0"/>
    <x v="1"/>
    <x v="1"/>
    <n v="2326.0336991976228"/>
  </r>
  <r>
    <s v="LP0000424"/>
    <x v="0"/>
    <s v="No"/>
    <s v="3+"/>
    <x v="0"/>
    <s v="No"/>
    <n v="3583"/>
    <n v="3659"/>
    <n v="85"/>
    <n v="180"/>
    <n v="1"/>
    <x v="1"/>
    <n v="7242"/>
    <x v="1"/>
    <x v="0"/>
    <x v="1"/>
    <x v="0"/>
    <n v="812.30427168079871"/>
  </r>
  <r>
    <s v="LP0000425"/>
    <x v="0"/>
    <s v="No"/>
    <n v="2"/>
    <x v="1"/>
    <s v="Yes"/>
    <n v="14746"/>
    <n v="6743"/>
    <n v="227"/>
    <n v="180"/>
    <n v="1"/>
    <x v="0"/>
    <n v="21489"/>
    <x v="0"/>
    <x v="0"/>
    <x v="0"/>
    <x v="0"/>
    <n v="2169.3302314298976"/>
  </r>
  <r>
    <s v="LP0000426"/>
    <x v="0"/>
    <s v="No"/>
    <n v="0"/>
    <x v="1"/>
    <s v="Yes"/>
    <n v="11387"/>
    <n v="7711"/>
    <n v="493"/>
    <n v="360"/>
    <n v="1"/>
    <x v="1"/>
    <n v="19098"/>
    <x v="0"/>
    <x v="0"/>
    <x v="0"/>
    <x v="0"/>
    <n v="3617.4593492253243"/>
  </r>
  <r>
    <s v="LP0000427"/>
    <x v="0"/>
    <s v="No"/>
    <n v="1"/>
    <x v="0"/>
    <s v="No"/>
    <n v="4305"/>
    <n v="9095"/>
    <n v="250"/>
    <n v="120"/>
    <n v="1"/>
    <x v="1"/>
    <n v="13400"/>
    <x v="0"/>
    <x v="0"/>
    <x v="0"/>
    <x v="0"/>
    <n v="3033.1898588839231"/>
  </r>
  <r>
    <s v="LP0000428"/>
    <x v="0"/>
    <s v="No"/>
    <n v="1"/>
    <x v="1"/>
    <s v="No"/>
    <n v="10307"/>
    <n v="5884"/>
    <n v="191"/>
    <n v="360"/>
    <n v="0"/>
    <x v="1"/>
    <n v="16191"/>
    <x v="1"/>
    <x v="0"/>
    <x v="1"/>
    <x v="1"/>
    <n v="1401.4903361096085"/>
  </r>
  <r>
    <s v="LP0000429"/>
    <x v="1"/>
    <s v="No"/>
    <s v="3+"/>
    <x v="0"/>
    <s v="Yes"/>
    <n v="17280"/>
    <n v="7448"/>
    <n v="634"/>
    <n v="120"/>
    <n v="0"/>
    <x v="0"/>
    <n v="24728"/>
    <x v="0"/>
    <x v="0"/>
    <x v="0"/>
    <x v="1"/>
    <n v="7692.1694821296296"/>
  </r>
  <r>
    <s v="LP0000430"/>
    <x v="0"/>
    <s v="No"/>
    <n v="0"/>
    <x v="1"/>
    <s v="Yes"/>
    <n v="19886"/>
    <n v="184"/>
    <n v="204"/>
    <n v="120"/>
    <n v="0"/>
    <x v="1"/>
    <n v="20070"/>
    <x v="1"/>
    <x v="0"/>
    <x v="1"/>
    <x v="1"/>
    <n v="2475.0829248492814"/>
  </r>
  <r>
    <s v="LP0000431"/>
    <x v="2"/>
    <s v="No"/>
    <n v="0"/>
    <x v="1"/>
    <s v="No"/>
    <n v="16129"/>
    <n v="4582"/>
    <n v="256"/>
    <n v="360"/>
    <n v="0"/>
    <x v="0"/>
    <n v="20711"/>
    <x v="1"/>
    <x v="0"/>
    <x v="1"/>
    <x v="1"/>
    <n v="1878.4373091312029"/>
  </r>
  <r>
    <s v="LP0000432"/>
    <x v="0"/>
    <s v="No"/>
    <n v="1"/>
    <x v="0"/>
    <s v="No"/>
    <n v="9160"/>
    <n v="7097"/>
    <n v="602"/>
    <n v="360"/>
    <n v="1"/>
    <x v="1"/>
    <n v="16257"/>
    <x v="0"/>
    <x v="0"/>
    <x v="0"/>
    <x v="0"/>
    <n v="4417.2627347538446"/>
  </r>
  <r>
    <s v="LP0000433"/>
    <x v="2"/>
    <s v="No"/>
    <n v="1"/>
    <x v="1"/>
    <s v="Yes"/>
    <n v="8777"/>
    <n v="7857"/>
    <n v="333"/>
    <n v="360"/>
    <n v="0"/>
    <x v="0"/>
    <n v="16634"/>
    <x v="1"/>
    <x v="0"/>
    <x v="1"/>
    <x v="1"/>
    <n v="2443.4360310183229"/>
  </r>
  <r>
    <s v="LP0000434"/>
    <x v="0"/>
    <s v="No"/>
    <n v="1"/>
    <x v="0"/>
    <s v="No"/>
    <n v="9819"/>
    <n v="3470"/>
    <n v="85"/>
    <n v="360"/>
    <n v="0"/>
    <x v="0"/>
    <n v="13289"/>
    <x v="1"/>
    <x v="0"/>
    <x v="1"/>
    <x v="1"/>
    <n v="623.69988779746984"/>
  </r>
  <r>
    <s v="LP0000435"/>
    <x v="2"/>
    <s v="No"/>
    <n v="1"/>
    <x v="1"/>
    <s v="No"/>
    <n v="7431"/>
    <n v="9770"/>
    <n v="175"/>
    <n v="360"/>
    <n v="0"/>
    <x v="2"/>
    <n v="17201"/>
    <x v="1"/>
    <x v="0"/>
    <x v="1"/>
    <x v="1"/>
    <n v="1284.0880042889082"/>
  </r>
  <r>
    <s v="LP0000436"/>
    <x v="1"/>
    <s v="No"/>
    <n v="2"/>
    <x v="1"/>
    <s v="No"/>
    <n v="10040"/>
    <n v="6439"/>
    <n v="460"/>
    <n v="180"/>
    <n v="0"/>
    <x v="1"/>
    <n v="16479"/>
    <x v="1"/>
    <x v="0"/>
    <x v="1"/>
    <x v="1"/>
    <n v="4395.9995879196167"/>
  </r>
  <r>
    <s v="LP0000437"/>
    <x v="1"/>
    <s v="No"/>
    <s v="3+"/>
    <x v="0"/>
    <s v="No"/>
    <n v="9550"/>
    <n v="5106"/>
    <n v="244"/>
    <n v="120"/>
    <n v="0"/>
    <x v="2"/>
    <n v="14656"/>
    <x v="0"/>
    <x v="0"/>
    <x v="0"/>
    <x v="1"/>
    <n v="2960.3933022707088"/>
  </r>
  <r>
    <s v="LP0000438"/>
    <x v="1"/>
    <s v="No"/>
    <n v="0"/>
    <x v="1"/>
    <s v="No"/>
    <n v="6255"/>
    <n v="2258"/>
    <n v="87"/>
    <n v="360"/>
    <n v="0"/>
    <x v="2"/>
    <n v="8513"/>
    <x v="0"/>
    <x v="0"/>
    <x v="0"/>
    <x v="1"/>
    <n v="638.37517927505735"/>
  </r>
  <r>
    <s v="LP0000439"/>
    <x v="1"/>
    <s v="Yes"/>
    <n v="1"/>
    <x v="1"/>
    <s v="No"/>
    <n v="11223"/>
    <n v="9144"/>
    <n v="436"/>
    <n v="120"/>
    <n v="1"/>
    <x v="1"/>
    <n v="20367"/>
    <x v="1"/>
    <x v="0"/>
    <x v="1"/>
    <x v="0"/>
    <n v="5289.883113893562"/>
  </r>
  <r>
    <s v="LP0000440"/>
    <x v="2"/>
    <s v="No"/>
    <s v="3+"/>
    <x v="1"/>
    <s v="No"/>
    <n v="8610"/>
    <n v="4690"/>
    <n v="238"/>
    <n v="360"/>
    <n v="0"/>
    <x v="1"/>
    <n v="13300"/>
    <x v="1"/>
    <x v="0"/>
    <x v="1"/>
    <x v="1"/>
    <n v="1746.3596858329154"/>
  </r>
  <r>
    <s v="LP0000441"/>
    <x v="2"/>
    <s v="No"/>
    <s v="3+"/>
    <x v="0"/>
    <s v="No"/>
    <n v="14806"/>
    <n v="3589"/>
    <n v="318"/>
    <n v="120"/>
    <n v="1"/>
    <x v="1"/>
    <n v="18395"/>
    <x v="1"/>
    <x v="0"/>
    <x v="1"/>
    <x v="0"/>
    <n v="3858.2175005003501"/>
  </r>
  <r>
    <s v="LP0000442"/>
    <x v="0"/>
    <s v="Yes"/>
    <n v="1"/>
    <x v="1"/>
    <s v="Yes"/>
    <n v="10218"/>
    <n v="7090"/>
    <n v="93"/>
    <n v="120"/>
    <n v="0"/>
    <x v="2"/>
    <n v="17308"/>
    <x v="1"/>
    <x v="0"/>
    <x v="1"/>
    <x v="1"/>
    <n v="1128.3466275048195"/>
  </r>
  <r>
    <s v="LP0000443"/>
    <x v="0"/>
    <s v="No"/>
    <n v="2"/>
    <x v="1"/>
    <s v="No"/>
    <n v="16211"/>
    <n v="6065"/>
    <n v="252"/>
    <n v="120"/>
    <n v="0"/>
    <x v="1"/>
    <n v="22276"/>
    <x v="0"/>
    <x v="0"/>
    <x v="0"/>
    <x v="1"/>
    <n v="3057.4553777549945"/>
  </r>
  <r>
    <s v="LP0000444"/>
    <x v="1"/>
    <s v="No"/>
    <n v="1"/>
    <x v="1"/>
    <s v="No"/>
    <n v="17524"/>
    <n v="1724"/>
    <n v="267"/>
    <n v="360"/>
    <n v="0"/>
    <x v="0"/>
    <n v="19248"/>
    <x v="1"/>
    <x v="0"/>
    <x v="1"/>
    <x v="1"/>
    <n v="1959.1514122579345"/>
  </r>
  <r>
    <s v="LP0000445"/>
    <x v="0"/>
    <s v="Yes"/>
    <n v="2"/>
    <x v="1"/>
    <s v="No"/>
    <n v="10584"/>
    <n v="8381"/>
    <n v="176"/>
    <n v="180"/>
    <n v="0"/>
    <x v="1"/>
    <n v="18965"/>
    <x v="1"/>
    <x v="0"/>
    <x v="1"/>
    <x v="1"/>
    <n v="1681.9476684214185"/>
  </r>
  <r>
    <s v="LP0000446"/>
    <x v="1"/>
    <s v="Yes"/>
    <n v="2"/>
    <x v="1"/>
    <s v="Yes"/>
    <n v="6997"/>
    <n v="5823"/>
    <n v="58"/>
    <n v="120"/>
    <n v="0"/>
    <x v="2"/>
    <n v="12820"/>
    <x v="0"/>
    <x v="0"/>
    <x v="0"/>
    <x v="1"/>
    <n v="703.70004726107015"/>
  </r>
  <r>
    <s v="LP0000447"/>
    <x v="1"/>
    <s v="No"/>
    <s v="3+"/>
    <x v="0"/>
    <s v="No"/>
    <n v="18941"/>
    <n v="2589"/>
    <n v="523"/>
    <n v="120"/>
    <n v="0"/>
    <x v="0"/>
    <n v="21530"/>
    <x v="1"/>
    <x v="0"/>
    <x v="1"/>
    <x v="1"/>
    <n v="6345.4331847851672"/>
  </r>
  <r>
    <s v="LP0000448"/>
    <x v="1"/>
    <s v="Yes"/>
    <n v="0"/>
    <x v="0"/>
    <s v="No"/>
    <n v="13701"/>
    <n v="205"/>
    <n v="457"/>
    <n v="360"/>
    <n v="1"/>
    <x v="0"/>
    <n v="13906"/>
    <x v="0"/>
    <x v="0"/>
    <x v="0"/>
    <x v="0"/>
    <n v="3353.3041026287492"/>
  </r>
  <r>
    <s v="LP0000449"/>
    <x v="1"/>
    <s v="No"/>
    <s v="3+"/>
    <x v="1"/>
    <s v="No"/>
    <n v="9550"/>
    <n v="3407"/>
    <n v="337"/>
    <n v="180"/>
    <n v="0"/>
    <x v="2"/>
    <n v="12957"/>
    <x v="0"/>
    <x v="0"/>
    <x v="0"/>
    <x v="1"/>
    <n v="3220.5475241932845"/>
  </r>
  <r>
    <s v="LP0000450"/>
    <x v="1"/>
    <s v="No"/>
    <n v="0"/>
    <x v="1"/>
    <s v="No"/>
    <n v="2762"/>
    <n v="1577"/>
    <n v="566"/>
    <n v="180"/>
    <n v="0"/>
    <x v="2"/>
    <n v="4339"/>
    <x v="0"/>
    <x v="1"/>
    <x v="0"/>
    <x v="1"/>
    <n v="5408.9907973097888"/>
  </r>
  <r>
    <s v="LP0000451"/>
    <x v="0"/>
    <s v="No"/>
    <n v="2"/>
    <x v="0"/>
    <s v="No"/>
    <n v="2850"/>
    <n v="6969"/>
    <n v="256"/>
    <n v="360"/>
    <n v="0"/>
    <x v="0"/>
    <n v="9819"/>
    <x v="1"/>
    <x v="0"/>
    <x v="1"/>
    <x v="1"/>
    <n v="1878.4373091312029"/>
  </r>
  <r>
    <s v="LP0000452"/>
    <x v="1"/>
    <s v="No"/>
    <n v="2"/>
    <x v="0"/>
    <s v="No"/>
    <n v="18826"/>
    <n v="3259"/>
    <n v="145"/>
    <n v="360"/>
    <n v="0"/>
    <x v="0"/>
    <n v="22085"/>
    <x v="1"/>
    <x v="0"/>
    <x v="1"/>
    <x v="1"/>
    <n v="1063.9586321250956"/>
  </r>
  <r>
    <s v="LP0000453"/>
    <x v="1"/>
    <s v="Yes"/>
    <n v="0"/>
    <x v="0"/>
    <s v="Yes"/>
    <n v="11908"/>
    <n v="6779"/>
    <n v="230"/>
    <n v="360"/>
    <n v="1"/>
    <x v="2"/>
    <n v="18687"/>
    <x v="0"/>
    <x v="0"/>
    <x v="0"/>
    <x v="0"/>
    <n v="1687.6585199225653"/>
  </r>
  <r>
    <s v="LP0000454"/>
    <x v="1"/>
    <s v="Yes"/>
    <n v="1"/>
    <x v="0"/>
    <s v="No"/>
    <n v="16491"/>
    <n v="1561"/>
    <n v="312"/>
    <n v="180"/>
    <n v="0"/>
    <x v="0"/>
    <n v="18052"/>
    <x v="0"/>
    <x v="0"/>
    <x v="0"/>
    <x v="1"/>
    <n v="2981.6345031106966"/>
  </r>
  <r>
    <s v="LP0000455"/>
    <x v="0"/>
    <s v="No"/>
    <n v="1"/>
    <x v="1"/>
    <s v="No"/>
    <n v="7177"/>
    <n v="9310"/>
    <n v="632"/>
    <n v="360"/>
    <n v="0"/>
    <x v="0"/>
    <n v="16487"/>
    <x v="1"/>
    <x v="0"/>
    <x v="1"/>
    <x v="1"/>
    <n v="4637.3921069176577"/>
  </r>
  <r>
    <s v="LP0000456"/>
    <x v="0"/>
    <s v="No"/>
    <n v="2"/>
    <x v="0"/>
    <s v="Yes"/>
    <n v="6304"/>
    <n v="5662"/>
    <n v="637"/>
    <n v="360"/>
    <n v="1"/>
    <x v="2"/>
    <n v="11966"/>
    <x v="0"/>
    <x v="0"/>
    <x v="0"/>
    <x v="0"/>
    <n v="4674.0803356116257"/>
  </r>
  <r>
    <s v="LP0000457"/>
    <x v="1"/>
    <s v="No"/>
    <s v="3+"/>
    <x v="1"/>
    <s v="No"/>
    <n v="13242"/>
    <n v="4649"/>
    <n v="164"/>
    <n v="360"/>
    <n v="1"/>
    <x v="1"/>
    <n v="17891"/>
    <x v="1"/>
    <x v="0"/>
    <x v="1"/>
    <x v="0"/>
    <n v="1203.3739011621769"/>
  </r>
  <r>
    <s v="LP0000458"/>
    <x v="0"/>
    <s v="No"/>
    <n v="0"/>
    <x v="1"/>
    <s v="No"/>
    <n v="5191"/>
    <n v="9412"/>
    <n v="181"/>
    <n v="180"/>
    <n v="0"/>
    <x v="0"/>
    <n v="14603"/>
    <x v="1"/>
    <x v="0"/>
    <x v="1"/>
    <x v="1"/>
    <n v="1729.7302726379362"/>
  </r>
  <r>
    <s v="LP0000459"/>
    <x v="1"/>
    <s v="No"/>
    <n v="1"/>
    <x v="0"/>
    <s v="No"/>
    <n v="5564"/>
    <n v="4812"/>
    <n v="69"/>
    <n v="180"/>
    <n v="1"/>
    <x v="0"/>
    <n v="10376"/>
    <x v="0"/>
    <x v="0"/>
    <x v="0"/>
    <x v="0"/>
    <n v="659.39993818794244"/>
  </r>
  <r>
    <s v="LP0000460"/>
    <x v="1"/>
    <s v="Yes"/>
    <n v="1"/>
    <x v="1"/>
    <s v="Yes"/>
    <n v="11845"/>
    <n v="8624"/>
    <n v="472"/>
    <n v="180"/>
    <n v="1"/>
    <x v="2"/>
    <n v="20469"/>
    <x v="1"/>
    <x v="0"/>
    <x v="1"/>
    <x v="0"/>
    <n v="4510.6778380392589"/>
  </r>
  <r>
    <s v="LP0000461"/>
    <x v="2"/>
    <s v="No"/>
    <n v="1"/>
    <x v="1"/>
    <s v="No"/>
    <n v="18374"/>
    <n v="9759"/>
    <n v="557"/>
    <n v="180"/>
    <n v="0"/>
    <x v="0"/>
    <n v="28133"/>
    <x v="1"/>
    <x v="0"/>
    <x v="1"/>
    <x v="1"/>
    <n v="5322.9821097200575"/>
  </r>
  <r>
    <s v="LP0000462"/>
    <x v="1"/>
    <s v="No"/>
    <n v="2"/>
    <x v="0"/>
    <s v="No"/>
    <n v="12480"/>
    <n v="6916"/>
    <n v="638"/>
    <n v="360"/>
    <n v="1"/>
    <x v="0"/>
    <n v="19396"/>
    <x v="1"/>
    <x v="0"/>
    <x v="1"/>
    <x v="0"/>
    <n v="4681.4179813504197"/>
  </r>
  <r>
    <s v="LP0000463"/>
    <x v="2"/>
    <s v="Yes"/>
    <n v="1"/>
    <x v="1"/>
    <s v="No"/>
    <n v="5626"/>
    <n v="5108"/>
    <n v="201"/>
    <n v="360"/>
    <n v="1"/>
    <x v="0"/>
    <n v="10734"/>
    <x v="1"/>
    <x v="0"/>
    <x v="1"/>
    <x v="0"/>
    <n v="1474.8667934975463"/>
  </r>
  <r>
    <s v="LP0000464"/>
    <x v="0"/>
    <s v="Yes"/>
    <n v="1"/>
    <x v="1"/>
    <s v="Yes"/>
    <n v="6223"/>
    <n v="7666"/>
    <n v="678"/>
    <n v="120"/>
    <n v="1"/>
    <x v="0"/>
    <n v="13889"/>
    <x v="0"/>
    <x v="0"/>
    <x v="0"/>
    <x v="0"/>
    <n v="8226.0108972931994"/>
  </r>
  <r>
    <s v="LP0000465"/>
    <x v="0"/>
    <s v="Yes"/>
    <n v="1"/>
    <x v="0"/>
    <s v="No"/>
    <n v="1544"/>
    <n v="4085"/>
    <n v="457"/>
    <n v="360"/>
    <n v="1"/>
    <x v="0"/>
    <n v="5629"/>
    <x v="0"/>
    <x v="1"/>
    <x v="0"/>
    <x v="0"/>
    <n v="3353.3041026287492"/>
  </r>
  <r>
    <s v="LP0000466"/>
    <x v="1"/>
    <s v="No"/>
    <n v="1"/>
    <x v="1"/>
    <s v="No"/>
    <n v="3723"/>
    <n v="679"/>
    <n v="620"/>
    <n v="360"/>
    <n v="0"/>
    <x v="1"/>
    <n v="4402"/>
    <x v="1"/>
    <x v="1"/>
    <x v="1"/>
    <x v="1"/>
    <n v="4549.3403580521326"/>
  </r>
  <r>
    <s v="LP0000467"/>
    <x v="1"/>
    <s v="No"/>
    <s v="3+"/>
    <x v="1"/>
    <s v="Yes"/>
    <n v="6018"/>
    <n v="1504"/>
    <n v="447"/>
    <n v="120"/>
    <n v="1"/>
    <x v="2"/>
    <n v="7522"/>
    <x v="1"/>
    <x v="0"/>
    <x v="1"/>
    <x v="0"/>
    <n v="5423.3434676844545"/>
  </r>
  <r>
    <s v="LP0000468"/>
    <x v="2"/>
    <s v="No"/>
    <n v="1"/>
    <x v="0"/>
    <s v="No"/>
    <n v="6075"/>
    <n v="2959"/>
    <n v="228"/>
    <n v="360"/>
    <n v="1"/>
    <x v="0"/>
    <n v="9034"/>
    <x v="1"/>
    <x v="0"/>
    <x v="1"/>
    <x v="0"/>
    <n v="1672.9832284449778"/>
  </r>
  <r>
    <s v="LP0000469"/>
    <x v="1"/>
    <s v="No"/>
    <s v="3+"/>
    <x v="1"/>
    <s v="No"/>
    <n v="12721"/>
    <n v="1499"/>
    <n v="511"/>
    <n v="360"/>
    <n v="0"/>
    <x v="1"/>
    <n v="14220"/>
    <x v="0"/>
    <x v="0"/>
    <x v="0"/>
    <x v="1"/>
    <n v="3749.5369725236119"/>
  </r>
  <r>
    <s v="LP0000470"/>
    <x v="0"/>
    <s v="Yes"/>
    <n v="2"/>
    <x v="1"/>
    <s v="No"/>
    <n v="5606"/>
    <n v="2711"/>
    <n v="185"/>
    <n v="180"/>
    <n v="0"/>
    <x v="0"/>
    <n v="8317"/>
    <x v="1"/>
    <x v="0"/>
    <x v="1"/>
    <x v="1"/>
    <n v="1767.9563560111503"/>
  </r>
  <r>
    <s v="LP0000471"/>
    <x v="2"/>
    <s v="Yes"/>
    <n v="0"/>
    <x v="0"/>
    <s v="No"/>
    <n v="2995"/>
    <n v="1590"/>
    <n v="437"/>
    <n v="120"/>
    <n v="0"/>
    <x v="0"/>
    <n v="4585"/>
    <x v="1"/>
    <x v="1"/>
    <x v="1"/>
    <x v="1"/>
    <n v="5302.0158733290973"/>
  </r>
  <r>
    <s v="LP0000472"/>
    <x v="2"/>
    <s v="Yes"/>
    <s v="3+"/>
    <x v="0"/>
    <s v="No"/>
    <n v="19069"/>
    <n v="1742"/>
    <n v="211"/>
    <n v="120"/>
    <n v="0"/>
    <x v="2"/>
    <n v="20811"/>
    <x v="0"/>
    <x v="0"/>
    <x v="0"/>
    <x v="1"/>
    <n v="2560.012240898031"/>
  </r>
  <r>
    <s v="LP0000473"/>
    <x v="2"/>
    <s v="No"/>
    <s v="3+"/>
    <x v="1"/>
    <s v="No"/>
    <n v="17250"/>
    <n v="787"/>
    <n v="393"/>
    <n v="360"/>
    <n v="0"/>
    <x v="2"/>
    <n v="18037"/>
    <x v="0"/>
    <x v="0"/>
    <x v="0"/>
    <x v="1"/>
    <n v="2883.6947753459485"/>
  </r>
  <r>
    <s v="LP0000474"/>
    <x v="2"/>
    <s v="No"/>
    <n v="0"/>
    <x v="1"/>
    <s v="No"/>
    <n v="7113"/>
    <n v="2643"/>
    <n v="561"/>
    <n v="360"/>
    <n v="0"/>
    <x v="0"/>
    <n v="9756"/>
    <x v="1"/>
    <x v="0"/>
    <x v="1"/>
    <x v="1"/>
    <n v="4116.4192594633005"/>
  </r>
  <r>
    <s v="LP0000475"/>
    <x v="0"/>
    <s v="Yes"/>
    <n v="1"/>
    <x v="1"/>
    <s v="No"/>
    <n v="14829"/>
    <n v="1074"/>
    <n v="91"/>
    <n v="360"/>
    <n v="0"/>
    <x v="1"/>
    <n v="15903"/>
    <x v="0"/>
    <x v="0"/>
    <x v="0"/>
    <x v="1"/>
    <n v="667.72576223023225"/>
  </r>
  <r>
    <s v="LP0000476"/>
    <x v="1"/>
    <s v="No"/>
    <s v="3+"/>
    <x v="0"/>
    <s v="No"/>
    <n v="18583"/>
    <n v="7926"/>
    <n v="411"/>
    <n v="120"/>
    <n v="0"/>
    <x v="0"/>
    <n v="26509"/>
    <x v="1"/>
    <x v="0"/>
    <x v="1"/>
    <x v="1"/>
    <n v="4986.5641280051696"/>
  </r>
  <r>
    <s v="LP0000477"/>
    <x v="1"/>
    <s v="No"/>
    <n v="0"/>
    <x v="0"/>
    <s v="No"/>
    <n v="5054"/>
    <n v="9119"/>
    <n v="302"/>
    <n v="180"/>
    <n v="0"/>
    <x v="2"/>
    <n v="14173"/>
    <x v="0"/>
    <x v="0"/>
    <x v="0"/>
    <x v="1"/>
    <n v="2886.0692946776612"/>
  </r>
  <r>
    <s v="LP0000478"/>
    <x v="1"/>
    <s v="Yes"/>
    <s v="3+"/>
    <x v="0"/>
    <s v="No"/>
    <n v="11493"/>
    <n v="9923"/>
    <n v="544"/>
    <n v="180"/>
    <n v="0"/>
    <x v="1"/>
    <n v="21416"/>
    <x v="0"/>
    <x v="0"/>
    <x v="0"/>
    <x v="1"/>
    <n v="5198.7473387571117"/>
  </r>
  <r>
    <s v="LP0000479"/>
    <x v="2"/>
    <s v="No"/>
    <n v="1"/>
    <x v="0"/>
    <s v="Yes"/>
    <n v="10609"/>
    <n v="8712"/>
    <n v="396"/>
    <n v="180"/>
    <n v="1"/>
    <x v="1"/>
    <n v="19321"/>
    <x v="0"/>
    <x v="0"/>
    <x v="0"/>
    <x v="0"/>
    <n v="3784.3822539481921"/>
  </r>
  <r>
    <s v="LP0000480"/>
    <x v="0"/>
    <s v="No"/>
    <s v="3+"/>
    <x v="0"/>
    <s v="No"/>
    <n v="11664"/>
    <n v="2911"/>
    <n v="275"/>
    <n v="360"/>
    <n v="0"/>
    <x v="0"/>
    <n v="14575"/>
    <x v="0"/>
    <x v="0"/>
    <x v="0"/>
    <x v="1"/>
    <n v="2017.8525781682845"/>
  </r>
  <r>
    <s v="LP0000481"/>
    <x v="0"/>
    <s v="Yes"/>
    <n v="1"/>
    <x v="1"/>
    <s v="No"/>
    <n v="9870"/>
    <n v="5353"/>
    <n v="655"/>
    <n v="360"/>
    <n v="0"/>
    <x v="2"/>
    <n v="15223"/>
    <x v="1"/>
    <x v="0"/>
    <x v="1"/>
    <x v="1"/>
    <n v="4806.1579589099138"/>
  </r>
  <r>
    <s v="LP0000482"/>
    <x v="2"/>
    <s v="Yes"/>
    <n v="2"/>
    <x v="0"/>
    <s v="No"/>
    <n v="6905"/>
    <n v="7212"/>
    <n v="422"/>
    <n v="360"/>
    <n v="1"/>
    <x v="1"/>
    <n v="14117"/>
    <x v="1"/>
    <x v="0"/>
    <x v="1"/>
    <x v="0"/>
    <n v="3096.4865017709676"/>
  </r>
  <r>
    <s v="LP0000483"/>
    <x v="1"/>
    <s v="No"/>
    <n v="2"/>
    <x v="0"/>
    <s v="No"/>
    <n v="8584"/>
    <n v="7645"/>
    <n v="459"/>
    <n v="360"/>
    <n v="0"/>
    <x v="0"/>
    <n v="16229"/>
    <x v="1"/>
    <x v="0"/>
    <x v="1"/>
    <x v="1"/>
    <n v="3367.9793941063367"/>
  </r>
  <r>
    <s v="LP0000484"/>
    <x v="0"/>
    <s v="No"/>
    <n v="1"/>
    <x v="1"/>
    <s v="No"/>
    <n v="4314"/>
    <n v="7119"/>
    <n v="233"/>
    <n v="360"/>
    <n v="0"/>
    <x v="2"/>
    <n v="11433"/>
    <x v="0"/>
    <x v="0"/>
    <x v="0"/>
    <x v="1"/>
    <n v="1709.6714571389466"/>
  </r>
  <r>
    <s v="LP0000485"/>
    <x v="2"/>
    <s v="Yes"/>
    <n v="2"/>
    <x v="1"/>
    <s v="No"/>
    <n v="8333"/>
    <n v="8345"/>
    <n v="302"/>
    <n v="360"/>
    <n v="0"/>
    <x v="1"/>
    <n v="16678"/>
    <x v="1"/>
    <x v="0"/>
    <x v="1"/>
    <x v="1"/>
    <n v="2215.9690131157163"/>
  </r>
  <r>
    <s v="LP0000486"/>
    <x v="1"/>
    <s v="No"/>
    <s v="3+"/>
    <x v="0"/>
    <s v="No"/>
    <n v="5721"/>
    <n v="7647"/>
    <n v="98"/>
    <n v="360"/>
    <n v="0"/>
    <x v="2"/>
    <n v="13368"/>
    <x v="0"/>
    <x v="0"/>
    <x v="0"/>
    <x v="1"/>
    <n v="719.08928240178864"/>
  </r>
  <r>
    <s v="LP0000487"/>
    <x v="0"/>
    <s v="No"/>
    <n v="0"/>
    <x v="1"/>
    <s v="No"/>
    <n v="9630"/>
    <n v="7667"/>
    <n v="156"/>
    <n v="120"/>
    <n v="0"/>
    <x v="2"/>
    <n v="17297"/>
    <x v="1"/>
    <x v="0"/>
    <x v="1"/>
    <x v="1"/>
    <n v="1892.7104719435681"/>
  </r>
  <r>
    <s v="LP0000488"/>
    <x v="0"/>
    <s v="No"/>
    <n v="2"/>
    <x v="0"/>
    <s v="Yes"/>
    <n v="11291"/>
    <n v="7763"/>
    <n v="193"/>
    <n v="120"/>
    <n v="1"/>
    <x v="1"/>
    <n v="19054"/>
    <x v="1"/>
    <x v="0"/>
    <x v="1"/>
    <x v="0"/>
    <n v="2341.6225710583885"/>
  </r>
  <r>
    <s v="LP0000489"/>
    <x v="0"/>
    <s v="No"/>
    <n v="2"/>
    <x v="0"/>
    <s v="No"/>
    <n v="6006"/>
    <n v="5231"/>
    <n v="657"/>
    <n v="180"/>
    <n v="1"/>
    <x v="1"/>
    <n v="11237"/>
    <x v="0"/>
    <x v="0"/>
    <x v="0"/>
    <x v="0"/>
    <n v="6278.634194050409"/>
  </r>
  <r>
    <s v="LP0000490"/>
    <x v="2"/>
    <s v="No"/>
    <n v="0"/>
    <x v="0"/>
    <s v="No"/>
    <n v="5249"/>
    <n v="7622"/>
    <n v="570"/>
    <n v="360"/>
    <n v="1"/>
    <x v="2"/>
    <n v="12871"/>
    <x v="0"/>
    <x v="0"/>
    <x v="0"/>
    <x v="0"/>
    <n v="4182.4580711124445"/>
  </r>
  <r>
    <s v="LP0000491"/>
    <x v="1"/>
    <s v="No"/>
    <s v="3+"/>
    <x v="1"/>
    <s v="Yes"/>
    <n v="4076"/>
    <n v="8473"/>
    <n v="511"/>
    <n v="120"/>
    <n v="0"/>
    <x v="2"/>
    <n v="12549"/>
    <x v="0"/>
    <x v="0"/>
    <x v="0"/>
    <x v="1"/>
    <n v="6199.8400715587395"/>
  </r>
  <r>
    <s v="LP0000492"/>
    <x v="1"/>
    <s v="No"/>
    <n v="2"/>
    <x v="0"/>
    <s v="Yes"/>
    <n v="4583"/>
    <n v="3806"/>
    <n v="564"/>
    <n v="360"/>
    <n v="0"/>
    <x v="0"/>
    <n v="8389"/>
    <x v="1"/>
    <x v="0"/>
    <x v="1"/>
    <x v="1"/>
    <n v="4138.4321966796824"/>
  </r>
  <r>
    <s v="LP0000493"/>
    <x v="1"/>
    <s v="No"/>
    <n v="1"/>
    <x v="0"/>
    <s v="No"/>
    <n v="6188"/>
    <n v="3637"/>
    <n v="148"/>
    <n v="360"/>
    <n v="0"/>
    <x v="1"/>
    <n v="9825"/>
    <x v="1"/>
    <x v="0"/>
    <x v="1"/>
    <x v="1"/>
    <n v="1085.9715693414767"/>
  </r>
  <r>
    <s v="LP0000494"/>
    <x v="1"/>
    <s v="No"/>
    <n v="0"/>
    <x v="0"/>
    <s v="No"/>
    <n v="5260"/>
    <n v="9722"/>
    <n v="696"/>
    <n v="180"/>
    <n v="0"/>
    <x v="2"/>
    <n v="14982"/>
    <x v="0"/>
    <x v="0"/>
    <x v="0"/>
    <x v="1"/>
    <n v="6651.3385069392461"/>
  </r>
  <r>
    <s v="LP0000495"/>
    <x v="1"/>
    <s v="No"/>
    <s v="3+"/>
    <x v="0"/>
    <s v="Yes"/>
    <n v="6758"/>
    <n v="4092"/>
    <n v="224"/>
    <n v="360"/>
    <n v="0"/>
    <x v="1"/>
    <n v="10850"/>
    <x v="0"/>
    <x v="0"/>
    <x v="0"/>
    <x v="1"/>
    <n v="1643.6326454898028"/>
  </r>
  <r>
    <s v="LP0000496"/>
    <x v="1"/>
    <s v="Yes"/>
    <n v="1"/>
    <x v="1"/>
    <s v="No"/>
    <n v="10814"/>
    <n v="8185"/>
    <n v="564"/>
    <n v="360"/>
    <n v="1"/>
    <x v="1"/>
    <n v="18999"/>
    <x v="1"/>
    <x v="0"/>
    <x v="1"/>
    <x v="0"/>
    <n v="4138.4321966796824"/>
  </r>
  <r>
    <s v="LP0000497"/>
    <x v="0"/>
    <s v="Yes"/>
    <s v="3+"/>
    <x v="1"/>
    <s v="Yes"/>
    <n v="12100"/>
    <n v="9101"/>
    <n v="377"/>
    <n v="180"/>
    <n v="1"/>
    <x v="1"/>
    <n v="21201"/>
    <x v="1"/>
    <x v="0"/>
    <x v="1"/>
    <x v="0"/>
    <n v="3602.8083579254244"/>
  </r>
  <r>
    <s v="LP0000498"/>
    <x v="1"/>
    <s v="Yes"/>
    <s v="3+"/>
    <x v="0"/>
    <s v="No"/>
    <n v="10203"/>
    <n v="6419"/>
    <n v="496"/>
    <n v="360"/>
    <n v="0"/>
    <x v="0"/>
    <n v="16622"/>
    <x v="1"/>
    <x v="0"/>
    <x v="1"/>
    <x v="1"/>
    <n v="3639.4722864417058"/>
  </r>
  <r>
    <s v="LP0000499"/>
    <x v="2"/>
    <s v="Yes"/>
    <n v="1"/>
    <x v="0"/>
    <s v="No"/>
    <n v="3967"/>
    <n v="947"/>
    <n v="451"/>
    <n v="120"/>
    <n v="0"/>
    <x v="2"/>
    <n v="4914"/>
    <x v="0"/>
    <x v="1"/>
    <x v="0"/>
    <x v="1"/>
    <n v="5471.8745054265974"/>
  </r>
  <r>
    <s v="LP0000500"/>
    <x v="2"/>
    <s v="No"/>
    <s v="3+"/>
    <x v="1"/>
    <s v="No"/>
    <n v="7254"/>
    <n v="6684"/>
    <n v="560"/>
    <n v="120"/>
    <n v="1"/>
    <x v="0"/>
    <n v="13938"/>
    <x v="1"/>
    <x v="0"/>
    <x v="1"/>
    <x v="0"/>
    <n v="6794.3452838999874"/>
  </r>
  <r>
    <s v="LP0000501"/>
    <x v="1"/>
    <s v="No"/>
    <n v="2"/>
    <x v="1"/>
    <s v="Yes"/>
    <n v="12485"/>
    <n v="8664"/>
    <n v="646"/>
    <n v="120"/>
    <n v="1"/>
    <x v="1"/>
    <n v="21149"/>
    <x v="1"/>
    <x v="0"/>
    <x v="1"/>
    <x v="0"/>
    <n v="7837.7625953560573"/>
  </r>
  <r>
    <s v="LP0000502"/>
    <x v="0"/>
    <s v="No"/>
    <n v="2"/>
    <x v="1"/>
    <s v="No"/>
    <n v="4996"/>
    <n v="464"/>
    <n v="597"/>
    <n v="360"/>
    <n v="1"/>
    <x v="0"/>
    <n v="5460"/>
    <x v="0"/>
    <x v="1"/>
    <x v="0"/>
    <x v="0"/>
    <n v="4380.5745060598756"/>
  </r>
  <r>
    <s v="LP0000503"/>
    <x v="1"/>
    <s v="No"/>
    <n v="0"/>
    <x v="1"/>
    <s v="No"/>
    <n v="16944"/>
    <n v="2394"/>
    <n v="56"/>
    <n v="360"/>
    <n v="1"/>
    <x v="1"/>
    <n v="19338"/>
    <x v="0"/>
    <x v="0"/>
    <x v="0"/>
    <x v="0"/>
    <n v="410.90816137245071"/>
  </r>
  <r>
    <s v="LP0000504"/>
    <x v="0"/>
    <s v="No"/>
    <n v="2"/>
    <x v="1"/>
    <s v="No"/>
    <n v="6623"/>
    <n v="4582"/>
    <n v="158"/>
    <n v="360"/>
    <n v="1"/>
    <x v="0"/>
    <n v="11205"/>
    <x v="0"/>
    <x v="0"/>
    <x v="0"/>
    <x v="0"/>
    <n v="1159.3480267294144"/>
  </r>
  <r>
    <s v="LP0000505"/>
    <x v="1"/>
    <s v="No"/>
    <s v="3+"/>
    <x v="0"/>
    <s v="Yes"/>
    <n v="7009"/>
    <n v="1883"/>
    <n v="346"/>
    <n v="120"/>
    <n v="1"/>
    <x v="2"/>
    <n v="8892"/>
    <x v="0"/>
    <x v="0"/>
    <x v="0"/>
    <x v="0"/>
    <n v="4197.9347646953493"/>
  </r>
  <r>
    <s v="LP0000506"/>
    <x v="1"/>
    <s v="No"/>
    <n v="0"/>
    <x v="1"/>
    <s v="No"/>
    <n v="9425"/>
    <n v="4530"/>
    <n v="584"/>
    <n v="360"/>
    <n v="0"/>
    <x v="2"/>
    <n v="13955"/>
    <x v="0"/>
    <x v="0"/>
    <x v="0"/>
    <x v="1"/>
    <n v="4285.1851114555566"/>
  </r>
  <r>
    <s v="LP0000507"/>
    <x v="1"/>
    <s v="Yes"/>
    <n v="1"/>
    <x v="1"/>
    <s v="No"/>
    <n v="2132"/>
    <n v="6885"/>
    <n v="419"/>
    <n v="120"/>
    <n v="0"/>
    <x v="1"/>
    <n v="9017"/>
    <x v="1"/>
    <x v="0"/>
    <x v="1"/>
    <x v="1"/>
    <n v="5083.6262034894553"/>
  </r>
  <r>
    <s v="LP0000508"/>
    <x v="2"/>
    <s v="No"/>
    <n v="0"/>
    <x v="0"/>
    <s v="Yes"/>
    <n v="4229"/>
    <n v="7148"/>
    <n v="168"/>
    <n v="360"/>
    <n v="0"/>
    <x v="2"/>
    <n v="11377"/>
    <x v="1"/>
    <x v="0"/>
    <x v="1"/>
    <x v="1"/>
    <n v="1232.7244841173522"/>
  </r>
  <r>
    <s v="LP0000509"/>
    <x v="1"/>
    <s v="No"/>
    <n v="0"/>
    <x v="0"/>
    <s v="No"/>
    <n v="1538"/>
    <n v="550"/>
    <n v="266"/>
    <n v="120"/>
    <n v="1"/>
    <x v="2"/>
    <n v="2088"/>
    <x v="1"/>
    <x v="2"/>
    <x v="1"/>
    <x v="0"/>
    <n v="3227.3140098524941"/>
  </r>
  <r>
    <s v="LP0000510"/>
    <x v="2"/>
    <s v="No"/>
    <n v="0"/>
    <x v="0"/>
    <s v="No"/>
    <n v="8730"/>
    <n v="6513"/>
    <n v="165"/>
    <n v="360"/>
    <n v="1"/>
    <x v="0"/>
    <n v="15243"/>
    <x v="1"/>
    <x v="0"/>
    <x v="1"/>
    <x v="0"/>
    <n v="1210.7115469009707"/>
  </r>
  <r>
    <s v="LP0000511"/>
    <x v="0"/>
    <s v="Yes"/>
    <n v="2"/>
    <x v="0"/>
    <s v="No"/>
    <n v="11373"/>
    <n v="8331"/>
    <n v="296"/>
    <n v="360"/>
    <n v="0"/>
    <x v="1"/>
    <n v="19704"/>
    <x v="1"/>
    <x v="0"/>
    <x v="1"/>
    <x v="1"/>
    <n v="2171.9431386829533"/>
  </r>
  <r>
    <s v="LP0000512"/>
    <x v="2"/>
    <s v="Yes"/>
    <n v="2"/>
    <x v="1"/>
    <s v="Yes"/>
    <n v="8811"/>
    <n v="9126"/>
    <n v="318"/>
    <n v="360"/>
    <n v="1"/>
    <x v="2"/>
    <n v="17937"/>
    <x v="0"/>
    <x v="0"/>
    <x v="0"/>
    <x v="0"/>
    <n v="2333.3713449364163"/>
  </r>
  <r>
    <s v="LP0000513"/>
    <x v="0"/>
    <s v="No"/>
    <n v="2"/>
    <x v="1"/>
    <s v="No"/>
    <n v="2045"/>
    <n v="2794"/>
    <n v="559"/>
    <n v="360"/>
    <n v="0"/>
    <x v="0"/>
    <n v="4839"/>
    <x v="1"/>
    <x v="1"/>
    <x v="1"/>
    <x v="1"/>
    <n v="4101.7439679857125"/>
  </r>
  <r>
    <s v="LP0000514"/>
    <x v="2"/>
    <s v="Yes"/>
    <n v="2"/>
    <x v="0"/>
    <s v="No"/>
    <n v="14368"/>
    <n v="1610"/>
    <n v="333"/>
    <n v="360"/>
    <n v="0"/>
    <x v="2"/>
    <n v="15978"/>
    <x v="1"/>
    <x v="0"/>
    <x v="1"/>
    <x v="1"/>
    <n v="2443.4360310183229"/>
  </r>
  <r>
    <s v="LP0000515"/>
    <x v="2"/>
    <s v="Yes"/>
    <n v="1"/>
    <x v="1"/>
    <s v="Yes"/>
    <n v="11134"/>
    <n v="6634"/>
    <n v="619"/>
    <n v="180"/>
    <n v="0"/>
    <x v="0"/>
    <n v="17768"/>
    <x v="1"/>
    <x v="0"/>
    <x v="1"/>
    <x v="1"/>
    <n v="5915.4864020048753"/>
  </r>
  <r>
    <s v="LP0000516"/>
    <x v="0"/>
    <s v="No"/>
    <s v="3+"/>
    <x v="1"/>
    <s v="No"/>
    <n v="4097"/>
    <n v="3384"/>
    <n v="181"/>
    <n v="360"/>
    <n v="0"/>
    <x v="0"/>
    <n v="7481"/>
    <x v="0"/>
    <x v="0"/>
    <x v="0"/>
    <x v="1"/>
    <n v="1328.113878721671"/>
  </r>
  <r>
    <s v="LP0000517"/>
    <x v="0"/>
    <s v="Yes"/>
    <n v="1"/>
    <x v="1"/>
    <s v="Yes"/>
    <n v="7066"/>
    <n v="409"/>
    <n v="370"/>
    <n v="180"/>
    <n v="1"/>
    <x v="1"/>
    <n v="7475"/>
    <x v="1"/>
    <x v="0"/>
    <x v="1"/>
    <x v="0"/>
    <n v="3535.9127120223006"/>
  </r>
  <r>
    <s v="LP0000518"/>
    <x v="1"/>
    <s v="No"/>
    <n v="0"/>
    <x v="0"/>
    <s v="Yes"/>
    <n v="1997"/>
    <n v="7344"/>
    <n v="314"/>
    <n v="360"/>
    <n v="0"/>
    <x v="0"/>
    <n v="9341"/>
    <x v="0"/>
    <x v="0"/>
    <x v="0"/>
    <x v="1"/>
    <n v="2304.0207619812409"/>
  </r>
  <r>
    <s v="LP0000519"/>
    <x v="2"/>
    <s v="No"/>
    <n v="1"/>
    <x v="1"/>
    <s v="No"/>
    <n v="15464"/>
    <n v="6283"/>
    <n v="174"/>
    <n v="180"/>
    <n v="1"/>
    <x v="0"/>
    <n v="21747"/>
    <x v="1"/>
    <x v="0"/>
    <x v="1"/>
    <x v="0"/>
    <n v="1662.8346267348115"/>
  </r>
  <r>
    <s v="LP0000520"/>
    <x v="0"/>
    <s v="No"/>
    <s v="3+"/>
    <x v="0"/>
    <s v="Yes"/>
    <n v="16740"/>
    <n v="7882"/>
    <n v="516"/>
    <n v="180"/>
    <n v="0"/>
    <x v="0"/>
    <n v="24622"/>
    <x v="1"/>
    <x v="0"/>
    <x v="1"/>
    <x v="1"/>
    <n v="4931.1647551446131"/>
  </r>
  <r>
    <s v="LP0000521"/>
    <x v="1"/>
    <s v="No"/>
    <n v="1"/>
    <x v="1"/>
    <s v="No"/>
    <n v="13158"/>
    <n v="8780"/>
    <n v="561"/>
    <n v="180"/>
    <n v="0"/>
    <x v="2"/>
    <n v="21938"/>
    <x v="0"/>
    <x v="0"/>
    <x v="0"/>
    <x v="1"/>
    <n v="5361.2081930932718"/>
  </r>
  <r>
    <s v="LP0000522"/>
    <x v="2"/>
    <s v="No"/>
    <n v="0"/>
    <x v="0"/>
    <s v="No"/>
    <n v="9343"/>
    <n v="1311"/>
    <n v="233"/>
    <n v="120"/>
    <n v="1"/>
    <x v="1"/>
    <n v="10654"/>
    <x v="0"/>
    <x v="0"/>
    <x v="0"/>
    <x v="0"/>
    <n v="2826.9329484798163"/>
  </r>
  <r>
    <s v="LP0000523"/>
    <x v="2"/>
    <s v="No"/>
    <n v="0"/>
    <x v="0"/>
    <s v="No"/>
    <n v="3903"/>
    <n v="9083"/>
    <n v="660"/>
    <n v="180"/>
    <n v="1"/>
    <x v="2"/>
    <n v="12986"/>
    <x v="0"/>
    <x v="0"/>
    <x v="0"/>
    <x v="0"/>
    <n v="6307.3037565803197"/>
  </r>
  <r>
    <s v="LP0000524"/>
    <x v="1"/>
    <s v="No"/>
    <n v="1"/>
    <x v="1"/>
    <s v="No"/>
    <n v="2598"/>
    <n v="5988"/>
    <n v="99"/>
    <n v="120"/>
    <n v="1"/>
    <x v="1"/>
    <n v="8586"/>
    <x v="0"/>
    <x v="0"/>
    <x v="0"/>
    <x v="0"/>
    <n v="1201.1431841180336"/>
  </r>
  <r>
    <s v="LP0000525"/>
    <x v="2"/>
    <s v="No"/>
    <s v="3+"/>
    <x v="0"/>
    <s v="No"/>
    <n v="13117"/>
    <n v="2473"/>
    <n v="468"/>
    <n v="360"/>
    <n v="1"/>
    <x v="2"/>
    <n v="15590"/>
    <x v="1"/>
    <x v="0"/>
    <x v="1"/>
    <x v="0"/>
    <n v="3434.0182057554803"/>
  </r>
  <r>
    <s v="LP0000526"/>
    <x v="1"/>
    <s v="No"/>
    <n v="0"/>
    <x v="1"/>
    <s v="Yes"/>
    <n v="19439"/>
    <n v="8517"/>
    <n v="362"/>
    <n v="120"/>
    <n v="0"/>
    <x v="2"/>
    <n v="27956"/>
    <x v="1"/>
    <x v="0"/>
    <x v="1"/>
    <x v="1"/>
    <n v="4392.0589156639207"/>
  </r>
  <r>
    <s v="LP0000527"/>
    <x v="2"/>
    <s v="No"/>
    <n v="0"/>
    <x v="1"/>
    <s v="Yes"/>
    <n v="13199"/>
    <n v="8987"/>
    <n v="300"/>
    <n v="120"/>
    <n v="0"/>
    <x v="1"/>
    <n v="22186"/>
    <x v="0"/>
    <x v="0"/>
    <x v="0"/>
    <x v="1"/>
    <n v="3639.8278306607076"/>
  </r>
  <r>
    <s v="LP0000528"/>
    <x v="1"/>
    <s v="No"/>
    <n v="2"/>
    <x v="0"/>
    <s v="No"/>
    <n v="14030"/>
    <n v="2003"/>
    <n v="230"/>
    <n v="360"/>
    <n v="0"/>
    <x v="1"/>
    <n v="16033"/>
    <x v="1"/>
    <x v="0"/>
    <x v="1"/>
    <x v="1"/>
    <n v="1687.6585199225653"/>
  </r>
  <r>
    <s v="LP0000529"/>
    <x v="2"/>
    <s v="Yes"/>
    <s v="3+"/>
    <x v="1"/>
    <s v="No"/>
    <n v="3368"/>
    <n v="3288"/>
    <n v="323"/>
    <n v="360"/>
    <n v="0"/>
    <x v="0"/>
    <n v="6656"/>
    <x v="1"/>
    <x v="1"/>
    <x v="1"/>
    <x v="1"/>
    <n v="2370.0595736303849"/>
  </r>
  <r>
    <s v="LP0000530"/>
    <x v="1"/>
    <s v="No"/>
    <n v="1"/>
    <x v="0"/>
    <s v="No"/>
    <n v="17615"/>
    <n v="2766"/>
    <n v="332"/>
    <n v="360"/>
    <n v="0"/>
    <x v="0"/>
    <n v="20381"/>
    <x v="0"/>
    <x v="0"/>
    <x v="0"/>
    <x v="1"/>
    <n v="2436.0983852795289"/>
  </r>
  <r>
    <s v="LP0000531"/>
    <x v="0"/>
    <s v="No"/>
    <n v="0"/>
    <x v="1"/>
    <s v="No"/>
    <n v="12771"/>
    <n v="5500"/>
    <n v="237"/>
    <n v="360"/>
    <n v="0"/>
    <x v="1"/>
    <n v="18271"/>
    <x v="1"/>
    <x v="0"/>
    <x v="1"/>
    <x v="1"/>
    <n v="1739.0220400941216"/>
  </r>
  <r>
    <s v="LP0000532"/>
    <x v="1"/>
    <s v="Yes"/>
    <s v="3+"/>
    <x v="0"/>
    <s v="No"/>
    <n v="8106"/>
    <n v="8414"/>
    <n v="224"/>
    <n v="180"/>
    <n v="0"/>
    <x v="1"/>
    <n v="16520"/>
    <x v="0"/>
    <x v="0"/>
    <x v="0"/>
    <x v="1"/>
    <n v="2140.6606688999873"/>
  </r>
  <r>
    <s v="LP0000533"/>
    <x v="1"/>
    <s v="No"/>
    <n v="2"/>
    <x v="0"/>
    <s v="No"/>
    <n v="11500"/>
    <n v="4711"/>
    <n v="297"/>
    <n v="180"/>
    <n v="0"/>
    <x v="2"/>
    <n v="16211"/>
    <x v="0"/>
    <x v="0"/>
    <x v="0"/>
    <x v="1"/>
    <n v="2838.2866904611437"/>
  </r>
  <r>
    <s v="LP0000534"/>
    <x v="2"/>
    <s v="No"/>
    <n v="1"/>
    <x v="0"/>
    <s v="No"/>
    <n v="9924"/>
    <n v="1603"/>
    <n v="594"/>
    <n v="120"/>
    <n v="0"/>
    <x v="0"/>
    <n v="11527"/>
    <x v="0"/>
    <x v="0"/>
    <x v="0"/>
    <x v="1"/>
    <n v="7206.8591047082009"/>
  </r>
  <r>
    <s v="LP0000535"/>
    <x v="1"/>
    <s v="Yes"/>
    <n v="0"/>
    <x v="0"/>
    <s v="No"/>
    <n v="19701"/>
    <n v="3230"/>
    <n v="214"/>
    <n v="360"/>
    <n v="0"/>
    <x v="0"/>
    <n v="22931"/>
    <x v="1"/>
    <x v="0"/>
    <x v="1"/>
    <x v="1"/>
    <n v="1570.2561881018651"/>
  </r>
  <r>
    <s v="LP0000536"/>
    <x v="1"/>
    <s v="No"/>
    <n v="2"/>
    <x v="0"/>
    <s v="Yes"/>
    <n v="15928"/>
    <n v="2434"/>
    <n v="430"/>
    <n v="360"/>
    <n v="1"/>
    <x v="1"/>
    <n v="18362"/>
    <x v="1"/>
    <x v="0"/>
    <x v="1"/>
    <x v="0"/>
    <n v="3155.1876676813176"/>
  </r>
  <r>
    <s v="LP0000537"/>
    <x v="0"/>
    <s v="No"/>
    <s v="3+"/>
    <x v="0"/>
    <s v="No"/>
    <n v="16558"/>
    <n v="9349"/>
    <n v="408"/>
    <n v="180"/>
    <n v="0"/>
    <x v="1"/>
    <n v="25907"/>
    <x v="0"/>
    <x v="0"/>
    <x v="0"/>
    <x v="1"/>
    <n v="3899.0605040678338"/>
  </r>
  <r>
    <s v="LP0000538"/>
    <x v="1"/>
    <s v="Yes"/>
    <n v="1"/>
    <x v="0"/>
    <s v="No"/>
    <n v="1855"/>
    <n v="3344"/>
    <n v="673"/>
    <n v="360"/>
    <n v="0"/>
    <x v="1"/>
    <n v="5199"/>
    <x v="0"/>
    <x v="1"/>
    <x v="0"/>
    <x v="1"/>
    <n v="4938.2355822082018"/>
  </r>
  <r>
    <s v="LP0000539"/>
    <x v="1"/>
    <s v="No"/>
    <s v="3+"/>
    <x v="1"/>
    <s v="No"/>
    <n v="6813"/>
    <n v="4698"/>
    <n v="573"/>
    <n v="360"/>
    <n v="0"/>
    <x v="0"/>
    <n v="11511"/>
    <x v="0"/>
    <x v="0"/>
    <x v="0"/>
    <x v="1"/>
    <n v="4204.4710083288255"/>
  </r>
  <r>
    <s v="LP0000540"/>
    <x v="2"/>
    <s v="No"/>
    <s v="3+"/>
    <x v="1"/>
    <s v="Yes"/>
    <n v="10953"/>
    <n v="8710"/>
    <n v="95"/>
    <n v="120"/>
    <n v="0"/>
    <x v="1"/>
    <n v="19663"/>
    <x v="0"/>
    <x v="0"/>
    <x v="0"/>
    <x v="1"/>
    <n v="1152.6121463758909"/>
  </r>
  <r>
    <s v="LP0000541"/>
    <x v="2"/>
    <s v="No"/>
    <n v="1"/>
    <x v="1"/>
    <s v="No"/>
    <n v="15911"/>
    <n v="5175"/>
    <n v="166"/>
    <n v="180"/>
    <n v="0"/>
    <x v="1"/>
    <n v="21086"/>
    <x v="1"/>
    <x v="0"/>
    <x v="1"/>
    <x v="1"/>
    <n v="1586.3824599883835"/>
  </r>
  <r>
    <s v="LP0000542"/>
    <x v="1"/>
    <s v="Yes"/>
    <s v="3+"/>
    <x v="1"/>
    <s v="Yes"/>
    <n v="12679"/>
    <n v="4343"/>
    <n v="588"/>
    <n v="180"/>
    <n v="0"/>
    <x v="0"/>
    <n v="17022"/>
    <x v="1"/>
    <x v="0"/>
    <x v="1"/>
    <x v="1"/>
    <n v="5619.2342558624669"/>
  </r>
  <r>
    <s v="LP0000543"/>
    <x v="0"/>
    <s v="No"/>
    <n v="0"/>
    <x v="1"/>
    <s v="Yes"/>
    <n v="6972"/>
    <n v="4648"/>
    <n v="304"/>
    <n v="360"/>
    <n v="0"/>
    <x v="1"/>
    <n v="11620"/>
    <x v="1"/>
    <x v="0"/>
    <x v="1"/>
    <x v="1"/>
    <n v="2230.6443045933038"/>
  </r>
  <r>
    <s v="LP0000544"/>
    <x v="0"/>
    <s v="No"/>
    <n v="1"/>
    <x v="1"/>
    <s v="No"/>
    <n v="2197"/>
    <n v="7687"/>
    <n v="57"/>
    <n v="120"/>
    <n v="0"/>
    <x v="0"/>
    <n v="9884"/>
    <x v="0"/>
    <x v="0"/>
    <x v="0"/>
    <x v="1"/>
    <n v="691.56728782553444"/>
  </r>
  <r>
    <s v="LP0000545"/>
    <x v="1"/>
    <s v="Yes"/>
    <n v="1"/>
    <x v="1"/>
    <s v="Yes"/>
    <n v="5062"/>
    <n v="3720"/>
    <n v="91"/>
    <n v="360"/>
    <n v="1"/>
    <x v="0"/>
    <n v="8782"/>
    <x v="1"/>
    <x v="0"/>
    <x v="1"/>
    <x v="0"/>
    <n v="667.72576223023225"/>
  </r>
  <r>
    <s v="LP0000546"/>
    <x v="1"/>
    <s v="Yes"/>
    <s v="3+"/>
    <x v="1"/>
    <s v="No"/>
    <n v="6508"/>
    <n v="6376"/>
    <n v="529"/>
    <n v="120"/>
    <n v="0"/>
    <x v="0"/>
    <n v="12884"/>
    <x v="1"/>
    <x v="0"/>
    <x v="1"/>
    <x v="1"/>
    <n v="6418.2297413983815"/>
  </r>
  <r>
    <s v="LP0000547"/>
    <x v="1"/>
    <s v="No"/>
    <n v="1"/>
    <x v="1"/>
    <s v="Yes"/>
    <n v="8052"/>
    <n v="1460"/>
    <n v="457"/>
    <n v="360"/>
    <n v="1"/>
    <x v="2"/>
    <n v="9512"/>
    <x v="1"/>
    <x v="0"/>
    <x v="1"/>
    <x v="0"/>
    <n v="3353.3041026287492"/>
  </r>
  <r>
    <s v="LP0000548"/>
    <x v="2"/>
    <s v="Yes"/>
    <n v="1"/>
    <x v="1"/>
    <s v="No"/>
    <n v="13267"/>
    <n v="8385"/>
    <n v="51"/>
    <n v="180"/>
    <n v="1"/>
    <x v="0"/>
    <n v="21652"/>
    <x v="1"/>
    <x v="0"/>
    <x v="1"/>
    <x v="0"/>
    <n v="487.38256300847922"/>
  </r>
  <r>
    <s v="LP0000549"/>
    <x v="1"/>
    <s v="Yes"/>
    <s v="3+"/>
    <x v="0"/>
    <s v="Yes"/>
    <n v="12450"/>
    <n v="8850"/>
    <n v="531"/>
    <n v="360"/>
    <n v="1"/>
    <x v="2"/>
    <n v="21300"/>
    <x v="1"/>
    <x v="0"/>
    <x v="1"/>
    <x v="0"/>
    <n v="3896.2898872994874"/>
  </r>
  <r>
    <s v="LP0000550"/>
    <x v="0"/>
    <s v="No"/>
    <n v="2"/>
    <x v="0"/>
    <s v="No"/>
    <n v="8387"/>
    <n v="1791"/>
    <n v="190"/>
    <n v="360"/>
    <n v="0"/>
    <x v="0"/>
    <n v="10178"/>
    <x v="1"/>
    <x v="0"/>
    <x v="1"/>
    <x v="1"/>
    <n v="1394.1526903708148"/>
  </r>
  <r>
    <s v="LP0000551"/>
    <x v="1"/>
    <s v="No"/>
    <n v="2"/>
    <x v="1"/>
    <s v="Yes"/>
    <n v="18601"/>
    <n v="6768"/>
    <n v="292"/>
    <n v="120"/>
    <n v="1"/>
    <x v="2"/>
    <n v="25369"/>
    <x v="0"/>
    <x v="0"/>
    <x v="0"/>
    <x v="0"/>
    <n v="3542.7657551764228"/>
  </r>
  <r>
    <s v="LP0000552"/>
    <x v="1"/>
    <s v="No"/>
    <s v="3+"/>
    <x v="1"/>
    <s v="No"/>
    <n v="7965"/>
    <n v="925"/>
    <n v="137"/>
    <n v="180"/>
    <n v="0"/>
    <x v="0"/>
    <n v="8890"/>
    <x v="1"/>
    <x v="0"/>
    <x v="1"/>
    <x v="1"/>
    <n v="1309.2433555325815"/>
  </r>
  <r>
    <s v="LP0000553"/>
    <x v="2"/>
    <s v="No"/>
    <s v="3+"/>
    <x v="0"/>
    <s v="No"/>
    <n v="14152"/>
    <n v="1831"/>
    <n v="639"/>
    <n v="360"/>
    <n v="1"/>
    <x v="1"/>
    <n v="15983"/>
    <x v="1"/>
    <x v="0"/>
    <x v="1"/>
    <x v="0"/>
    <n v="4688.7556270892137"/>
  </r>
  <r>
    <s v="LP0000554"/>
    <x v="0"/>
    <s v="No"/>
    <n v="1"/>
    <x v="0"/>
    <s v="No"/>
    <n v="3879"/>
    <n v="9220"/>
    <n v="399"/>
    <n v="180"/>
    <n v="0"/>
    <x v="2"/>
    <n v="13099"/>
    <x v="1"/>
    <x v="0"/>
    <x v="1"/>
    <x v="1"/>
    <n v="3813.0518164781024"/>
  </r>
  <r>
    <s v="LP0000555"/>
    <x v="0"/>
    <s v="No"/>
    <n v="2"/>
    <x v="0"/>
    <s v="Yes"/>
    <n v="14458"/>
    <n v="4503"/>
    <n v="256"/>
    <n v="180"/>
    <n v="0"/>
    <x v="2"/>
    <n v="18961"/>
    <x v="0"/>
    <x v="0"/>
    <x v="0"/>
    <x v="1"/>
    <n v="2446.4693358856998"/>
  </r>
  <r>
    <s v="LP0000556"/>
    <x v="1"/>
    <s v="No"/>
    <n v="1"/>
    <x v="0"/>
    <s v="No"/>
    <n v="6959"/>
    <n v="1181"/>
    <n v="301"/>
    <n v="180"/>
    <n v="1"/>
    <x v="0"/>
    <n v="8140"/>
    <x v="1"/>
    <x v="0"/>
    <x v="1"/>
    <x v="0"/>
    <n v="2876.5127738343576"/>
  </r>
  <r>
    <s v="LP0000557"/>
    <x v="2"/>
    <s v="No"/>
    <n v="2"/>
    <x v="0"/>
    <s v="No"/>
    <n v="10379"/>
    <n v="7828"/>
    <n v="453"/>
    <n v="120"/>
    <n v="0"/>
    <x v="1"/>
    <n v="18207"/>
    <x v="0"/>
    <x v="0"/>
    <x v="0"/>
    <x v="1"/>
    <n v="5496.1400242976688"/>
  </r>
  <r>
    <s v="LP0000558"/>
    <x v="2"/>
    <s v="No"/>
    <n v="2"/>
    <x v="1"/>
    <s v="Yes"/>
    <n v="18443"/>
    <n v="3121"/>
    <n v="578"/>
    <n v="180"/>
    <n v="0"/>
    <x v="2"/>
    <n v="21564"/>
    <x v="1"/>
    <x v="0"/>
    <x v="1"/>
    <x v="1"/>
    <n v="5523.6690474294319"/>
  </r>
  <r>
    <s v="LP0000559"/>
    <x v="2"/>
    <s v="Yes"/>
    <s v="3+"/>
    <x v="0"/>
    <s v="No"/>
    <n v="4987"/>
    <n v="6955"/>
    <n v="302"/>
    <n v="360"/>
    <n v="0"/>
    <x v="0"/>
    <n v="11942"/>
    <x v="1"/>
    <x v="0"/>
    <x v="1"/>
    <x v="1"/>
    <n v="2215.9690131157163"/>
  </r>
  <r>
    <s v="LP0000560"/>
    <x v="1"/>
    <s v="Yes"/>
    <n v="1"/>
    <x v="1"/>
    <s v="No"/>
    <n v="4542"/>
    <n v="7509"/>
    <n v="260"/>
    <n v="180"/>
    <n v="0"/>
    <x v="2"/>
    <n v="12051"/>
    <x v="1"/>
    <x v="0"/>
    <x v="1"/>
    <x v="1"/>
    <n v="2484.6954192589137"/>
  </r>
  <r>
    <s v="LP0000561"/>
    <x v="0"/>
    <s v="Yes"/>
    <n v="2"/>
    <x v="0"/>
    <s v="Yes"/>
    <n v="17298"/>
    <n v="7281"/>
    <n v="680"/>
    <n v="120"/>
    <n v="0"/>
    <x v="0"/>
    <n v="24579"/>
    <x v="1"/>
    <x v="0"/>
    <x v="1"/>
    <x v="1"/>
    <n v="8250.2764161642717"/>
  </r>
  <r>
    <s v="LP0000562"/>
    <x v="0"/>
    <s v="Yes"/>
    <s v="3+"/>
    <x v="0"/>
    <s v="No"/>
    <n v="15972"/>
    <n v="5063"/>
    <n v="284"/>
    <n v="120"/>
    <n v="0"/>
    <x v="0"/>
    <n v="21035"/>
    <x v="0"/>
    <x v="0"/>
    <x v="0"/>
    <x v="1"/>
    <n v="3445.7036796921366"/>
  </r>
  <r>
    <s v="LP0000563"/>
    <x v="2"/>
    <s v="No"/>
    <n v="0"/>
    <x v="1"/>
    <s v="No"/>
    <n v="4300"/>
    <n v="3651"/>
    <n v="589"/>
    <n v="180"/>
    <n v="0"/>
    <x v="0"/>
    <n v="7951"/>
    <x v="0"/>
    <x v="0"/>
    <x v="0"/>
    <x v="1"/>
    <n v="5628.7907767057704"/>
  </r>
  <r>
    <s v="LP0000564"/>
    <x v="2"/>
    <s v="Yes"/>
    <s v="3+"/>
    <x v="1"/>
    <s v="No"/>
    <n v="18713"/>
    <n v="3736"/>
    <n v="453"/>
    <n v="360"/>
    <n v="0"/>
    <x v="0"/>
    <n v="22449"/>
    <x v="0"/>
    <x v="0"/>
    <x v="0"/>
    <x v="1"/>
    <n v="3323.9535196735742"/>
  </r>
  <r>
    <s v="LP0000565"/>
    <x v="0"/>
    <s v="No"/>
    <n v="0"/>
    <x v="1"/>
    <s v="No"/>
    <n v="10388"/>
    <n v="479"/>
    <n v="646"/>
    <n v="180"/>
    <n v="0"/>
    <x v="0"/>
    <n v="10867"/>
    <x v="1"/>
    <x v="0"/>
    <x v="1"/>
    <x v="1"/>
    <n v="6173.5124647740704"/>
  </r>
  <r>
    <s v="LP0000566"/>
    <x v="0"/>
    <s v="Yes"/>
    <n v="0"/>
    <x v="0"/>
    <s v="Yes"/>
    <n v="12941"/>
    <n v="3972"/>
    <n v="402"/>
    <n v="360"/>
    <n v="0"/>
    <x v="1"/>
    <n v="16913"/>
    <x v="0"/>
    <x v="0"/>
    <x v="0"/>
    <x v="1"/>
    <n v="2949.7335869950925"/>
  </r>
  <r>
    <s v="LP0000567"/>
    <x v="0"/>
    <s v="No"/>
    <n v="2"/>
    <x v="0"/>
    <s v="No"/>
    <n v="5601"/>
    <n v="3619"/>
    <n v="512"/>
    <n v="360"/>
    <n v="0"/>
    <x v="0"/>
    <n v="9220"/>
    <x v="1"/>
    <x v="0"/>
    <x v="1"/>
    <x v="1"/>
    <n v="3756.8746182624059"/>
  </r>
  <r>
    <s v="LP0000568"/>
    <x v="2"/>
    <s v="Yes"/>
    <s v="3+"/>
    <x v="1"/>
    <s v="Yes"/>
    <n v="13420"/>
    <n v="6083"/>
    <n v="59"/>
    <n v="180"/>
    <n v="1"/>
    <x v="1"/>
    <n v="19503"/>
    <x v="1"/>
    <x v="0"/>
    <x v="1"/>
    <x v="0"/>
    <n v="563.83472975490736"/>
  </r>
  <r>
    <s v="LP0000569"/>
    <x v="0"/>
    <s v="No"/>
    <n v="2"/>
    <x v="0"/>
    <s v="Yes"/>
    <n v="18019"/>
    <n v="815"/>
    <n v="257"/>
    <n v="180"/>
    <n v="1"/>
    <x v="0"/>
    <n v="18834"/>
    <x v="1"/>
    <x v="0"/>
    <x v="1"/>
    <x v="0"/>
    <n v="2456.0258567290034"/>
  </r>
  <r>
    <s v="LP0000570"/>
    <x v="1"/>
    <s v="No"/>
    <n v="1"/>
    <x v="1"/>
    <s v="No"/>
    <n v="7954"/>
    <n v="348"/>
    <n v="215"/>
    <n v="180"/>
    <n v="0"/>
    <x v="0"/>
    <n v="8302"/>
    <x v="0"/>
    <x v="0"/>
    <x v="0"/>
    <x v="1"/>
    <n v="2054.6519813102555"/>
  </r>
  <r>
    <s v="LP0000571"/>
    <x v="1"/>
    <s v="No"/>
    <n v="2"/>
    <x v="1"/>
    <s v="Yes"/>
    <n v="15816"/>
    <n v="1891"/>
    <n v="147"/>
    <n v="180"/>
    <n v="1"/>
    <x v="1"/>
    <n v="17707"/>
    <x v="0"/>
    <x v="0"/>
    <x v="0"/>
    <x v="0"/>
    <n v="1404.8085639656167"/>
  </r>
  <r>
    <s v="LP0000572"/>
    <x v="2"/>
    <s v="No"/>
    <s v="3+"/>
    <x v="0"/>
    <s v="No"/>
    <n v="12976"/>
    <n v="6483"/>
    <n v="172"/>
    <n v="360"/>
    <n v="1"/>
    <x v="2"/>
    <n v="19459"/>
    <x v="1"/>
    <x v="0"/>
    <x v="1"/>
    <x v="0"/>
    <n v="1262.0750670725272"/>
  </r>
  <r>
    <s v="LP0000573"/>
    <x v="1"/>
    <s v="Yes"/>
    <n v="1"/>
    <x v="1"/>
    <s v="No"/>
    <n v="17813"/>
    <n v="6184"/>
    <n v="88"/>
    <n v="120"/>
    <n v="0"/>
    <x v="2"/>
    <n v="23997"/>
    <x v="0"/>
    <x v="0"/>
    <x v="0"/>
    <x v="1"/>
    <n v="1067.6828303271409"/>
  </r>
  <r>
    <s v="LP0000574"/>
    <x v="1"/>
    <s v="Yes"/>
    <n v="2"/>
    <x v="1"/>
    <s v="No"/>
    <n v="19484"/>
    <n v="7532"/>
    <n v="468"/>
    <n v="120"/>
    <n v="0"/>
    <x v="0"/>
    <n v="27016"/>
    <x v="0"/>
    <x v="0"/>
    <x v="0"/>
    <x v="1"/>
    <n v="5678.1314158307041"/>
  </r>
  <r>
    <s v="LP0000575"/>
    <x v="2"/>
    <s v="Yes"/>
    <n v="0"/>
    <x v="0"/>
    <s v="No"/>
    <n v="12275"/>
    <n v="5874"/>
    <n v="257"/>
    <n v="180"/>
    <n v="1"/>
    <x v="2"/>
    <n v="18149"/>
    <x v="1"/>
    <x v="0"/>
    <x v="1"/>
    <x v="0"/>
    <n v="2456.0258567290034"/>
  </r>
  <r>
    <s v="LP0000576"/>
    <x v="0"/>
    <s v="Yes"/>
    <n v="2"/>
    <x v="1"/>
    <s v="No"/>
    <n v="7597"/>
    <n v="8775"/>
    <n v="95"/>
    <n v="360"/>
    <n v="1"/>
    <x v="2"/>
    <n v="16372"/>
    <x v="1"/>
    <x v="0"/>
    <x v="1"/>
    <x v="0"/>
    <n v="697.07634518540738"/>
  </r>
  <r>
    <s v="LP0000577"/>
    <x v="0"/>
    <s v="No"/>
    <n v="2"/>
    <x v="0"/>
    <s v="No"/>
    <n v="10147"/>
    <n v="5856"/>
    <n v="246"/>
    <n v="360"/>
    <n v="1"/>
    <x v="2"/>
    <n v="16003"/>
    <x v="1"/>
    <x v="0"/>
    <x v="1"/>
    <x v="0"/>
    <n v="1805.0608517432656"/>
  </r>
  <r>
    <s v="LP0000578"/>
    <x v="1"/>
    <s v="Yes"/>
    <n v="0"/>
    <x v="1"/>
    <s v="No"/>
    <n v="10144"/>
    <n v="6398"/>
    <n v="654"/>
    <n v="120"/>
    <n v="1"/>
    <x v="2"/>
    <n v="16542"/>
    <x v="1"/>
    <x v="0"/>
    <x v="1"/>
    <x v="0"/>
    <n v="7934.8246708403422"/>
  </r>
  <r>
    <s v="LP0000579"/>
    <x v="1"/>
    <s v="No"/>
    <s v="3+"/>
    <x v="1"/>
    <s v="No"/>
    <n v="9179"/>
    <n v="9030"/>
    <n v="465"/>
    <n v="360"/>
    <n v="0"/>
    <x v="1"/>
    <n v="18209"/>
    <x v="0"/>
    <x v="0"/>
    <x v="0"/>
    <x v="1"/>
    <n v="3412.0052685390992"/>
  </r>
  <r>
    <s v="LP0000580"/>
    <x v="2"/>
    <s v="Yes"/>
    <s v="3+"/>
    <x v="0"/>
    <s v="Yes"/>
    <n v="7657"/>
    <n v="1445"/>
    <n v="108"/>
    <n v="120"/>
    <n v="0"/>
    <x v="1"/>
    <n v="9102"/>
    <x v="0"/>
    <x v="0"/>
    <x v="0"/>
    <x v="1"/>
    <n v="1310.3380190378548"/>
  </r>
  <r>
    <s v="LP0000581"/>
    <x v="2"/>
    <s v="Yes"/>
    <n v="0"/>
    <x v="0"/>
    <s v="No"/>
    <n v="14052"/>
    <n v="6872"/>
    <n v="174"/>
    <n v="120"/>
    <n v="0"/>
    <x v="0"/>
    <n v="20924"/>
    <x v="0"/>
    <x v="0"/>
    <x v="0"/>
    <x v="1"/>
    <n v="2111.1001417832103"/>
  </r>
  <r>
    <s v="LP0000582"/>
    <x v="1"/>
    <s v="No"/>
    <n v="2"/>
    <x v="1"/>
    <s v="No"/>
    <n v="9675"/>
    <n v="5588"/>
    <n v="66"/>
    <n v="360"/>
    <n v="1"/>
    <x v="1"/>
    <n v="15263"/>
    <x v="1"/>
    <x v="0"/>
    <x v="1"/>
    <x v="0"/>
    <n v="484.28461876038835"/>
  </r>
  <r>
    <s v="LP0000583"/>
    <x v="1"/>
    <s v="Yes"/>
    <n v="2"/>
    <x v="0"/>
    <s v="No"/>
    <n v="5046"/>
    <n v="8945"/>
    <n v="364"/>
    <n v="360"/>
    <n v="0"/>
    <x v="0"/>
    <n v="13991"/>
    <x v="0"/>
    <x v="0"/>
    <x v="0"/>
    <x v="1"/>
    <n v="2670.903048920929"/>
  </r>
  <r>
    <s v="LP0000584"/>
    <x v="1"/>
    <s v="No"/>
    <s v="3+"/>
    <x v="1"/>
    <s v="No"/>
    <n v="2592"/>
    <n v="9265"/>
    <n v="460"/>
    <n v="360"/>
    <n v="1"/>
    <x v="1"/>
    <n v="11857"/>
    <x v="1"/>
    <x v="0"/>
    <x v="1"/>
    <x v="0"/>
    <n v="3375.3170398451307"/>
  </r>
  <r>
    <s v="LP0000585"/>
    <x v="2"/>
    <s v="Yes"/>
    <n v="2"/>
    <x v="0"/>
    <s v="Yes"/>
    <n v="4817"/>
    <n v="4489"/>
    <n v="63"/>
    <n v="360"/>
    <n v="0"/>
    <x v="2"/>
    <n v="9306"/>
    <x v="0"/>
    <x v="0"/>
    <x v="0"/>
    <x v="1"/>
    <n v="462.27168154400698"/>
  </r>
  <r>
    <s v="LP0000586"/>
    <x v="2"/>
    <s v="Yes"/>
    <n v="0"/>
    <x v="0"/>
    <s v="No"/>
    <n v="2060"/>
    <n v="9471"/>
    <n v="152"/>
    <n v="360"/>
    <n v="0"/>
    <x v="1"/>
    <n v="11531"/>
    <x v="0"/>
    <x v="0"/>
    <x v="0"/>
    <x v="1"/>
    <n v="1115.3221522966519"/>
  </r>
  <r>
    <s v="LP0000587"/>
    <x v="1"/>
    <s v="No"/>
    <n v="1"/>
    <x v="0"/>
    <s v="Yes"/>
    <n v="3990"/>
    <n v="5166"/>
    <n v="567"/>
    <n v="360"/>
    <n v="0"/>
    <x v="0"/>
    <n v="9156"/>
    <x v="1"/>
    <x v="0"/>
    <x v="1"/>
    <x v="1"/>
    <n v="4160.4451338960625"/>
  </r>
  <r>
    <s v="LP0000588"/>
    <x v="2"/>
    <s v="Yes"/>
    <n v="0"/>
    <x v="0"/>
    <s v="Yes"/>
    <n v="11311"/>
    <n v="4940"/>
    <n v="204"/>
    <n v="180"/>
    <n v="0"/>
    <x v="2"/>
    <n v="16251"/>
    <x v="0"/>
    <x v="0"/>
    <x v="0"/>
    <x v="1"/>
    <n v="1949.5302520339169"/>
  </r>
  <r>
    <s v="LP0000589"/>
    <x v="2"/>
    <s v="No"/>
    <n v="0"/>
    <x v="1"/>
    <s v="No"/>
    <n v="12727"/>
    <n v="2491"/>
    <n v="331"/>
    <n v="360"/>
    <n v="0"/>
    <x v="0"/>
    <n v="15218"/>
    <x v="0"/>
    <x v="0"/>
    <x v="0"/>
    <x v="1"/>
    <n v="2428.7607395407354"/>
  </r>
  <r>
    <s v="LP0000590"/>
    <x v="1"/>
    <s v="No"/>
    <n v="0"/>
    <x v="0"/>
    <s v="No"/>
    <n v="13333"/>
    <n v="218"/>
    <n v="190"/>
    <n v="360"/>
    <n v="1"/>
    <x v="1"/>
    <n v="13551"/>
    <x v="0"/>
    <x v="0"/>
    <x v="0"/>
    <x v="0"/>
    <n v="1394.1526903708148"/>
  </r>
  <r>
    <s v="LP0000591"/>
    <x v="0"/>
    <s v="Yes"/>
    <s v="3+"/>
    <x v="0"/>
    <s v="No"/>
    <n v="9301"/>
    <n v="9079"/>
    <n v="56"/>
    <n v="180"/>
    <n v="0"/>
    <x v="2"/>
    <n v="18380"/>
    <x v="1"/>
    <x v="0"/>
    <x v="1"/>
    <x v="1"/>
    <n v="535.16516722499682"/>
  </r>
  <r>
    <s v="LP0000592"/>
    <x v="0"/>
    <s v="Yes"/>
    <n v="2"/>
    <x v="1"/>
    <s v="Yes"/>
    <n v="13170"/>
    <n v="7550"/>
    <n v="104"/>
    <n v="180"/>
    <n v="0"/>
    <x v="1"/>
    <n v="20720"/>
    <x v="0"/>
    <x v="0"/>
    <x v="0"/>
    <x v="1"/>
    <n v="993.8781677035654"/>
  </r>
  <r>
    <s v="LP0000593"/>
    <x v="2"/>
    <s v="No"/>
    <n v="2"/>
    <x v="1"/>
    <s v="Yes"/>
    <n v="16502"/>
    <n v="8067"/>
    <n v="606"/>
    <n v="360"/>
    <n v="1"/>
    <x v="2"/>
    <n v="24569"/>
    <x v="0"/>
    <x v="0"/>
    <x v="0"/>
    <x v="0"/>
    <n v="4446.6133177090196"/>
  </r>
  <r>
    <s v="LP0000594"/>
    <x v="2"/>
    <s v="No"/>
    <n v="2"/>
    <x v="1"/>
    <s v="No"/>
    <n v="14105"/>
    <n v="2022"/>
    <n v="211"/>
    <n v="360"/>
    <n v="0"/>
    <x v="2"/>
    <n v="16127"/>
    <x v="0"/>
    <x v="0"/>
    <x v="0"/>
    <x v="1"/>
    <n v="1548.2432508854838"/>
  </r>
  <r>
    <s v="LP0000595"/>
    <x v="2"/>
    <s v="No"/>
    <n v="0"/>
    <x v="1"/>
    <s v="No"/>
    <n v="4863"/>
    <n v="3715"/>
    <n v="500"/>
    <n v="360"/>
    <n v="1"/>
    <x v="0"/>
    <n v="8578"/>
    <x v="1"/>
    <x v="0"/>
    <x v="1"/>
    <x v="0"/>
    <n v="3668.8228693968813"/>
  </r>
  <r>
    <s v="LP0000596"/>
    <x v="0"/>
    <s v="No"/>
    <n v="2"/>
    <x v="1"/>
    <s v="No"/>
    <n v="13606"/>
    <n v="1422"/>
    <n v="229"/>
    <n v="180"/>
    <n v="0"/>
    <x v="2"/>
    <n v="15028"/>
    <x v="1"/>
    <x v="0"/>
    <x v="1"/>
    <x v="1"/>
    <n v="2188.4432731165048"/>
  </r>
  <r>
    <s v="LP0000597"/>
    <x v="2"/>
    <s v="Yes"/>
    <n v="0"/>
    <x v="0"/>
    <s v="No"/>
    <n v="2624"/>
    <n v="5754"/>
    <n v="628"/>
    <n v="180"/>
    <n v="0"/>
    <x v="0"/>
    <n v="8378"/>
    <x v="0"/>
    <x v="0"/>
    <x v="0"/>
    <x v="1"/>
    <n v="6001.4950895946076"/>
  </r>
  <r>
    <s v="LP0000598"/>
    <x v="2"/>
    <s v="Yes"/>
    <n v="0"/>
    <x v="0"/>
    <s v="Yes"/>
    <n v="11640"/>
    <n v="9597"/>
    <n v="656"/>
    <n v="120"/>
    <n v="0"/>
    <x v="1"/>
    <n v="21237"/>
    <x v="1"/>
    <x v="0"/>
    <x v="1"/>
    <x v="1"/>
    <n v="7959.0901897114145"/>
  </r>
  <r>
    <s v="LP0000599"/>
    <x v="1"/>
    <s v="Yes"/>
    <n v="1"/>
    <x v="0"/>
    <s v="Yes"/>
    <n v="17343"/>
    <n v="3788"/>
    <n v="674"/>
    <n v="360"/>
    <n v="1"/>
    <x v="1"/>
    <n v="21131"/>
    <x v="1"/>
    <x v="0"/>
    <x v="1"/>
    <x v="0"/>
    <n v="4945.5732279469948"/>
  </r>
  <r>
    <s v="LP0000600"/>
    <x v="1"/>
    <s v="No"/>
    <n v="1"/>
    <x v="1"/>
    <s v="No"/>
    <n v="2985"/>
    <n v="2448"/>
    <n v="142"/>
    <n v="180"/>
    <n v="0"/>
    <x v="2"/>
    <n v="5433"/>
    <x v="1"/>
    <x v="1"/>
    <x v="1"/>
    <x v="1"/>
    <n v="1357.025959749099"/>
  </r>
  <r>
    <s v="LP0000601"/>
    <x v="0"/>
    <s v="Yes"/>
    <s v="3+"/>
    <x v="1"/>
    <s v="Yes"/>
    <n v="16805"/>
    <n v="9430"/>
    <n v="201"/>
    <n v="180"/>
    <n v="1"/>
    <x v="1"/>
    <n v="26235"/>
    <x v="1"/>
    <x v="0"/>
    <x v="1"/>
    <x v="0"/>
    <n v="1920.8606895040061"/>
  </r>
  <r>
    <s v="LP0000602"/>
    <x v="2"/>
    <s v="No"/>
    <n v="0"/>
    <x v="1"/>
    <s v="No"/>
    <n v="16995"/>
    <n v="3772"/>
    <n v="199"/>
    <n v="120"/>
    <n v="1"/>
    <x v="0"/>
    <n v="20767"/>
    <x v="1"/>
    <x v="0"/>
    <x v="1"/>
    <x v="0"/>
    <n v="2414.4191276716028"/>
  </r>
  <r>
    <s v="LP0000603"/>
    <x v="2"/>
    <s v="No"/>
    <n v="1"/>
    <x v="1"/>
    <s v="No"/>
    <n v="17613"/>
    <n v="9553"/>
    <n v="520"/>
    <n v="180"/>
    <n v="0"/>
    <x v="0"/>
    <n v="27166"/>
    <x v="1"/>
    <x v="0"/>
    <x v="1"/>
    <x v="1"/>
    <n v="4969.3908385178274"/>
  </r>
  <r>
    <s v="LP0000604"/>
    <x v="2"/>
    <s v="No"/>
    <n v="1"/>
    <x v="0"/>
    <s v="No"/>
    <n v="14089"/>
    <n v="3027"/>
    <n v="329"/>
    <n v="180"/>
    <n v="0"/>
    <x v="2"/>
    <n v="17116"/>
    <x v="1"/>
    <x v="0"/>
    <x v="1"/>
    <x v="1"/>
    <n v="3144.0953574468563"/>
  </r>
  <r>
    <s v="LP0000605"/>
    <x v="0"/>
    <s v="Yes"/>
    <n v="2"/>
    <x v="1"/>
    <s v="No"/>
    <n v="3384"/>
    <n v="1196"/>
    <n v="571"/>
    <n v="120"/>
    <n v="0"/>
    <x v="2"/>
    <n v="4580"/>
    <x v="0"/>
    <x v="1"/>
    <x v="0"/>
    <x v="1"/>
    <n v="6927.8056376908798"/>
  </r>
  <r>
    <s v="LP0000606"/>
    <x v="0"/>
    <s v="Yes"/>
    <n v="0"/>
    <x v="1"/>
    <s v="Yes"/>
    <n v="11903"/>
    <n v="5407"/>
    <n v="588"/>
    <n v="180"/>
    <n v="1"/>
    <x v="0"/>
    <n v="17310"/>
    <x v="0"/>
    <x v="0"/>
    <x v="0"/>
    <x v="0"/>
    <n v="5619.2342558624669"/>
  </r>
  <r>
    <s v="LP0000607"/>
    <x v="2"/>
    <s v="No"/>
    <n v="1"/>
    <x v="1"/>
    <s v="No"/>
    <n v="6131"/>
    <n v="5944"/>
    <n v="370"/>
    <n v="360"/>
    <n v="0"/>
    <x v="1"/>
    <n v="12075"/>
    <x v="1"/>
    <x v="0"/>
    <x v="1"/>
    <x v="1"/>
    <n v="2714.928923353692"/>
  </r>
  <r>
    <s v="LP0000608"/>
    <x v="2"/>
    <s v="No"/>
    <n v="1"/>
    <x v="1"/>
    <s v="No"/>
    <n v="8769"/>
    <n v="8899"/>
    <n v="164"/>
    <n v="360"/>
    <n v="0"/>
    <x v="2"/>
    <n v="17668"/>
    <x v="0"/>
    <x v="0"/>
    <x v="0"/>
    <x v="1"/>
    <n v="1203.3739011621769"/>
  </r>
  <r>
    <s v="LP0000609"/>
    <x v="0"/>
    <s v="Yes"/>
    <n v="2"/>
    <x v="1"/>
    <s v="No"/>
    <n v="11458"/>
    <n v="509"/>
    <n v="610"/>
    <n v="360"/>
    <n v="0"/>
    <x v="2"/>
    <n v="11967"/>
    <x v="1"/>
    <x v="0"/>
    <x v="1"/>
    <x v="1"/>
    <n v="4475.9639006641946"/>
  </r>
  <r>
    <s v="LP0000610"/>
    <x v="0"/>
    <s v="Yes"/>
    <n v="2"/>
    <x v="0"/>
    <s v="No"/>
    <n v="5438"/>
    <n v="5539"/>
    <n v="120"/>
    <n v="180"/>
    <n v="1"/>
    <x v="0"/>
    <n v="10977"/>
    <x v="1"/>
    <x v="0"/>
    <x v="1"/>
    <x v="0"/>
    <n v="1146.7825011964217"/>
  </r>
  <r>
    <s v="LP0000611"/>
    <x v="2"/>
    <s v="No"/>
    <n v="0"/>
    <x v="0"/>
    <s v="Yes"/>
    <n v="13243"/>
    <n v="1934"/>
    <n v="666"/>
    <n v="120"/>
    <n v="0"/>
    <x v="0"/>
    <n v="15177"/>
    <x v="1"/>
    <x v="0"/>
    <x v="1"/>
    <x v="1"/>
    <n v="8080.4177840667717"/>
  </r>
  <r>
    <s v="LP0000612"/>
    <x v="0"/>
    <s v="Yes"/>
    <n v="2"/>
    <x v="1"/>
    <s v="No"/>
    <n v="19224"/>
    <n v="7369"/>
    <n v="207"/>
    <n v="180"/>
    <n v="0"/>
    <x v="1"/>
    <n v="26593"/>
    <x v="0"/>
    <x v="0"/>
    <x v="0"/>
    <x v="1"/>
    <n v="1978.1998145638277"/>
  </r>
  <r>
    <s v="LP0000613"/>
    <x v="2"/>
    <s v="Yes"/>
    <n v="1"/>
    <x v="0"/>
    <s v="No"/>
    <n v="19714"/>
    <n v="2917"/>
    <n v="291"/>
    <n v="360"/>
    <n v="1"/>
    <x v="2"/>
    <n v="22631"/>
    <x v="1"/>
    <x v="0"/>
    <x v="1"/>
    <x v="0"/>
    <n v="2135.2549099889848"/>
  </r>
  <r>
    <s v="LP0000614"/>
    <x v="2"/>
    <s v="No"/>
    <n v="1"/>
    <x v="0"/>
    <s v="Yes"/>
    <n v="14347"/>
    <n v="942"/>
    <n v="207"/>
    <n v="360"/>
    <n v="1"/>
    <x v="0"/>
    <n v="15289"/>
    <x v="0"/>
    <x v="0"/>
    <x v="0"/>
    <x v="0"/>
    <n v="1518.8926679303086"/>
  </r>
  <r>
    <s v="LP0000615"/>
    <x v="0"/>
    <s v="No"/>
    <n v="2"/>
    <x v="0"/>
    <s v="No"/>
    <n v="19179"/>
    <n v="187"/>
    <n v="79"/>
    <n v="360"/>
    <n v="0"/>
    <x v="2"/>
    <n v="19366"/>
    <x v="1"/>
    <x v="0"/>
    <x v="1"/>
    <x v="1"/>
    <n v="579.67401336470721"/>
  </r>
  <r>
    <s v="LP0000616"/>
    <x v="2"/>
    <s v="No"/>
    <s v="3+"/>
    <x v="0"/>
    <s v="Yes"/>
    <n v="6199"/>
    <n v="7288"/>
    <n v="314"/>
    <n v="120"/>
    <n v="0"/>
    <x v="1"/>
    <n v="13487"/>
    <x v="1"/>
    <x v="0"/>
    <x v="1"/>
    <x v="1"/>
    <n v="3809.6864627582077"/>
  </r>
  <r>
    <s v="LP0000617"/>
    <x v="1"/>
    <s v="Yes"/>
    <n v="1"/>
    <x v="1"/>
    <s v="No"/>
    <n v="5598"/>
    <n v="9730"/>
    <n v="50"/>
    <n v="180"/>
    <n v="0"/>
    <x v="1"/>
    <n v="15328"/>
    <x v="0"/>
    <x v="0"/>
    <x v="0"/>
    <x v="1"/>
    <n v="477.82604216517575"/>
  </r>
  <r>
    <s v="LP0000618"/>
    <x v="2"/>
    <s v="No"/>
    <n v="2"/>
    <x v="0"/>
    <s v="No"/>
    <n v="13300"/>
    <n v="315"/>
    <n v="686"/>
    <n v="360"/>
    <n v="0"/>
    <x v="2"/>
    <n v="13615"/>
    <x v="1"/>
    <x v="0"/>
    <x v="1"/>
    <x v="1"/>
    <n v="5033.6249768125208"/>
  </r>
  <r>
    <s v="LP0000619"/>
    <x v="2"/>
    <s v="No"/>
    <n v="2"/>
    <x v="0"/>
    <s v="No"/>
    <n v="5636"/>
    <n v="8714"/>
    <n v="82"/>
    <n v="360"/>
    <n v="0"/>
    <x v="1"/>
    <n v="14350"/>
    <x v="0"/>
    <x v="0"/>
    <x v="0"/>
    <x v="1"/>
    <n v="601.68695058108847"/>
  </r>
  <r>
    <s v="LP0000620"/>
    <x v="2"/>
    <s v="Yes"/>
    <s v="3+"/>
    <x v="0"/>
    <s v="Yes"/>
    <n v="6867"/>
    <n v="7685"/>
    <n v="574"/>
    <n v="180"/>
    <n v="0"/>
    <x v="1"/>
    <n v="14552"/>
    <x v="0"/>
    <x v="0"/>
    <x v="0"/>
    <x v="1"/>
    <n v="5485.4429640562175"/>
  </r>
  <r>
    <s v="LP0000621"/>
    <x v="0"/>
    <s v="No"/>
    <s v="3+"/>
    <x v="1"/>
    <s v="No"/>
    <n v="11701"/>
    <n v="8929"/>
    <n v="650"/>
    <n v="360"/>
    <n v="1"/>
    <x v="0"/>
    <n v="20630"/>
    <x v="1"/>
    <x v="0"/>
    <x v="1"/>
    <x v="0"/>
    <n v="4769.4697302159457"/>
  </r>
  <r>
    <s v="LP0000622"/>
    <x v="1"/>
    <s v="Yes"/>
    <n v="2"/>
    <x v="1"/>
    <s v="No"/>
    <n v="3792"/>
    <n v="9508"/>
    <n v="169"/>
    <n v="180"/>
    <n v="0"/>
    <x v="2"/>
    <n v="13300"/>
    <x v="1"/>
    <x v="0"/>
    <x v="1"/>
    <x v="1"/>
    <n v="1615.0520225182938"/>
  </r>
  <r>
    <s v="LP0000623"/>
    <x v="1"/>
    <s v="No"/>
    <s v="3+"/>
    <x v="1"/>
    <s v="Yes"/>
    <n v="4776"/>
    <n v="7535"/>
    <n v="452"/>
    <n v="360"/>
    <n v="0"/>
    <x v="0"/>
    <n v="12311"/>
    <x v="0"/>
    <x v="0"/>
    <x v="0"/>
    <x v="1"/>
    <n v="3316.6158739347807"/>
  </r>
  <r>
    <s v="LP0000624"/>
    <x v="2"/>
    <s v="Yes"/>
    <n v="1"/>
    <x v="1"/>
    <s v="No"/>
    <n v="4819"/>
    <n v="1894"/>
    <n v="648"/>
    <n v="120"/>
    <n v="0"/>
    <x v="0"/>
    <n v="6713"/>
    <x v="0"/>
    <x v="1"/>
    <x v="0"/>
    <x v="1"/>
    <n v="7862.0281142271288"/>
  </r>
  <r>
    <s v="LP0000625"/>
    <x v="0"/>
    <s v="No"/>
    <n v="2"/>
    <x v="0"/>
    <s v="No"/>
    <n v="19796"/>
    <n v="5257"/>
    <n v="616"/>
    <n v="180"/>
    <n v="0"/>
    <x v="0"/>
    <n v="25053"/>
    <x v="1"/>
    <x v="0"/>
    <x v="1"/>
    <x v="1"/>
    <n v="5886.8168394749646"/>
  </r>
  <r>
    <s v="LP0000626"/>
    <x v="0"/>
    <s v="No"/>
    <n v="2"/>
    <x v="0"/>
    <s v="No"/>
    <n v="5804"/>
    <n v="9474"/>
    <n v="640"/>
    <n v="360"/>
    <n v="0"/>
    <x v="0"/>
    <n v="15278"/>
    <x v="1"/>
    <x v="0"/>
    <x v="1"/>
    <x v="1"/>
    <n v="4696.0932728280077"/>
  </r>
  <r>
    <s v="LP0000627"/>
    <x v="2"/>
    <s v="No"/>
    <n v="2"/>
    <x v="0"/>
    <s v="No"/>
    <n v="10721"/>
    <n v="1640"/>
    <n v="441"/>
    <n v="360"/>
    <n v="1"/>
    <x v="2"/>
    <n v="12361"/>
    <x v="0"/>
    <x v="0"/>
    <x v="0"/>
    <x v="0"/>
    <n v="3235.9017708080487"/>
  </r>
  <r>
    <s v="LP0000628"/>
    <x v="1"/>
    <s v="No"/>
    <n v="1"/>
    <x v="0"/>
    <s v="No"/>
    <n v="11277"/>
    <n v="5535"/>
    <n v="364"/>
    <n v="180"/>
    <n v="0"/>
    <x v="2"/>
    <n v="16812"/>
    <x v="1"/>
    <x v="0"/>
    <x v="1"/>
    <x v="1"/>
    <n v="3478.5735869624796"/>
  </r>
  <r>
    <s v="LP0000629"/>
    <x v="2"/>
    <s v="No"/>
    <n v="0"/>
    <x v="0"/>
    <s v="Yes"/>
    <n v="2700"/>
    <n v="1267"/>
    <n v="318"/>
    <n v="180"/>
    <n v="1"/>
    <x v="2"/>
    <n v="3967"/>
    <x v="1"/>
    <x v="1"/>
    <x v="1"/>
    <x v="0"/>
    <n v="3038.9736281705177"/>
  </r>
  <r>
    <s v="LP0000630"/>
    <x v="0"/>
    <s v="Yes"/>
    <n v="0"/>
    <x v="1"/>
    <s v="No"/>
    <n v="4994"/>
    <n v="1753"/>
    <n v="119"/>
    <n v="180"/>
    <n v="1"/>
    <x v="2"/>
    <n v="6747"/>
    <x v="0"/>
    <x v="1"/>
    <x v="0"/>
    <x v="0"/>
    <n v="1137.2259803531181"/>
  </r>
  <r>
    <s v="LP0000631"/>
    <x v="1"/>
    <s v="Yes"/>
    <n v="2"/>
    <x v="1"/>
    <s v="Yes"/>
    <n v="11704"/>
    <n v="821"/>
    <n v="460"/>
    <n v="360"/>
    <n v="0"/>
    <x v="1"/>
    <n v="12525"/>
    <x v="1"/>
    <x v="0"/>
    <x v="1"/>
    <x v="1"/>
    <n v="3375.3170398451307"/>
  </r>
  <r>
    <s v="LP0000632"/>
    <x v="0"/>
    <s v="No"/>
    <n v="0"/>
    <x v="0"/>
    <s v="Yes"/>
    <n v="5480"/>
    <n v="2233"/>
    <n v="528"/>
    <n v="360"/>
    <n v="1"/>
    <x v="0"/>
    <n v="7713"/>
    <x v="1"/>
    <x v="0"/>
    <x v="1"/>
    <x v="0"/>
    <n v="3874.2769500831068"/>
  </r>
  <r>
    <s v="LP0000633"/>
    <x v="2"/>
    <s v="Yes"/>
    <s v="3+"/>
    <x v="1"/>
    <s v="Yes"/>
    <n v="10557"/>
    <n v="9419"/>
    <n v="156"/>
    <n v="360"/>
    <n v="0"/>
    <x v="0"/>
    <n v="19976"/>
    <x v="1"/>
    <x v="0"/>
    <x v="1"/>
    <x v="1"/>
    <n v="1144.6727352518269"/>
  </r>
  <r>
    <s v="LP0000634"/>
    <x v="2"/>
    <s v="No"/>
    <n v="0"/>
    <x v="0"/>
    <s v="No"/>
    <n v="4159"/>
    <n v="7581"/>
    <n v="516"/>
    <n v="180"/>
    <n v="1"/>
    <x v="2"/>
    <n v="11740"/>
    <x v="0"/>
    <x v="0"/>
    <x v="0"/>
    <x v="0"/>
    <n v="4931.1647551446131"/>
  </r>
  <r>
    <s v="LP0000635"/>
    <x v="0"/>
    <s v="No"/>
    <n v="1"/>
    <x v="0"/>
    <s v="No"/>
    <n v="12832"/>
    <n v="8260"/>
    <n v="135"/>
    <n v="360"/>
    <n v="1"/>
    <x v="1"/>
    <n v="21092"/>
    <x v="1"/>
    <x v="0"/>
    <x v="1"/>
    <x v="0"/>
    <n v="990.58217473715786"/>
  </r>
  <r>
    <s v="LP0000636"/>
    <x v="1"/>
    <s v="No"/>
    <s v="3+"/>
    <x v="1"/>
    <s v="Yes"/>
    <n v="4648"/>
    <n v="1954"/>
    <n v="275"/>
    <n v="360"/>
    <n v="0"/>
    <x v="2"/>
    <n v="6602"/>
    <x v="1"/>
    <x v="1"/>
    <x v="1"/>
    <x v="1"/>
    <n v="2017.8525781682845"/>
  </r>
  <r>
    <s v="LP0000637"/>
    <x v="2"/>
    <s v="No"/>
    <n v="2"/>
    <x v="0"/>
    <s v="No"/>
    <n v="5436"/>
    <n v="3855"/>
    <n v="171"/>
    <n v="120"/>
    <n v="0"/>
    <x v="2"/>
    <n v="9291"/>
    <x v="1"/>
    <x v="0"/>
    <x v="1"/>
    <x v="1"/>
    <n v="2074.7018634766036"/>
  </r>
  <r>
    <s v="LP0000638"/>
    <x v="1"/>
    <s v="No"/>
    <n v="1"/>
    <x v="1"/>
    <s v="No"/>
    <n v="4966"/>
    <n v="7207"/>
    <n v="182"/>
    <n v="120"/>
    <n v="0"/>
    <x v="2"/>
    <n v="12173"/>
    <x v="1"/>
    <x v="0"/>
    <x v="1"/>
    <x v="1"/>
    <n v="2208.1622172674961"/>
  </r>
  <r>
    <s v="LP0000639"/>
    <x v="2"/>
    <s v="No"/>
    <n v="0"/>
    <x v="0"/>
    <s v="No"/>
    <n v="7118"/>
    <n v="8206"/>
    <n v="613"/>
    <n v="360"/>
    <n v="0"/>
    <x v="1"/>
    <n v="15324"/>
    <x v="1"/>
    <x v="0"/>
    <x v="1"/>
    <x v="1"/>
    <n v="4497.9768378805757"/>
  </r>
  <r>
    <s v="LP0000640"/>
    <x v="0"/>
    <s v="Yes"/>
    <n v="2"/>
    <x v="0"/>
    <s v="Yes"/>
    <n v="17872"/>
    <n v="4904"/>
    <n v="472"/>
    <n v="360"/>
    <n v="0"/>
    <x v="0"/>
    <n v="22776"/>
    <x v="0"/>
    <x v="0"/>
    <x v="0"/>
    <x v="1"/>
    <n v="3463.3687887106553"/>
  </r>
  <r>
    <s v="LP0000641"/>
    <x v="2"/>
    <s v="No"/>
    <n v="1"/>
    <x v="0"/>
    <s v="No"/>
    <n v="10938"/>
    <n v="3271"/>
    <n v="91"/>
    <n v="360"/>
    <n v="1"/>
    <x v="2"/>
    <n v="14209"/>
    <x v="1"/>
    <x v="0"/>
    <x v="1"/>
    <x v="0"/>
    <n v="667.72576223023225"/>
  </r>
  <r>
    <s v="LP0000642"/>
    <x v="1"/>
    <s v="No"/>
    <n v="0"/>
    <x v="1"/>
    <s v="No"/>
    <n v="12429"/>
    <n v="2110"/>
    <n v="368"/>
    <n v="120"/>
    <n v="1"/>
    <x v="1"/>
    <n v="14539"/>
    <x v="1"/>
    <x v="0"/>
    <x v="1"/>
    <x v="0"/>
    <n v="4464.855472277135"/>
  </r>
  <r>
    <s v="LP0000643"/>
    <x v="2"/>
    <s v="Yes"/>
    <n v="1"/>
    <x v="0"/>
    <s v="No"/>
    <n v="10393"/>
    <n v="2766"/>
    <n v="246"/>
    <n v="120"/>
    <n v="0"/>
    <x v="2"/>
    <n v="13159"/>
    <x v="1"/>
    <x v="0"/>
    <x v="1"/>
    <x v="1"/>
    <n v="2984.6588211417807"/>
  </r>
  <r>
    <s v="LP0000644"/>
    <x v="2"/>
    <s v="No"/>
    <s v="3+"/>
    <x v="1"/>
    <s v="No"/>
    <n v="7336"/>
    <n v="3478"/>
    <n v="492"/>
    <n v="360"/>
    <n v="0"/>
    <x v="2"/>
    <n v="10814"/>
    <x v="1"/>
    <x v="0"/>
    <x v="1"/>
    <x v="1"/>
    <n v="3610.1217034865313"/>
  </r>
  <r>
    <s v="LP0000645"/>
    <x v="2"/>
    <s v="No"/>
    <n v="2"/>
    <x v="1"/>
    <s v="No"/>
    <n v="9071"/>
    <n v="9584"/>
    <n v="310"/>
    <n v="360"/>
    <n v="1"/>
    <x v="2"/>
    <n v="18655"/>
    <x v="0"/>
    <x v="0"/>
    <x v="0"/>
    <x v="0"/>
    <n v="2274.6701790260663"/>
  </r>
  <r>
    <s v="LP0000646"/>
    <x v="0"/>
    <s v="Yes"/>
    <n v="0"/>
    <x v="1"/>
    <s v="No"/>
    <n v="13124"/>
    <n v="1932"/>
    <n v="321"/>
    <n v="120"/>
    <n v="1"/>
    <x v="0"/>
    <n v="15056"/>
    <x v="0"/>
    <x v="0"/>
    <x v="0"/>
    <x v="0"/>
    <n v="3894.6157788069572"/>
  </r>
  <r>
    <s v="LP0000647"/>
    <x v="0"/>
    <s v="Yes"/>
    <n v="1"/>
    <x v="0"/>
    <s v="No"/>
    <n v="6423"/>
    <n v="6791"/>
    <n v="90"/>
    <n v="360"/>
    <n v="1"/>
    <x v="0"/>
    <n v="13214"/>
    <x v="1"/>
    <x v="0"/>
    <x v="1"/>
    <x v="0"/>
    <n v="660.38811649143861"/>
  </r>
  <r>
    <s v="LP0000648"/>
    <x v="1"/>
    <s v="No"/>
    <s v="3+"/>
    <x v="1"/>
    <s v="No"/>
    <n v="1550"/>
    <n v="9104"/>
    <n v="99"/>
    <n v="360"/>
    <n v="1"/>
    <x v="1"/>
    <n v="10654"/>
    <x v="0"/>
    <x v="0"/>
    <x v="0"/>
    <x v="0"/>
    <n v="726.42692814058239"/>
  </r>
  <r>
    <s v="LP0000649"/>
    <x v="2"/>
    <s v="No"/>
    <n v="1"/>
    <x v="1"/>
    <s v="No"/>
    <n v="10620"/>
    <n v="6542"/>
    <n v="317"/>
    <n v="360"/>
    <n v="0"/>
    <x v="2"/>
    <n v="17162"/>
    <x v="0"/>
    <x v="0"/>
    <x v="0"/>
    <x v="1"/>
    <n v="2326.0336991976228"/>
  </r>
  <r>
    <s v="LP0000650"/>
    <x v="0"/>
    <s v="No"/>
    <n v="2"/>
    <x v="1"/>
    <s v="Yes"/>
    <n v="12179"/>
    <n v="8117"/>
    <n v="280"/>
    <n v="360"/>
    <n v="1"/>
    <x v="2"/>
    <n v="20296"/>
    <x v="1"/>
    <x v="0"/>
    <x v="1"/>
    <x v="0"/>
    <n v="2054.5408068622532"/>
  </r>
  <r>
    <s v="LP0000651"/>
    <x v="0"/>
    <s v="No"/>
    <n v="0"/>
    <x v="0"/>
    <s v="Yes"/>
    <n v="10269"/>
    <n v="2411"/>
    <n v="136"/>
    <n v="120"/>
    <n v="1"/>
    <x v="1"/>
    <n v="12680"/>
    <x v="1"/>
    <x v="0"/>
    <x v="1"/>
    <x v="0"/>
    <n v="1650.0552832328542"/>
  </r>
  <r>
    <s v="LP0000652"/>
    <x v="1"/>
    <s v="No"/>
    <n v="2"/>
    <x v="1"/>
    <s v="Yes"/>
    <n v="14944"/>
    <n v="5645"/>
    <n v="585"/>
    <n v="180"/>
    <n v="0"/>
    <x v="1"/>
    <n v="20589"/>
    <x v="0"/>
    <x v="0"/>
    <x v="0"/>
    <x v="1"/>
    <n v="5590.5646933325561"/>
  </r>
  <r>
    <s v="LP0000653"/>
    <x v="2"/>
    <s v="Yes"/>
    <n v="0"/>
    <x v="0"/>
    <s v="No"/>
    <n v="9291"/>
    <n v="3740"/>
    <n v="55"/>
    <n v="360"/>
    <n v="0"/>
    <x v="2"/>
    <n v="13031"/>
    <x v="0"/>
    <x v="0"/>
    <x v="0"/>
    <x v="1"/>
    <n v="403.57051563365695"/>
  </r>
  <r>
    <s v="LP0000654"/>
    <x v="0"/>
    <s v="No"/>
    <n v="2"/>
    <x v="0"/>
    <s v="No"/>
    <n v="11132"/>
    <n v="7000"/>
    <n v="484"/>
    <n v="360"/>
    <n v="0"/>
    <x v="1"/>
    <n v="18132"/>
    <x v="0"/>
    <x v="0"/>
    <x v="0"/>
    <x v="1"/>
    <n v="3551.4205375761803"/>
  </r>
  <r>
    <s v="LP0000655"/>
    <x v="1"/>
    <s v="No"/>
    <s v="3+"/>
    <x v="0"/>
    <s v="No"/>
    <n v="14842"/>
    <n v="6824"/>
    <n v="481"/>
    <n v="360"/>
    <n v="0"/>
    <x v="1"/>
    <n v="21666"/>
    <x v="1"/>
    <x v="0"/>
    <x v="1"/>
    <x v="1"/>
    <n v="3529.4076003597997"/>
  </r>
  <r>
    <s v="LP0000656"/>
    <x v="2"/>
    <s v="No"/>
    <n v="0"/>
    <x v="0"/>
    <s v="Yes"/>
    <n v="16867"/>
    <n v="3280"/>
    <n v="384"/>
    <n v="180"/>
    <n v="0"/>
    <x v="0"/>
    <n v="20147"/>
    <x v="0"/>
    <x v="0"/>
    <x v="0"/>
    <x v="1"/>
    <n v="3669.704003828549"/>
  </r>
  <r>
    <s v="LP0000657"/>
    <x v="1"/>
    <s v="Yes"/>
    <n v="2"/>
    <x v="1"/>
    <s v="Yes"/>
    <n v="6356"/>
    <n v="1692"/>
    <n v="484"/>
    <n v="120"/>
    <n v="0"/>
    <x v="1"/>
    <n v="8048"/>
    <x v="1"/>
    <x v="0"/>
    <x v="1"/>
    <x v="1"/>
    <n v="5872.2555667992756"/>
  </r>
  <r>
    <s v="LP0000658"/>
    <x v="2"/>
    <s v="No"/>
    <s v="3+"/>
    <x v="1"/>
    <s v="No"/>
    <n v="1652"/>
    <n v="1429"/>
    <n v="172"/>
    <n v="360"/>
    <n v="0"/>
    <x v="0"/>
    <n v="3081"/>
    <x v="1"/>
    <x v="1"/>
    <x v="1"/>
    <x v="1"/>
    <n v="1262.0750670725272"/>
  </r>
  <r>
    <s v="LP0000659"/>
    <x v="1"/>
    <s v="No"/>
    <n v="2"/>
    <x v="1"/>
    <s v="No"/>
    <n v="10448"/>
    <n v="8980"/>
    <n v="663"/>
    <n v="120"/>
    <n v="0"/>
    <x v="0"/>
    <n v="19428"/>
    <x v="1"/>
    <x v="0"/>
    <x v="1"/>
    <x v="1"/>
    <n v="8044.0195057601641"/>
  </r>
  <r>
    <s v="LP0000660"/>
    <x v="2"/>
    <s v="Yes"/>
    <n v="0"/>
    <x v="1"/>
    <s v="Yes"/>
    <n v="15685"/>
    <n v="9992"/>
    <n v="414"/>
    <n v="180"/>
    <n v="0"/>
    <x v="0"/>
    <n v="25677"/>
    <x v="0"/>
    <x v="0"/>
    <x v="0"/>
    <x v="1"/>
    <n v="3956.3996291276553"/>
  </r>
  <r>
    <s v="LP0000661"/>
    <x v="1"/>
    <s v="No"/>
    <n v="0"/>
    <x v="0"/>
    <s v="Yes"/>
    <n v="3040"/>
    <n v="8635"/>
    <n v="475"/>
    <n v="360"/>
    <n v="1"/>
    <x v="1"/>
    <n v="11675"/>
    <x v="1"/>
    <x v="0"/>
    <x v="1"/>
    <x v="0"/>
    <n v="3485.3817259270372"/>
  </r>
  <r>
    <s v="LP0000662"/>
    <x v="2"/>
    <s v="No"/>
    <n v="1"/>
    <x v="0"/>
    <s v="No"/>
    <n v="12896"/>
    <n v="5200"/>
    <n v="208"/>
    <n v="360"/>
    <n v="0"/>
    <x v="2"/>
    <n v="18096"/>
    <x v="0"/>
    <x v="0"/>
    <x v="0"/>
    <x v="1"/>
    <n v="1526.2303136691025"/>
  </r>
  <r>
    <s v="LP0000663"/>
    <x v="1"/>
    <s v="No"/>
    <n v="0"/>
    <x v="1"/>
    <s v="Yes"/>
    <n v="10185"/>
    <n v="8311"/>
    <n v="416"/>
    <n v="120"/>
    <n v="0"/>
    <x v="0"/>
    <n v="18496"/>
    <x v="0"/>
    <x v="0"/>
    <x v="0"/>
    <x v="1"/>
    <n v="5047.2279251828486"/>
  </r>
  <r>
    <s v="LP0000664"/>
    <x v="1"/>
    <s v="Yes"/>
    <n v="0"/>
    <x v="1"/>
    <s v="No"/>
    <n v="6566"/>
    <n v="8636"/>
    <n v="461"/>
    <n v="180"/>
    <n v="1"/>
    <x v="1"/>
    <n v="15202"/>
    <x v="0"/>
    <x v="0"/>
    <x v="0"/>
    <x v="0"/>
    <n v="4405.5561087629203"/>
  </r>
  <r>
    <s v="LP0000665"/>
    <x v="2"/>
    <s v="Yes"/>
    <s v="3+"/>
    <x v="0"/>
    <s v="Yes"/>
    <n v="9053"/>
    <n v="7805"/>
    <n v="328"/>
    <n v="180"/>
    <n v="0"/>
    <x v="2"/>
    <n v="16858"/>
    <x v="0"/>
    <x v="0"/>
    <x v="0"/>
    <x v="1"/>
    <n v="3134.5388366035531"/>
  </r>
  <r>
    <s v="LP0000666"/>
    <x v="2"/>
    <s v="Yes"/>
    <n v="2"/>
    <x v="0"/>
    <s v="Yes"/>
    <n v="10124"/>
    <n v="9688"/>
    <n v="196"/>
    <n v="120"/>
    <n v="0"/>
    <x v="0"/>
    <n v="19812"/>
    <x v="1"/>
    <x v="0"/>
    <x v="1"/>
    <x v="1"/>
    <n v="2378.0208493649957"/>
  </r>
  <r>
    <s v="LP0000667"/>
    <x v="0"/>
    <s v="Yes"/>
    <n v="2"/>
    <x v="1"/>
    <s v="Yes"/>
    <n v="17968"/>
    <n v="658"/>
    <n v="556"/>
    <n v="360"/>
    <n v="1"/>
    <x v="1"/>
    <n v="18626"/>
    <x v="0"/>
    <x v="0"/>
    <x v="0"/>
    <x v="0"/>
    <n v="4079.7310307693315"/>
  </r>
  <r>
    <s v="LP0000668"/>
    <x v="1"/>
    <s v="No"/>
    <n v="0"/>
    <x v="0"/>
    <s v="Yes"/>
    <n v="19099"/>
    <n v="4126"/>
    <n v="170"/>
    <n v="180"/>
    <n v="1"/>
    <x v="0"/>
    <n v="23225"/>
    <x v="0"/>
    <x v="0"/>
    <x v="0"/>
    <x v="0"/>
    <n v="1624.6085433615974"/>
  </r>
  <r>
    <s v="LP0000669"/>
    <x v="2"/>
    <s v="No"/>
    <n v="2"/>
    <x v="0"/>
    <s v="No"/>
    <n v="15462"/>
    <n v="926"/>
    <n v="297"/>
    <n v="180"/>
    <n v="1"/>
    <x v="0"/>
    <n v="16388"/>
    <x v="0"/>
    <x v="0"/>
    <x v="0"/>
    <x v="0"/>
    <n v="2838.2866904611437"/>
  </r>
  <r>
    <s v="LP0000670"/>
    <x v="1"/>
    <s v="No"/>
    <n v="0"/>
    <x v="0"/>
    <s v="No"/>
    <n v="6724"/>
    <n v="9432"/>
    <n v="187"/>
    <n v="360"/>
    <n v="0"/>
    <x v="0"/>
    <n v="16156"/>
    <x v="0"/>
    <x v="0"/>
    <x v="0"/>
    <x v="1"/>
    <n v="1372.1397531544335"/>
  </r>
  <r>
    <s v="LP0000671"/>
    <x v="2"/>
    <s v="No"/>
    <s v="3+"/>
    <x v="1"/>
    <s v="No"/>
    <n v="16042"/>
    <n v="8133"/>
    <n v="607"/>
    <n v="360"/>
    <n v="1"/>
    <x v="1"/>
    <n v="24175"/>
    <x v="1"/>
    <x v="0"/>
    <x v="1"/>
    <x v="0"/>
    <n v="4453.9509634478136"/>
  </r>
  <r>
    <s v="LP0000672"/>
    <x v="2"/>
    <s v="No"/>
    <n v="2"/>
    <x v="1"/>
    <s v="No"/>
    <n v="19480"/>
    <n v="2790"/>
    <n v="66"/>
    <n v="360"/>
    <n v="1"/>
    <x v="2"/>
    <n v="22270"/>
    <x v="0"/>
    <x v="0"/>
    <x v="0"/>
    <x v="0"/>
    <n v="484.28461876038835"/>
  </r>
  <r>
    <s v="LP0000673"/>
    <x v="2"/>
    <s v="Yes"/>
    <n v="1"/>
    <x v="0"/>
    <s v="No"/>
    <n v="13558"/>
    <n v="2608"/>
    <n v="494"/>
    <n v="180"/>
    <n v="0"/>
    <x v="2"/>
    <n v="16166"/>
    <x v="1"/>
    <x v="0"/>
    <x v="1"/>
    <x v="1"/>
    <n v="4720.921296591936"/>
  </r>
  <r>
    <s v="LP0000674"/>
    <x v="1"/>
    <s v="No"/>
    <n v="0"/>
    <x v="0"/>
    <s v="Yes"/>
    <n v="6802"/>
    <n v="3818"/>
    <n v="168"/>
    <n v="180"/>
    <n v="0"/>
    <x v="0"/>
    <n v="10620"/>
    <x v="0"/>
    <x v="0"/>
    <x v="0"/>
    <x v="1"/>
    <n v="1605.4955016749905"/>
  </r>
  <r>
    <s v="LP0000675"/>
    <x v="1"/>
    <s v="Yes"/>
    <n v="0"/>
    <x v="1"/>
    <s v="No"/>
    <n v="8183"/>
    <n v="4026"/>
    <n v="604"/>
    <n v="180"/>
    <n v="1"/>
    <x v="1"/>
    <n v="12209"/>
    <x v="0"/>
    <x v="0"/>
    <x v="0"/>
    <x v="0"/>
    <n v="5772.1385893553224"/>
  </r>
  <r>
    <s v="LP0000676"/>
    <x v="2"/>
    <s v="No"/>
    <n v="1"/>
    <x v="1"/>
    <s v="Yes"/>
    <n v="4810"/>
    <n v="6368"/>
    <n v="495"/>
    <n v="120"/>
    <n v="0"/>
    <x v="2"/>
    <n v="11178"/>
    <x v="0"/>
    <x v="0"/>
    <x v="0"/>
    <x v="1"/>
    <n v="6005.715920590168"/>
  </r>
  <r>
    <s v="LP0000677"/>
    <x v="0"/>
    <s v="Yes"/>
    <s v="3+"/>
    <x v="1"/>
    <s v="No"/>
    <n v="7923"/>
    <n v="306"/>
    <n v="631"/>
    <n v="360"/>
    <n v="0"/>
    <x v="2"/>
    <n v="8229"/>
    <x v="1"/>
    <x v="0"/>
    <x v="1"/>
    <x v="1"/>
    <n v="4630.0544611788637"/>
  </r>
  <r>
    <s v="LP0000678"/>
    <x v="1"/>
    <s v="Yes"/>
    <n v="0"/>
    <x v="1"/>
    <s v="No"/>
    <n v="9361"/>
    <n v="5773"/>
    <n v="303"/>
    <n v="180"/>
    <n v="1"/>
    <x v="1"/>
    <n v="15134"/>
    <x v="0"/>
    <x v="0"/>
    <x v="0"/>
    <x v="0"/>
    <n v="2895.6258155209653"/>
  </r>
  <r>
    <s v="LP0000679"/>
    <x v="0"/>
    <s v="No"/>
    <n v="0"/>
    <x v="1"/>
    <s v="No"/>
    <n v="9230"/>
    <n v="7970"/>
    <n v="606"/>
    <n v="120"/>
    <n v="0"/>
    <x v="1"/>
    <n v="17200"/>
    <x v="1"/>
    <x v="0"/>
    <x v="1"/>
    <x v="1"/>
    <n v="7352.4522179346304"/>
  </r>
  <r>
    <s v="LP0000680"/>
    <x v="0"/>
    <s v="No"/>
    <n v="2"/>
    <x v="0"/>
    <s v="No"/>
    <n v="15148"/>
    <n v="1794"/>
    <n v="93"/>
    <n v="360"/>
    <n v="0"/>
    <x v="0"/>
    <n v="16942"/>
    <x v="0"/>
    <x v="0"/>
    <x v="0"/>
    <x v="1"/>
    <n v="682.40105370781987"/>
  </r>
  <r>
    <s v="LP0000681"/>
    <x v="1"/>
    <s v="No"/>
    <n v="2"/>
    <x v="0"/>
    <s v="No"/>
    <n v="14277"/>
    <n v="9897"/>
    <n v="418"/>
    <n v="360"/>
    <n v="0"/>
    <x v="0"/>
    <n v="24174"/>
    <x v="0"/>
    <x v="0"/>
    <x v="0"/>
    <x v="1"/>
    <n v="3067.1359188157921"/>
  </r>
  <r>
    <s v="LP0000682"/>
    <x v="1"/>
    <s v="No"/>
    <n v="1"/>
    <x v="1"/>
    <s v="No"/>
    <n v="2603"/>
    <n v="3674"/>
    <n v="91"/>
    <n v="360"/>
    <n v="1"/>
    <x v="0"/>
    <n v="6277"/>
    <x v="1"/>
    <x v="1"/>
    <x v="1"/>
    <x v="0"/>
    <n v="667.72576223023225"/>
  </r>
  <r>
    <s v="LP0000683"/>
    <x v="0"/>
    <s v="Yes"/>
    <n v="0"/>
    <x v="0"/>
    <s v="Yes"/>
    <n v="5385"/>
    <n v="2953"/>
    <n v="421"/>
    <n v="120"/>
    <n v="1"/>
    <x v="0"/>
    <n v="8338"/>
    <x v="1"/>
    <x v="0"/>
    <x v="1"/>
    <x v="0"/>
    <n v="5107.8917223605267"/>
  </r>
  <r>
    <s v="LP0000684"/>
    <x v="2"/>
    <s v="No"/>
    <n v="2"/>
    <x v="1"/>
    <s v="No"/>
    <n v="3601"/>
    <n v="938"/>
    <n v="207"/>
    <n v="360"/>
    <n v="0"/>
    <x v="2"/>
    <n v="4539"/>
    <x v="0"/>
    <x v="1"/>
    <x v="0"/>
    <x v="1"/>
    <n v="1518.8926679303086"/>
  </r>
  <r>
    <s v="LP0000685"/>
    <x v="1"/>
    <s v="No"/>
    <n v="2"/>
    <x v="0"/>
    <s v="Yes"/>
    <n v="12060"/>
    <n v="9624"/>
    <n v="61"/>
    <n v="120"/>
    <n v="1"/>
    <x v="2"/>
    <n v="21684"/>
    <x v="1"/>
    <x v="0"/>
    <x v="1"/>
    <x v="0"/>
    <n v="740.09832556767719"/>
  </r>
  <r>
    <s v="LP0000686"/>
    <x v="1"/>
    <s v="No"/>
    <n v="1"/>
    <x v="0"/>
    <s v="Yes"/>
    <n v="13028"/>
    <n v="4345"/>
    <n v="458"/>
    <n v="120"/>
    <n v="1"/>
    <x v="1"/>
    <n v="17373"/>
    <x v="1"/>
    <x v="0"/>
    <x v="1"/>
    <x v="0"/>
    <n v="5556.8038214753469"/>
  </r>
  <r>
    <s v="LP0000687"/>
    <x v="2"/>
    <s v="No"/>
    <n v="0"/>
    <x v="0"/>
    <s v="No"/>
    <n v="5549"/>
    <n v="9164"/>
    <n v="633"/>
    <n v="360"/>
    <n v="0"/>
    <x v="0"/>
    <n v="14713"/>
    <x v="1"/>
    <x v="0"/>
    <x v="1"/>
    <x v="1"/>
    <n v="4644.7297526564516"/>
  </r>
  <r>
    <s v="LP0000688"/>
    <x v="1"/>
    <s v="No"/>
    <n v="1"/>
    <x v="1"/>
    <s v="No"/>
    <n v="17189"/>
    <n v="3347"/>
    <n v="391"/>
    <n v="120"/>
    <n v="0"/>
    <x v="1"/>
    <n v="20536"/>
    <x v="0"/>
    <x v="0"/>
    <x v="0"/>
    <x v="1"/>
    <n v="4743.9089392944561"/>
  </r>
  <r>
    <s v="LP0000689"/>
    <x v="1"/>
    <s v="No"/>
    <n v="2"/>
    <x v="1"/>
    <s v="No"/>
    <n v="3389"/>
    <n v="5032"/>
    <n v="128"/>
    <n v="360"/>
    <n v="0"/>
    <x v="0"/>
    <n v="8421"/>
    <x v="0"/>
    <x v="0"/>
    <x v="0"/>
    <x v="1"/>
    <n v="939.21865456560147"/>
  </r>
  <r>
    <s v="LP0000690"/>
    <x v="2"/>
    <s v="No"/>
    <n v="1"/>
    <x v="1"/>
    <s v="No"/>
    <n v="4188"/>
    <n v="4079"/>
    <n v="320"/>
    <n v="120"/>
    <n v="1"/>
    <x v="2"/>
    <n v="8267"/>
    <x v="1"/>
    <x v="0"/>
    <x v="1"/>
    <x v="0"/>
    <n v="3882.483019371422"/>
  </r>
  <r>
    <s v="LP0000691"/>
    <x v="2"/>
    <s v="No"/>
    <s v="3+"/>
    <x v="1"/>
    <s v="No"/>
    <n v="4562"/>
    <n v="5876"/>
    <n v="684"/>
    <n v="360"/>
    <n v="0"/>
    <x v="0"/>
    <n v="10438"/>
    <x v="1"/>
    <x v="0"/>
    <x v="1"/>
    <x v="1"/>
    <n v="5018.9496853349328"/>
  </r>
  <r>
    <s v="LP0000692"/>
    <x v="0"/>
    <s v="No"/>
    <s v="3+"/>
    <x v="1"/>
    <s v="No"/>
    <n v="18626"/>
    <n v="1510"/>
    <n v="456"/>
    <n v="360"/>
    <n v="1"/>
    <x v="1"/>
    <n v="20136"/>
    <x v="0"/>
    <x v="0"/>
    <x v="0"/>
    <x v="0"/>
    <n v="3345.9664568899557"/>
  </r>
  <r>
    <s v="LP0000693"/>
    <x v="1"/>
    <s v="No"/>
    <n v="1"/>
    <x v="1"/>
    <s v="No"/>
    <n v="9647"/>
    <n v="2371"/>
    <n v="657"/>
    <n v="360"/>
    <n v="0"/>
    <x v="1"/>
    <n v="12018"/>
    <x v="1"/>
    <x v="0"/>
    <x v="1"/>
    <x v="1"/>
    <n v="4820.8332503875017"/>
  </r>
  <r>
    <s v="LP0000694"/>
    <x v="1"/>
    <s v="Yes"/>
    <n v="0"/>
    <x v="0"/>
    <s v="No"/>
    <n v="14771"/>
    <n v="180"/>
    <n v="70"/>
    <n v="360"/>
    <n v="1"/>
    <x v="2"/>
    <n v="14951"/>
    <x v="0"/>
    <x v="0"/>
    <x v="0"/>
    <x v="0"/>
    <n v="513.63520171556331"/>
  </r>
  <r>
    <s v="LP0000695"/>
    <x v="2"/>
    <s v="No"/>
    <n v="1"/>
    <x v="0"/>
    <s v="Yes"/>
    <n v="6522"/>
    <n v="6794"/>
    <n v="95"/>
    <n v="360"/>
    <n v="0"/>
    <x v="0"/>
    <n v="13316"/>
    <x v="0"/>
    <x v="0"/>
    <x v="0"/>
    <x v="1"/>
    <n v="697.07634518540738"/>
  </r>
  <r>
    <s v="LP0000696"/>
    <x v="2"/>
    <s v="No"/>
    <s v="3+"/>
    <x v="1"/>
    <s v="No"/>
    <n v="10256"/>
    <n v="5500"/>
    <n v="273"/>
    <n v="360"/>
    <n v="1"/>
    <x v="2"/>
    <n v="15756"/>
    <x v="0"/>
    <x v="0"/>
    <x v="0"/>
    <x v="0"/>
    <n v="2003.1772866906972"/>
  </r>
  <r>
    <s v="LP0000697"/>
    <x v="0"/>
    <s v="Yes"/>
    <n v="1"/>
    <x v="0"/>
    <s v="Yes"/>
    <n v="9707"/>
    <n v="3002"/>
    <n v="312"/>
    <n v="180"/>
    <n v="0"/>
    <x v="2"/>
    <n v="12709"/>
    <x v="1"/>
    <x v="0"/>
    <x v="1"/>
    <x v="1"/>
    <n v="2981.6345031106966"/>
  </r>
  <r>
    <s v="LP0000698"/>
    <x v="0"/>
    <s v="Yes"/>
    <s v="3+"/>
    <x v="1"/>
    <s v="No"/>
    <n v="19034"/>
    <n v="2606"/>
    <n v="662"/>
    <n v="360"/>
    <n v="0"/>
    <x v="2"/>
    <n v="21640"/>
    <x v="0"/>
    <x v="0"/>
    <x v="0"/>
    <x v="1"/>
    <n v="4857.5214790814707"/>
  </r>
  <r>
    <s v="LP0000699"/>
    <x v="1"/>
    <s v="No"/>
    <n v="0"/>
    <x v="0"/>
    <s v="No"/>
    <n v="15993"/>
    <n v="2932"/>
    <n v="141"/>
    <n v="120"/>
    <n v="1"/>
    <x v="0"/>
    <n v="18925"/>
    <x v="1"/>
    <x v="0"/>
    <x v="1"/>
    <x v="0"/>
    <n v="1710.7190804105328"/>
  </r>
  <r>
    <s v="LP0000700"/>
    <x v="0"/>
    <s v="No"/>
    <n v="0"/>
    <x v="0"/>
    <s v="No"/>
    <n v="11362"/>
    <n v="6652"/>
    <n v="680"/>
    <n v="360"/>
    <n v="0"/>
    <x v="1"/>
    <n v="18014"/>
    <x v="1"/>
    <x v="0"/>
    <x v="1"/>
    <x v="1"/>
    <n v="4989.5991023797587"/>
  </r>
  <r>
    <s v="LP0000701"/>
    <x v="1"/>
    <s v="No"/>
    <n v="0"/>
    <x v="1"/>
    <s v="No"/>
    <n v="3700"/>
    <n v="2073"/>
    <n v="570"/>
    <n v="360"/>
    <n v="1"/>
    <x v="2"/>
    <n v="5773"/>
    <x v="0"/>
    <x v="1"/>
    <x v="0"/>
    <x v="0"/>
    <n v="4182.4580711124445"/>
  </r>
  <r>
    <s v="LP0000702"/>
    <x v="2"/>
    <s v="No"/>
    <s v="3+"/>
    <x v="0"/>
    <s v="No"/>
    <n v="10944"/>
    <n v="4340"/>
    <n v="392"/>
    <n v="120"/>
    <n v="0"/>
    <x v="0"/>
    <n v="15284"/>
    <x v="1"/>
    <x v="0"/>
    <x v="1"/>
    <x v="1"/>
    <n v="4756.0416987299914"/>
  </r>
  <r>
    <s v="LP0000703"/>
    <x v="1"/>
    <s v="No"/>
    <n v="1"/>
    <x v="1"/>
    <s v="No"/>
    <n v="17906"/>
    <n v="8375"/>
    <n v="145"/>
    <n v="360"/>
    <n v="0"/>
    <x v="1"/>
    <n v="26281"/>
    <x v="0"/>
    <x v="0"/>
    <x v="0"/>
    <x v="1"/>
    <n v="1063.9586321250956"/>
  </r>
  <r>
    <s v="LP0000704"/>
    <x v="0"/>
    <s v="No"/>
    <n v="1"/>
    <x v="1"/>
    <s v="No"/>
    <n v="6102"/>
    <n v="3377"/>
    <n v="78"/>
    <n v="120"/>
    <n v="0"/>
    <x v="1"/>
    <n v="9479"/>
    <x v="1"/>
    <x v="0"/>
    <x v="1"/>
    <x v="1"/>
    <n v="946.35523597178405"/>
  </r>
  <r>
    <s v="LP0000705"/>
    <x v="0"/>
    <s v="No"/>
    <s v="3+"/>
    <x v="1"/>
    <s v="Yes"/>
    <n v="18542"/>
    <n v="5081"/>
    <n v="461"/>
    <n v="180"/>
    <n v="0"/>
    <x v="1"/>
    <n v="23623"/>
    <x v="0"/>
    <x v="0"/>
    <x v="0"/>
    <x v="1"/>
    <n v="4405.5561087629203"/>
  </r>
  <r>
    <s v="LP0000706"/>
    <x v="2"/>
    <s v="No"/>
    <n v="0"/>
    <x v="0"/>
    <s v="No"/>
    <n v="19903"/>
    <n v="7749"/>
    <n v="254"/>
    <n v="360"/>
    <n v="0"/>
    <x v="2"/>
    <n v="27652"/>
    <x v="1"/>
    <x v="0"/>
    <x v="1"/>
    <x v="1"/>
    <n v="1863.7620176536157"/>
  </r>
  <r>
    <s v="LP0000707"/>
    <x v="0"/>
    <s v="Yes"/>
    <s v="3+"/>
    <x v="0"/>
    <s v="No"/>
    <n v="11870"/>
    <n v="6150"/>
    <n v="370"/>
    <n v="120"/>
    <n v="0"/>
    <x v="2"/>
    <n v="18020"/>
    <x v="1"/>
    <x v="0"/>
    <x v="1"/>
    <x v="1"/>
    <n v="4489.1209911482065"/>
  </r>
  <r>
    <s v="LP0000708"/>
    <x v="1"/>
    <s v="Yes"/>
    <n v="0"/>
    <x v="1"/>
    <s v="No"/>
    <n v="18173"/>
    <n v="8623"/>
    <n v="415"/>
    <n v="360"/>
    <n v="1"/>
    <x v="0"/>
    <n v="26796"/>
    <x v="0"/>
    <x v="0"/>
    <x v="0"/>
    <x v="0"/>
    <n v="3045.1229815994111"/>
  </r>
  <r>
    <s v="LP0000709"/>
    <x v="1"/>
    <s v="No"/>
    <s v="3+"/>
    <x v="0"/>
    <s v="Yes"/>
    <n v="7288"/>
    <n v="7540"/>
    <n v="224"/>
    <n v="120"/>
    <n v="0"/>
    <x v="1"/>
    <n v="14828"/>
    <x v="1"/>
    <x v="0"/>
    <x v="1"/>
    <x v="1"/>
    <n v="2717.7381135599953"/>
  </r>
  <r>
    <s v="LP0000710"/>
    <x v="1"/>
    <s v="No"/>
    <n v="2"/>
    <x v="0"/>
    <s v="Yes"/>
    <n v="7145"/>
    <n v="7161"/>
    <n v="222"/>
    <n v="360"/>
    <n v="0"/>
    <x v="2"/>
    <n v="14306"/>
    <x v="0"/>
    <x v="0"/>
    <x v="0"/>
    <x v="1"/>
    <n v="1628.9573540122153"/>
  </r>
  <r>
    <s v="LP0000711"/>
    <x v="1"/>
    <s v="No"/>
    <s v="3+"/>
    <x v="0"/>
    <s v="No"/>
    <n v="18519"/>
    <n v="4299"/>
    <n v="629"/>
    <n v="180"/>
    <n v="1"/>
    <x v="2"/>
    <n v="22818"/>
    <x v="0"/>
    <x v="0"/>
    <x v="0"/>
    <x v="0"/>
    <n v="6011.0516104379103"/>
  </r>
  <r>
    <s v="LP0000712"/>
    <x v="2"/>
    <s v="No"/>
    <s v="3+"/>
    <x v="0"/>
    <s v="No"/>
    <n v="9564"/>
    <n v="1898"/>
    <n v="157"/>
    <n v="120"/>
    <n v="1"/>
    <x v="0"/>
    <n v="11462"/>
    <x v="0"/>
    <x v="0"/>
    <x v="0"/>
    <x v="0"/>
    <n v="1904.8432313791038"/>
  </r>
  <r>
    <s v="LP0000713"/>
    <x v="1"/>
    <s v="No"/>
    <n v="2"/>
    <x v="1"/>
    <s v="No"/>
    <n v="11826"/>
    <n v="9732"/>
    <n v="244"/>
    <n v="120"/>
    <n v="0"/>
    <x v="1"/>
    <n v="21558"/>
    <x v="0"/>
    <x v="0"/>
    <x v="0"/>
    <x v="1"/>
    <n v="2960.3933022707088"/>
  </r>
  <r>
    <s v="LP0000714"/>
    <x v="1"/>
    <s v="Yes"/>
    <n v="0"/>
    <x v="0"/>
    <s v="Yes"/>
    <n v="16405"/>
    <n v="2951"/>
    <n v="381"/>
    <n v="360"/>
    <n v="1"/>
    <x v="0"/>
    <n v="19356"/>
    <x v="0"/>
    <x v="0"/>
    <x v="0"/>
    <x v="0"/>
    <n v="2795.6430264804235"/>
  </r>
  <r>
    <s v="LP0000715"/>
    <x v="0"/>
    <s v="No"/>
    <s v="3+"/>
    <x v="1"/>
    <s v="Yes"/>
    <n v="7553"/>
    <n v="8058"/>
    <n v="139"/>
    <n v="360"/>
    <n v="0"/>
    <x v="1"/>
    <n v="15611"/>
    <x v="0"/>
    <x v="0"/>
    <x v="0"/>
    <x v="1"/>
    <n v="1019.9327576923329"/>
  </r>
  <r>
    <s v="LP0000716"/>
    <x v="0"/>
    <s v="No"/>
    <n v="0"/>
    <x v="0"/>
    <s v="Yes"/>
    <n v="19527"/>
    <n v="8951"/>
    <n v="668"/>
    <n v="180"/>
    <n v="1"/>
    <x v="1"/>
    <n v="28478"/>
    <x v="1"/>
    <x v="0"/>
    <x v="1"/>
    <x v="0"/>
    <n v="6383.7559233267475"/>
  </r>
  <r>
    <s v="LP0000717"/>
    <x v="1"/>
    <s v="No"/>
    <s v="3+"/>
    <x v="0"/>
    <s v="Yes"/>
    <n v="11110"/>
    <n v="6846"/>
    <n v="225"/>
    <n v="180"/>
    <n v="1"/>
    <x v="1"/>
    <n v="17956"/>
    <x v="1"/>
    <x v="0"/>
    <x v="1"/>
    <x v="0"/>
    <n v="2150.2171897432909"/>
  </r>
  <r>
    <s v="LP0000718"/>
    <x v="0"/>
    <s v="Yes"/>
    <n v="0"/>
    <x v="1"/>
    <s v="No"/>
    <n v="9881"/>
    <n v="9995"/>
    <n v="597"/>
    <n v="360"/>
    <n v="0"/>
    <x v="1"/>
    <n v="19876"/>
    <x v="1"/>
    <x v="0"/>
    <x v="1"/>
    <x v="1"/>
    <n v="4380.5745060598756"/>
  </r>
  <r>
    <s v="LP0000719"/>
    <x v="2"/>
    <s v="Yes"/>
    <n v="2"/>
    <x v="0"/>
    <s v="No"/>
    <n v="14436"/>
    <n v="1251"/>
    <n v="629"/>
    <n v="360"/>
    <n v="1"/>
    <x v="0"/>
    <n v="15687"/>
    <x v="0"/>
    <x v="0"/>
    <x v="0"/>
    <x v="0"/>
    <n v="4615.3791697012757"/>
  </r>
  <r>
    <s v="LP0000720"/>
    <x v="0"/>
    <s v="No"/>
    <s v="3+"/>
    <x v="1"/>
    <s v="No"/>
    <n v="4463"/>
    <n v="7776"/>
    <n v="275"/>
    <n v="360"/>
    <n v="0"/>
    <x v="0"/>
    <n v="12239"/>
    <x v="0"/>
    <x v="0"/>
    <x v="0"/>
    <x v="1"/>
    <n v="2017.8525781682845"/>
  </r>
  <r>
    <s v="LP0000721"/>
    <x v="0"/>
    <s v="Yes"/>
    <n v="2"/>
    <x v="0"/>
    <s v="No"/>
    <n v="5424"/>
    <n v="2048"/>
    <n v="241"/>
    <n v="120"/>
    <n v="0"/>
    <x v="0"/>
    <n v="7472"/>
    <x v="1"/>
    <x v="0"/>
    <x v="1"/>
    <x v="1"/>
    <n v="2923.9950239641021"/>
  </r>
  <r>
    <s v="LP0000722"/>
    <x v="0"/>
    <s v="No"/>
    <n v="1"/>
    <x v="1"/>
    <s v="No"/>
    <n v="16393"/>
    <n v="1892"/>
    <n v="339"/>
    <n v="360"/>
    <n v="0"/>
    <x v="0"/>
    <n v="18285"/>
    <x v="0"/>
    <x v="0"/>
    <x v="0"/>
    <x v="1"/>
    <n v="2487.4619054510854"/>
  </r>
  <r>
    <s v="LP0000723"/>
    <x v="1"/>
    <s v="No"/>
    <n v="1"/>
    <x v="0"/>
    <s v="No"/>
    <n v="3304"/>
    <n v="6651"/>
    <n v="214"/>
    <n v="360"/>
    <n v="0"/>
    <x v="1"/>
    <n v="9955"/>
    <x v="0"/>
    <x v="0"/>
    <x v="0"/>
    <x v="1"/>
    <n v="1570.2561881018651"/>
  </r>
  <r>
    <s v="LP0000724"/>
    <x v="0"/>
    <s v="No"/>
    <s v="3+"/>
    <x v="1"/>
    <s v="No"/>
    <n v="5680"/>
    <n v="7016"/>
    <n v="575"/>
    <n v="120"/>
    <n v="1"/>
    <x v="0"/>
    <n v="12696"/>
    <x v="0"/>
    <x v="0"/>
    <x v="0"/>
    <x v="0"/>
    <n v="6976.3366754330236"/>
  </r>
  <r>
    <s v="LP0000725"/>
    <x v="2"/>
    <s v="No"/>
    <n v="0"/>
    <x v="0"/>
    <s v="No"/>
    <n v="2585"/>
    <n v="8273"/>
    <n v="154"/>
    <n v="180"/>
    <n v="0"/>
    <x v="1"/>
    <n v="10858"/>
    <x v="1"/>
    <x v="0"/>
    <x v="1"/>
    <x v="1"/>
    <n v="1471.7042098687411"/>
  </r>
  <r>
    <s v="LP0000726"/>
    <x v="2"/>
    <s v="No"/>
    <n v="2"/>
    <x v="1"/>
    <s v="No"/>
    <n v="8177"/>
    <n v="6338"/>
    <n v="254"/>
    <n v="180"/>
    <n v="1"/>
    <x v="0"/>
    <n v="14515"/>
    <x v="0"/>
    <x v="0"/>
    <x v="0"/>
    <x v="0"/>
    <n v="2427.3562941990926"/>
  </r>
  <r>
    <s v="LP0000727"/>
    <x v="0"/>
    <s v="No"/>
    <n v="1"/>
    <x v="1"/>
    <s v="Yes"/>
    <n v="3340"/>
    <n v="6217"/>
    <n v="209"/>
    <n v="360"/>
    <n v="0"/>
    <x v="2"/>
    <n v="9557"/>
    <x v="0"/>
    <x v="0"/>
    <x v="0"/>
    <x v="1"/>
    <n v="1533.5679594078961"/>
  </r>
  <r>
    <s v="LP0000728"/>
    <x v="2"/>
    <s v="No"/>
    <s v="3+"/>
    <x v="1"/>
    <s v="Yes"/>
    <n v="17399"/>
    <n v="9792"/>
    <n v="316"/>
    <n v="120"/>
    <n v="0"/>
    <x v="0"/>
    <n v="27191"/>
    <x v="0"/>
    <x v="0"/>
    <x v="0"/>
    <x v="1"/>
    <n v="3833.9519816292786"/>
  </r>
  <r>
    <s v="LP0000729"/>
    <x v="0"/>
    <s v="No"/>
    <s v="3+"/>
    <x v="1"/>
    <s v="No"/>
    <n v="8120"/>
    <n v="9729"/>
    <n v="463"/>
    <n v="120"/>
    <n v="0"/>
    <x v="0"/>
    <n v="17849"/>
    <x v="1"/>
    <x v="0"/>
    <x v="1"/>
    <x v="1"/>
    <n v="5617.467618653026"/>
  </r>
  <r>
    <s v="LP0000730"/>
    <x v="2"/>
    <s v="Yes"/>
    <n v="1"/>
    <x v="0"/>
    <s v="No"/>
    <n v="4111"/>
    <n v="8004"/>
    <n v="423"/>
    <n v="360"/>
    <n v="0"/>
    <x v="1"/>
    <n v="12115"/>
    <x v="1"/>
    <x v="0"/>
    <x v="1"/>
    <x v="1"/>
    <n v="3103.8241475097611"/>
  </r>
  <r>
    <s v="LP0000731"/>
    <x v="2"/>
    <s v="No"/>
    <n v="0"/>
    <x v="0"/>
    <s v="Yes"/>
    <n v="3104"/>
    <n v="3575"/>
    <n v="422"/>
    <n v="360"/>
    <n v="0"/>
    <x v="1"/>
    <n v="6679"/>
    <x v="0"/>
    <x v="1"/>
    <x v="0"/>
    <x v="1"/>
    <n v="3096.4865017709676"/>
  </r>
  <r>
    <s v="LP0000732"/>
    <x v="1"/>
    <s v="No"/>
    <n v="1"/>
    <x v="0"/>
    <s v="No"/>
    <n v="15615"/>
    <n v="3718"/>
    <n v="344"/>
    <n v="360"/>
    <n v="0"/>
    <x v="1"/>
    <n v="19333"/>
    <x v="1"/>
    <x v="0"/>
    <x v="1"/>
    <x v="1"/>
    <n v="2524.1501341450544"/>
  </r>
  <r>
    <s v="LP0000733"/>
    <x v="2"/>
    <s v="No"/>
    <n v="0"/>
    <x v="0"/>
    <s v="No"/>
    <n v="7699"/>
    <n v="2771"/>
    <n v="652"/>
    <n v="360"/>
    <n v="1"/>
    <x v="0"/>
    <n v="10470"/>
    <x v="0"/>
    <x v="0"/>
    <x v="0"/>
    <x v="0"/>
    <n v="4784.1450216935327"/>
  </r>
  <r>
    <s v="LP0000734"/>
    <x v="2"/>
    <s v="No"/>
    <n v="2"/>
    <x v="0"/>
    <s v="Yes"/>
    <n v="7451"/>
    <n v="1295"/>
    <n v="599"/>
    <n v="180"/>
    <n v="0"/>
    <x v="0"/>
    <n v="8746"/>
    <x v="1"/>
    <x v="0"/>
    <x v="1"/>
    <x v="1"/>
    <n v="5724.3559851388054"/>
  </r>
  <r>
    <s v="LP0000735"/>
    <x v="1"/>
    <s v="No"/>
    <s v="3+"/>
    <x v="1"/>
    <s v="No"/>
    <n v="12889"/>
    <n v="874"/>
    <n v="159"/>
    <n v="360"/>
    <n v="0"/>
    <x v="1"/>
    <n v="13763"/>
    <x v="1"/>
    <x v="0"/>
    <x v="1"/>
    <x v="1"/>
    <n v="1166.6856724682082"/>
  </r>
  <r>
    <s v="LP0000736"/>
    <x v="2"/>
    <s v="Yes"/>
    <n v="0"/>
    <x v="1"/>
    <s v="No"/>
    <n v="16171"/>
    <n v="4553"/>
    <n v="304"/>
    <n v="360"/>
    <n v="0"/>
    <x v="2"/>
    <n v="20724"/>
    <x v="0"/>
    <x v="0"/>
    <x v="0"/>
    <x v="1"/>
    <n v="2230.6443045933038"/>
  </r>
  <r>
    <s v="LP0000737"/>
    <x v="1"/>
    <s v="No"/>
    <n v="0"/>
    <x v="0"/>
    <s v="Yes"/>
    <n v="13633"/>
    <n v="5934"/>
    <n v="57"/>
    <n v="180"/>
    <n v="0"/>
    <x v="0"/>
    <n v="19567"/>
    <x v="0"/>
    <x v="0"/>
    <x v="0"/>
    <x v="1"/>
    <n v="544.72168806830041"/>
  </r>
  <r>
    <s v="LP0000738"/>
    <x v="2"/>
    <s v="No"/>
    <n v="1"/>
    <x v="0"/>
    <s v="No"/>
    <n v="19323"/>
    <n v="7890"/>
    <n v="72"/>
    <n v="180"/>
    <n v="1"/>
    <x v="1"/>
    <n v="27213"/>
    <x v="1"/>
    <x v="0"/>
    <x v="1"/>
    <x v="0"/>
    <n v="688.06950071785297"/>
  </r>
  <r>
    <s v="LP0000739"/>
    <x v="2"/>
    <s v="No"/>
    <n v="1"/>
    <x v="1"/>
    <s v="No"/>
    <n v="14309"/>
    <n v="4222"/>
    <n v="194"/>
    <n v="360"/>
    <n v="0"/>
    <x v="2"/>
    <n v="18531"/>
    <x v="1"/>
    <x v="0"/>
    <x v="1"/>
    <x v="1"/>
    <n v="1423.5032733259898"/>
  </r>
  <r>
    <s v="LP0000740"/>
    <x v="1"/>
    <s v="No"/>
    <n v="2"/>
    <x v="0"/>
    <s v="No"/>
    <n v="8480"/>
    <n v="7061"/>
    <n v="543"/>
    <n v="360"/>
    <n v="1"/>
    <x v="0"/>
    <n v="15541"/>
    <x v="0"/>
    <x v="0"/>
    <x v="0"/>
    <x v="0"/>
    <n v="3984.3416361650129"/>
  </r>
  <r>
    <s v="LP0000741"/>
    <x v="1"/>
    <s v="No"/>
    <s v="3+"/>
    <x v="0"/>
    <s v="No"/>
    <n v="6059"/>
    <n v="4699"/>
    <n v="392"/>
    <n v="120"/>
    <n v="0"/>
    <x v="0"/>
    <n v="10758"/>
    <x v="1"/>
    <x v="0"/>
    <x v="1"/>
    <x v="1"/>
    <n v="4756.0416987299914"/>
  </r>
  <r>
    <s v="LP0000742"/>
    <x v="0"/>
    <s v="No"/>
    <n v="0"/>
    <x v="0"/>
    <s v="No"/>
    <n v="14387"/>
    <n v="9999"/>
    <n v="270"/>
    <n v="360"/>
    <n v="0"/>
    <x v="1"/>
    <n v="24386"/>
    <x v="0"/>
    <x v="0"/>
    <x v="0"/>
    <x v="1"/>
    <n v="1981.1643494743157"/>
  </r>
  <r>
    <s v="LP0000743"/>
    <x v="2"/>
    <s v="Yes"/>
    <n v="0"/>
    <x v="0"/>
    <s v="No"/>
    <n v="8445"/>
    <n v="3354"/>
    <n v="443"/>
    <n v="360"/>
    <n v="0"/>
    <x v="0"/>
    <n v="11799"/>
    <x v="0"/>
    <x v="0"/>
    <x v="0"/>
    <x v="1"/>
    <n v="3250.5770622856367"/>
  </r>
  <r>
    <s v="LP0000744"/>
    <x v="1"/>
    <s v="Yes"/>
    <n v="1"/>
    <x v="1"/>
    <s v="No"/>
    <n v="16270"/>
    <n v="5600"/>
    <n v="406"/>
    <n v="180"/>
    <n v="0"/>
    <x v="0"/>
    <n v="21870"/>
    <x v="1"/>
    <x v="0"/>
    <x v="1"/>
    <x v="1"/>
    <n v="3879.9474623812271"/>
  </r>
  <r>
    <s v="LP0000745"/>
    <x v="1"/>
    <s v="No"/>
    <n v="2"/>
    <x v="1"/>
    <s v="Yes"/>
    <n v="19484"/>
    <n v="5043"/>
    <n v="606"/>
    <n v="180"/>
    <n v="0"/>
    <x v="2"/>
    <n v="24527"/>
    <x v="1"/>
    <x v="0"/>
    <x v="1"/>
    <x v="1"/>
    <n v="5791.2516310419305"/>
  </r>
  <r>
    <s v="LP0000746"/>
    <x v="0"/>
    <s v="No"/>
    <n v="2"/>
    <x v="1"/>
    <s v="No"/>
    <n v="3578"/>
    <n v="9663"/>
    <n v="62"/>
    <n v="120"/>
    <n v="0"/>
    <x v="2"/>
    <n v="13241"/>
    <x v="0"/>
    <x v="0"/>
    <x v="0"/>
    <x v="1"/>
    <n v="752.23108500321291"/>
  </r>
  <r>
    <s v="LP0000747"/>
    <x v="2"/>
    <s v="No"/>
    <n v="2"/>
    <x v="1"/>
    <s v="Yes"/>
    <n v="4770"/>
    <n v="3928"/>
    <n v="128"/>
    <n v="120"/>
    <n v="0"/>
    <x v="2"/>
    <n v="8698"/>
    <x v="0"/>
    <x v="0"/>
    <x v="0"/>
    <x v="1"/>
    <n v="1552.9932077485687"/>
  </r>
  <r>
    <s v="LP0000748"/>
    <x v="1"/>
    <s v="Yes"/>
    <n v="2"/>
    <x v="0"/>
    <s v="Yes"/>
    <n v="13985"/>
    <n v="1626"/>
    <n v="75"/>
    <n v="360"/>
    <n v="0"/>
    <x v="1"/>
    <n v="15611"/>
    <x v="0"/>
    <x v="0"/>
    <x v="0"/>
    <x v="1"/>
    <n v="550.32343040953219"/>
  </r>
  <r>
    <s v="LP0000749"/>
    <x v="2"/>
    <s v="No"/>
    <n v="1"/>
    <x v="0"/>
    <s v="No"/>
    <n v="19840"/>
    <n v="4522"/>
    <n v="146"/>
    <n v="360"/>
    <n v="1"/>
    <x v="0"/>
    <n v="24362"/>
    <x v="1"/>
    <x v="0"/>
    <x v="1"/>
    <x v="0"/>
    <n v="1071.2962778638891"/>
  </r>
  <r>
    <s v="LP0000750"/>
    <x v="2"/>
    <s v="No"/>
    <n v="2"/>
    <x v="1"/>
    <s v="No"/>
    <n v="19372"/>
    <n v="7435"/>
    <n v="475"/>
    <n v="360"/>
    <n v="1"/>
    <x v="2"/>
    <n v="26807"/>
    <x v="1"/>
    <x v="0"/>
    <x v="1"/>
    <x v="0"/>
    <n v="3485.3817259270372"/>
  </r>
  <r>
    <s v="LP0000751"/>
    <x v="1"/>
    <s v="No"/>
    <s v="3+"/>
    <x v="1"/>
    <s v="No"/>
    <n v="6815"/>
    <n v="7128"/>
    <n v="241"/>
    <n v="180"/>
    <n v="0"/>
    <x v="0"/>
    <n v="13943"/>
    <x v="0"/>
    <x v="0"/>
    <x v="0"/>
    <x v="1"/>
    <n v="2303.1215232361469"/>
  </r>
  <r>
    <s v="LP0000752"/>
    <x v="0"/>
    <s v="Yes"/>
    <n v="2"/>
    <x v="1"/>
    <s v="No"/>
    <n v="13951"/>
    <n v="856"/>
    <n v="537"/>
    <n v="120"/>
    <n v="0"/>
    <x v="0"/>
    <n v="14807"/>
    <x v="0"/>
    <x v="0"/>
    <x v="0"/>
    <x v="1"/>
    <n v="6515.2918168826673"/>
  </r>
  <r>
    <s v="LP0000753"/>
    <x v="1"/>
    <s v="Yes"/>
    <n v="0"/>
    <x v="1"/>
    <s v="No"/>
    <n v="12123"/>
    <n v="3449"/>
    <n v="355"/>
    <n v="180"/>
    <n v="1"/>
    <x v="2"/>
    <n v="15572"/>
    <x v="1"/>
    <x v="0"/>
    <x v="1"/>
    <x v="0"/>
    <n v="3392.5648993727477"/>
  </r>
  <r>
    <s v="LP0000754"/>
    <x v="0"/>
    <s v="Yes"/>
    <n v="0"/>
    <x v="0"/>
    <s v="Yes"/>
    <n v="4385"/>
    <n v="5015"/>
    <n v="636"/>
    <n v="360"/>
    <n v="1"/>
    <x v="2"/>
    <n v="9400"/>
    <x v="1"/>
    <x v="0"/>
    <x v="1"/>
    <x v="0"/>
    <n v="4666.7426898728327"/>
  </r>
  <r>
    <s v="LP0000755"/>
    <x v="0"/>
    <s v="No"/>
    <s v="3+"/>
    <x v="1"/>
    <s v="Yes"/>
    <n v="17300"/>
    <n v="5594"/>
    <n v="132"/>
    <n v="360"/>
    <n v="0"/>
    <x v="2"/>
    <n v="22894"/>
    <x v="0"/>
    <x v="0"/>
    <x v="0"/>
    <x v="1"/>
    <n v="968.56923752077671"/>
  </r>
  <r>
    <s v="LP0000756"/>
    <x v="1"/>
    <s v="No"/>
    <s v="3+"/>
    <x v="1"/>
    <s v="No"/>
    <n v="10322"/>
    <n v="8248"/>
    <n v="362"/>
    <n v="120"/>
    <n v="0"/>
    <x v="1"/>
    <n v="18570"/>
    <x v="1"/>
    <x v="0"/>
    <x v="1"/>
    <x v="1"/>
    <n v="4392.0589156639207"/>
  </r>
  <r>
    <s v="LP0000757"/>
    <x v="1"/>
    <s v="No"/>
    <s v="3+"/>
    <x v="1"/>
    <s v="No"/>
    <n v="8814"/>
    <n v="2434"/>
    <n v="263"/>
    <n v="180"/>
    <n v="0"/>
    <x v="0"/>
    <n v="11248"/>
    <x v="0"/>
    <x v="0"/>
    <x v="0"/>
    <x v="1"/>
    <n v="2513.364981788824"/>
  </r>
  <r>
    <s v="LP0000758"/>
    <x v="1"/>
    <s v="No"/>
    <n v="1"/>
    <x v="0"/>
    <s v="No"/>
    <n v="19032"/>
    <n v="4265"/>
    <n v="167"/>
    <n v="360"/>
    <n v="0"/>
    <x v="2"/>
    <n v="23297"/>
    <x v="1"/>
    <x v="0"/>
    <x v="1"/>
    <x v="1"/>
    <n v="1225.3868383785582"/>
  </r>
  <r>
    <s v="LP0000759"/>
    <x v="1"/>
    <s v="No"/>
    <s v="3+"/>
    <x v="0"/>
    <s v="No"/>
    <n v="5061"/>
    <n v="3571"/>
    <n v="247"/>
    <n v="360"/>
    <n v="0"/>
    <x v="0"/>
    <n v="8632"/>
    <x v="1"/>
    <x v="0"/>
    <x v="1"/>
    <x v="1"/>
    <n v="1812.3984974820592"/>
  </r>
  <r>
    <s v="LP0000760"/>
    <x v="1"/>
    <s v="No"/>
    <n v="1"/>
    <x v="0"/>
    <s v="No"/>
    <n v="1541"/>
    <n v="1960"/>
    <n v="339"/>
    <n v="180"/>
    <n v="0"/>
    <x v="2"/>
    <n v="3501"/>
    <x v="0"/>
    <x v="1"/>
    <x v="0"/>
    <x v="1"/>
    <n v="3239.6605658798917"/>
  </r>
  <r>
    <s v="LP0000761"/>
    <x v="1"/>
    <s v="Yes"/>
    <n v="1"/>
    <x v="1"/>
    <s v="No"/>
    <n v="5256"/>
    <n v="1984"/>
    <n v="65"/>
    <n v="180"/>
    <n v="0"/>
    <x v="0"/>
    <n v="7240"/>
    <x v="0"/>
    <x v="0"/>
    <x v="0"/>
    <x v="1"/>
    <n v="621.17385481472843"/>
  </r>
  <r>
    <s v="LP0000762"/>
    <x v="0"/>
    <s v="No"/>
    <n v="0"/>
    <x v="0"/>
    <s v="Yes"/>
    <n v="14389"/>
    <n v="9288"/>
    <n v="445"/>
    <n v="180"/>
    <n v="0"/>
    <x v="0"/>
    <n v="23677"/>
    <x v="0"/>
    <x v="0"/>
    <x v="0"/>
    <x v="1"/>
    <n v="4252.6517752700647"/>
  </r>
  <r>
    <s v="LP0000763"/>
    <x v="0"/>
    <s v="No"/>
    <s v="3+"/>
    <x v="0"/>
    <s v="No"/>
    <n v="4370"/>
    <n v="5023"/>
    <n v="660"/>
    <n v="180"/>
    <n v="0"/>
    <x v="1"/>
    <n v="9393"/>
    <x v="1"/>
    <x v="0"/>
    <x v="1"/>
    <x v="1"/>
    <n v="6307.3037565803197"/>
  </r>
  <r>
    <s v="LP0000764"/>
    <x v="1"/>
    <s v="Yes"/>
    <n v="0"/>
    <x v="1"/>
    <s v="No"/>
    <n v="2279"/>
    <n v="9398"/>
    <n v="464"/>
    <n v="360"/>
    <n v="0"/>
    <x v="1"/>
    <n v="11677"/>
    <x v="0"/>
    <x v="0"/>
    <x v="0"/>
    <x v="1"/>
    <n v="3404.6676228003053"/>
  </r>
  <r>
    <s v="LP0000765"/>
    <x v="1"/>
    <s v="Yes"/>
    <n v="0"/>
    <x v="0"/>
    <s v="No"/>
    <n v="13128"/>
    <n v="7098"/>
    <n v="112"/>
    <n v="120"/>
    <n v="1"/>
    <x v="1"/>
    <n v="20226"/>
    <x v="0"/>
    <x v="0"/>
    <x v="0"/>
    <x v="0"/>
    <n v="1358.8690567799977"/>
  </r>
  <r>
    <s v="LP0000766"/>
    <x v="2"/>
    <s v="No"/>
    <n v="0"/>
    <x v="0"/>
    <s v="No"/>
    <n v="4817"/>
    <n v="978"/>
    <n v="182"/>
    <n v="360"/>
    <n v="1"/>
    <x v="0"/>
    <n v="5795"/>
    <x v="1"/>
    <x v="1"/>
    <x v="1"/>
    <x v="0"/>
    <n v="1335.4515244604645"/>
  </r>
  <r>
    <s v="LP0000767"/>
    <x v="1"/>
    <s v="Yes"/>
    <n v="0"/>
    <x v="1"/>
    <s v="Yes"/>
    <n v="18769"/>
    <n v="1856"/>
    <n v="674"/>
    <n v="180"/>
    <n v="0"/>
    <x v="1"/>
    <n v="20625"/>
    <x v="1"/>
    <x v="0"/>
    <x v="1"/>
    <x v="1"/>
    <n v="6441.095048386569"/>
  </r>
  <r>
    <s v="LP0000768"/>
    <x v="2"/>
    <s v="No"/>
    <n v="0"/>
    <x v="0"/>
    <s v="No"/>
    <n v="5709"/>
    <n v="2149"/>
    <n v="502"/>
    <n v="120"/>
    <n v="0"/>
    <x v="2"/>
    <n v="7858"/>
    <x v="1"/>
    <x v="0"/>
    <x v="1"/>
    <x v="1"/>
    <n v="6090.6452366389176"/>
  </r>
  <r>
    <s v="LP0000769"/>
    <x v="2"/>
    <s v="Yes"/>
    <n v="0"/>
    <x v="0"/>
    <s v="Yes"/>
    <n v="5447"/>
    <n v="9056"/>
    <n v="366"/>
    <n v="360"/>
    <n v="0"/>
    <x v="0"/>
    <n v="14503"/>
    <x v="0"/>
    <x v="0"/>
    <x v="0"/>
    <x v="1"/>
    <n v="2685.578340398517"/>
  </r>
  <r>
    <s v="LP0000770"/>
    <x v="2"/>
    <s v="No"/>
    <n v="1"/>
    <x v="0"/>
    <s v="No"/>
    <n v="1715"/>
    <n v="7331"/>
    <n v="617"/>
    <n v="360"/>
    <n v="1"/>
    <x v="1"/>
    <n v="9046"/>
    <x v="1"/>
    <x v="0"/>
    <x v="1"/>
    <x v="0"/>
    <n v="4527.3274208357516"/>
  </r>
  <r>
    <s v="LP0000771"/>
    <x v="1"/>
    <s v="Yes"/>
    <n v="0"/>
    <x v="1"/>
    <s v="No"/>
    <n v="4188"/>
    <n v="2749"/>
    <n v="430"/>
    <n v="360"/>
    <n v="1"/>
    <x v="2"/>
    <n v="6937"/>
    <x v="1"/>
    <x v="1"/>
    <x v="1"/>
    <x v="0"/>
    <n v="3155.1876676813176"/>
  </r>
  <r>
    <s v="LP0000772"/>
    <x v="1"/>
    <s v="No"/>
    <n v="2"/>
    <x v="1"/>
    <s v="Yes"/>
    <n v="6156"/>
    <n v="6754"/>
    <n v="596"/>
    <n v="360"/>
    <n v="0"/>
    <x v="1"/>
    <n v="12910"/>
    <x v="1"/>
    <x v="0"/>
    <x v="1"/>
    <x v="1"/>
    <n v="4373.2368603210825"/>
  </r>
  <r>
    <s v="LP0000773"/>
    <x v="1"/>
    <s v="Yes"/>
    <n v="1"/>
    <x v="0"/>
    <s v="Yes"/>
    <n v="19364"/>
    <n v="6387"/>
    <n v="582"/>
    <n v="120"/>
    <n v="0"/>
    <x v="1"/>
    <n v="25751"/>
    <x v="0"/>
    <x v="0"/>
    <x v="0"/>
    <x v="1"/>
    <n v="7061.2659914817732"/>
  </r>
  <r>
    <s v="LP0000774"/>
    <x v="0"/>
    <s v="Yes"/>
    <n v="0"/>
    <x v="0"/>
    <s v="No"/>
    <n v="12301"/>
    <n v="4381"/>
    <n v="261"/>
    <n v="120"/>
    <n v="0"/>
    <x v="0"/>
    <n v="16682"/>
    <x v="1"/>
    <x v="0"/>
    <x v="1"/>
    <x v="1"/>
    <n v="3166.650212674816"/>
  </r>
  <r>
    <s v="LP0000775"/>
    <x v="2"/>
    <s v="No"/>
    <n v="0"/>
    <x v="0"/>
    <s v="No"/>
    <n v="16333"/>
    <n v="6678"/>
    <n v="650"/>
    <n v="360"/>
    <n v="1"/>
    <x v="1"/>
    <n v="23011"/>
    <x v="1"/>
    <x v="0"/>
    <x v="1"/>
    <x v="0"/>
    <n v="4769.4697302159457"/>
  </r>
  <r>
    <s v="LP0000776"/>
    <x v="0"/>
    <s v="Yes"/>
    <n v="0"/>
    <x v="0"/>
    <s v="Yes"/>
    <n v="11162"/>
    <n v="853"/>
    <n v="235"/>
    <n v="360"/>
    <n v="0"/>
    <x v="2"/>
    <n v="12015"/>
    <x v="1"/>
    <x v="0"/>
    <x v="1"/>
    <x v="1"/>
    <n v="1724.3467486165341"/>
  </r>
  <r>
    <s v="LP0000777"/>
    <x v="0"/>
    <s v="No"/>
    <n v="0"/>
    <x v="0"/>
    <s v="Yes"/>
    <n v="18569"/>
    <n v="8930"/>
    <n v="464"/>
    <n v="180"/>
    <n v="0"/>
    <x v="2"/>
    <n v="27499"/>
    <x v="1"/>
    <x v="0"/>
    <x v="1"/>
    <x v="1"/>
    <n v="4434.2256712928311"/>
  </r>
  <r>
    <s v="LP0000778"/>
    <x v="2"/>
    <s v="No"/>
    <s v="3+"/>
    <x v="0"/>
    <s v="No"/>
    <n v="19801"/>
    <n v="33"/>
    <n v="339"/>
    <n v="360"/>
    <n v="1"/>
    <x v="0"/>
    <n v="19834"/>
    <x v="1"/>
    <x v="0"/>
    <x v="1"/>
    <x v="0"/>
    <n v="2487.4619054510854"/>
  </r>
  <r>
    <s v="LP0000779"/>
    <x v="0"/>
    <s v="Yes"/>
    <n v="1"/>
    <x v="0"/>
    <s v="No"/>
    <n v="12479"/>
    <n v="8043"/>
    <n v="400"/>
    <n v="180"/>
    <n v="0"/>
    <x v="0"/>
    <n v="20522"/>
    <x v="0"/>
    <x v="0"/>
    <x v="0"/>
    <x v="1"/>
    <n v="3822.608337321406"/>
  </r>
  <r>
    <s v="LP0000780"/>
    <x v="2"/>
    <s v="No"/>
    <s v="3+"/>
    <x v="1"/>
    <s v="Yes"/>
    <n v="6098"/>
    <n v="9865"/>
    <n v="700"/>
    <n v="180"/>
    <n v="1"/>
    <x v="0"/>
    <n v="15963"/>
    <x v="1"/>
    <x v="0"/>
    <x v="1"/>
    <x v="0"/>
    <n v="6689.5645903124605"/>
  </r>
  <r>
    <s v="LP0000781"/>
    <x v="1"/>
    <s v="Yes"/>
    <s v="3+"/>
    <x v="1"/>
    <s v="No"/>
    <n v="13790"/>
    <n v="9741"/>
    <n v="149"/>
    <n v="120"/>
    <n v="0"/>
    <x v="2"/>
    <n v="23531"/>
    <x v="1"/>
    <x v="0"/>
    <x v="1"/>
    <x v="1"/>
    <n v="1807.7811558948183"/>
  </r>
  <r>
    <s v="LP0000782"/>
    <x v="0"/>
    <s v="No"/>
    <s v="3+"/>
    <x v="0"/>
    <s v="No"/>
    <n v="3539"/>
    <n v="5575"/>
    <n v="353"/>
    <n v="360"/>
    <n v="1"/>
    <x v="2"/>
    <n v="9114"/>
    <x v="0"/>
    <x v="0"/>
    <x v="0"/>
    <x v="0"/>
    <n v="2590.1889457941979"/>
  </r>
  <r>
    <s v="LP0000783"/>
    <x v="2"/>
    <s v="No"/>
    <s v="3+"/>
    <x v="0"/>
    <s v="Yes"/>
    <n v="2970"/>
    <n v="2347"/>
    <n v="344"/>
    <n v="360"/>
    <n v="1"/>
    <x v="0"/>
    <n v="5317"/>
    <x v="0"/>
    <x v="1"/>
    <x v="0"/>
    <x v="0"/>
    <n v="2524.1501341450544"/>
  </r>
  <r>
    <s v="LP0000784"/>
    <x v="0"/>
    <s v="No"/>
    <s v="3+"/>
    <x v="1"/>
    <s v="Yes"/>
    <n v="2747"/>
    <n v="3517"/>
    <n v="559"/>
    <n v="180"/>
    <n v="0"/>
    <x v="0"/>
    <n v="6264"/>
    <x v="0"/>
    <x v="1"/>
    <x v="0"/>
    <x v="1"/>
    <n v="5342.0951514066646"/>
  </r>
  <r>
    <s v="LP0000785"/>
    <x v="1"/>
    <s v="Yes"/>
    <s v="3+"/>
    <x v="1"/>
    <s v="No"/>
    <n v="7809"/>
    <n v="2243"/>
    <n v="213"/>
    <n v="180"/>
    <n v="1"/>
    <x v="0"/>
    <n v="10052"/>
    <x v="1"/>
    <x v="0"/>
    <x v="1"/>
    <x v="0"/>
    <n v="2035.5389396236485"/>
  </r>
  <r>
    <s v="LP0000786"/>
    <x v="2"/>
    <s v="Yes"/>
    <s v="3+"/>
    <x v="1"/>
    <s v="No"/>
    <n v="3238"/>
    <n v="33"/>
    <n v="571"/>
    <n v="180"/>
    <n v="0"/>
    <x v="0"/>
    <n v="3271"/>
    <x v="0"/>
    <x v="1"/>
    <x v="0"/>
    <x v="1"/>
    <n v="5456.7734015263068"/>
  </r>
  <r>
    <s v="LP0000787"/>
    <x v="2"/>
    <s v="No"/>
    <s v="3+"/>
    <x v="1"/>
    <s v="No"/>
    <n v="6459"/>
    <n v="4361"/>
    <n v="646"/>
    <n v="180"/>
    <n v="0"/>
    <x v="1"/>
    <n v="10820"/>
    <x v="1"/>
    <x v="0"/>
    <x v="1"/>
    <x v="1"/>
    <n v="6173.5124647740704"/>
  </r>
  <r>
    <s v="LP0000788"/>
    <x v="0"/>
    <s v="Yes"/>
    <s v="3+"/>
    <x v="1"/>
    <s v="No"/>
    <n v="17400"/>
    <n v="5527"/>
    <n v="372"/>
    <n v="360"/>
    <n v="1"/>
    <x v="0"/>
    <n v="22927"/>
    <x v="0"/>
    <x v="0"/>
    <x v="0"/>
    <x v="0"/>
    <n v="2729.6042148312795"/>
  </r>
  <r>
    <s v="LP0000789"/>
    <x v="2"/>
    <s v="No"/>
    <n v="0"/>
    <x v="0"/>
    <s v="Yes"/>
    <n v="16439"/>
    <n v="7144"/>
    <n v="610"/>
    <n v="360"/>
    <n v="0"/>
    <x v="2"/>
    <n v="23583"/>
    <x v="1"/>
    <x v="0"/>
    <x v="1"/>
    <x v="1"/>
    <n v="4475.9639006641946"/>
  </r>
  <r>
    <s v="LP0000790"/>
    <x v="2"/>
    <s v="No"/>
    <s v="3+"/>
    <x v="0"/>
    <s v="No"/>
    <n v="9132"/>
    <n v="8723"/>
    <n v="667"/>
    <n v="360"/>
    <n v="1"/>
    <x v="2"/>
    <n v="17855"/>
    <x v="0"/>
    <x v="0"/>
    <x v="0"/>
    <x v="0"/>
    <n v="4894.2097077754388"/>
  </r>
  <r>
    <s v="LP0000791"/>
    <x v="1"/>
    <s v="No"/>
    <n v="2"/>
    <x v="1"/>
    <s v="No"/>
    <n v="11610"/>
    <n v="7663"/>
    <n v="350"/>
    <n v="360"/>
    <n v="1"/>
    <x v="2"/>
    <n v="19273"/>
    <x v="1"/>
    <x v="0"/>
    <x v="1"/>
    <x v="0"/>
    <n v="2568.1760085778164"/>
  </r>
  <r>
    <s v="LP0000792"/>
    <x v="0"/>
    <s v="No"/>
    <s v="3+"/>
    <x v="0"/>
    <s v="No"/>
    <n v="10408"/>
    <n v="3695"/>
    <n v="395"/>
    <n v="180"/>
    <n v="0"/>
    <x v="1"/>
    <n v="14103"/>
    <x v="1"/>
    <x v="0"/>
    <x v="1"/>
    <x v="1"/>
    <n v="3774.8257331048885"/>
  </r>
  <r>
    <s v="LP0000793"/>
    <x v="2"/>
    <s v="No"/>
    <n v="2"/>
    <x v="0"/>
    <s v="No"/>
    <n v="3807"/>
    <n v="2480"/>
    <n v="369"/>
    <n v="360"/>
    <n v="0"/>
    <x v="2"/>
    <n v="6287"/>
    <x v="0"/>
    <x v="1"/>
    <x v="0"/>
    <x v="1"/>
    <n v="2707.591277614898"/>
  </r>
  <r>
    <s v="LP0000794"/>
    <x v="1"/>
    <s v="No"/>
    <n v="0"/>
    <x v="1"/>
    <s v="Yes"/>
    <n v="9194"/>
    <n v="3299"/>
    <n v="333"/>
    <n v="360"/>
    <n v="1"/>
    <x v="1"/>
    <n v="12493"/>
    <x v="1"/>
    <x v="0"/>
    <x v="1"/>
    <x v="0"/>
    <n v="2443.4360310183229"/>
  </r>
  <r>
    <s v="LP0000795"/>
    <x v="1"/>
    <s v="No"/>
    <n v="2"/>
    <x v="1"/>
    <s v="Yes"/>
    <n v="13707"/>
    <n v="2688"/>
    <n v="203"/>
    <n v="120"/>
    <n v="0"/>
    <x v="1"/>
    <n v="16395"/>
    <x v="0"/>
    <x v="0"/>
    <x v="0"/>
    <x v="1"/>
    <n v="2462.9501654137457"/>
  </r>
  <r>
    <s v="LP0000796"/>
    <x v="2"/>
    <s v="No"/>
    <n v="1"/>
    <x v="0"/>
    <s v="No"/>
    <n v="17848"/>
    <n v="1368"/>
    <n v="139"/>
    <n v="360"/>
    <n v="0"/>
    <x v="1"/>
    <n v="19216"/>
    <x v="1"/>
    <x v="0"/>
    <x v="1"/>
    <x v="1"/>
    <n v="1019.9327576923329"/>
  </r>
  <r>
    <s v="LP0000797"/>
    <x v="0"/>
    <s v="Yes"/>
    <s v="3+"/>
    <x v="1"/>
    <s v="No"/>
    <n v="1961"/>
    <n v="1892"/>
    <n v="465"/>
    <n v="120"/>
    <n v="0"/>
    <x v="1"/>
    <n v="3853"/>
    <x v="0"/>
    <x v="1"/>
    <x v="0"/>
    <x v="1"/>
    <n v="5641.7331375240974"/>
  </r>
  <r>
    <s v="LP0000798"/>
    <x v="0"/>
    <s v="Yes"/>
    <s v="3+"/>
    <x v="0"/>
    <s v="No"/>
    <n v="15120"/>
    <n v="4483"/>
    <n v="351"/>
    <n v="180"/>
    <n v="0"/>
    <x v="0"/>
    <n v="19603"/>
    <x v="1"/>
    <x v="0"/>
    <x v="1"/>
    <x v="1"/>
    <n v="3354.3388159995334"/>
  </r>
  <r>
    <s v="LP0000799"/>
    <x v="0"/>
    <s v="Yes"/>
    <s v="3+"/>
    <x v="0"/>
    <s v="Yes"/>
    <n v="19980"/>
    <n v="8869"/>
    <n v="531"/>
    <n v="180"/>
    <n v="0"/>
    <x v="0"/>
    <n v="28849"/>
    <x v="1"/>
    <x v="0"/>
    <x v="1"/>
    <x v="1"/>
    <n v="5074.5125677941669"/>
  </r>
  <r>
    <s v="LP0000800"/>
    <x v="1"/>
    <s v="No"/>
    <s v="3+"/>
    <x v="1"/>
    <s v="No"/>
    <n v="9286"/>
    <n v="7278"/>
    <n v="192"/>
    <n v="180"/>
    <n v="1"/>
    <x v="1"/>
    <n v="16564"/>
    <x v="1"/>
    <x v="0"/>
    <x v="1"/>
    <x v="0"/>
    <n v="1834.8520019142745"/>
  </r>
  <r>
    <s v="LP0000801"/>
    <x v="0"/>
    <s v="No"/>
    <s v="3+"/>
    <x v="1"/>
    <s v="No"/>
    <n v="1979"/>
    <n v="2135"/>
    <n v="238"/>
    <n v="120"/>
    <n v="0"/>
    <x v="1"/>
    <n v="4114"/>
    <x v="0"/>
    <x v="1"/>
    <x v="0"/>
    <x v="1"/>
    <n v="2887.5967456574949"/>
  </r>
  <r>
    <s v="LP0000802"/>
    <x v="0"/>
    <s v="No"/>
    <s v="3+"/>
    <x v="1"/>
    <s v="Yes"/>
    <n v="12988"/>
    <n v="3897"/>
    <n v="76"/>
    <n v="360"/>
    <n v="1"/>
    <x v="0"/>
    <n v="16885"/>
    <x v="1"/>
    <x v="0"/>
    <x v="1"/>
    <x v="0"/>
    <n v="557.66107614832595"/>
  </r>
  <r>
    <s v="LP0000803"/>
    <x v="0"/>
    <s v="Yes"/>
    <n v="2"/>
    <x v="1"/>
    <s v="No"/>
    <n v="19692"/>
    <n v="7290"/>
    <n v="697"/>
    <n v="120"/>
    <n v="0"/>
    <x v="1"/>
    <n v="26982"/>
    <x v="1"/>
    <x v="0"/>
    <x v="1"/>
    <x v="1"/>
    <n v="8456.5333265683767"/>
  </r>
  <r>
    <s v="LP0000804"/>
    <x v="1"/>
    <s v="Yes"/>
    <s v="3+"/>
    <x v="1"/>
    <s v="No"/>
    <n v="9987"/>
    <n v="821"/>
    <n v="372"/>
    <n v="360"/>
    <n v="1"/>
    <x v="1"/>
    <n v="10808"/>
    <x v="1"/>
    <x v="0"/>
    <x v="1"/>
    <x v="0"/>
    <n v="2729.6042148312795"/>
  </r>
  <r>
    <s v="LP0000805"/>
    <x v="1"/>
    <s v="No"/>
    <n v="2"/>
    <x v="1"/>
    <s v="No"/>
    <n v="15021"/>
    <n v="1295"/>
    <n v="503"/>
    <n v="360"/>
    <n v="0"/>
    <x v="2"/>
    <n v="16316"/>
    <x v="0"/>
    <x v="0"/>
    <x v="0"/>
    <x v="1"/>
    <n v="3690.8358066132619"/>
  </r>
  <r>
    <s v="LP0000806"/>
    <x v="0"/>
    <s v="No"/>
    <n v="1"/>
    <x v="1"/>
    <s v="Yes"/>
    <n v="12385"/>
    <n v="6042"/>
    <n v="121"/>
    <n v="360"/>
    <n v="0"/>
    <x v="2"/>
    <n v="18427"/>
    <x v="0"/>
    <x v="0"/>
    <x v="0"/>
    <x v="1"/>
    <n v="887.85513439404508"/>
  </r>
  <r>
    <s v="LP0000807"/>
    <x v="1"/>
    <s v="Yes"/>
    <s v="3+"/>
    <x v="1"/>
    <s v="No"/>
    <n v="10727"/>
    <n v="2537"/>
    <n v="621"/>
    <n v="180"/>
    <n v="0"/>
    <x v="0"/>
    <n v="13264"/>
    <x v="0"/>
    <x v="0"/>
    <x v="0"/>
    <x v="1"/>
    <n v="5934.5994436914825"/>
  </r>
  <r>
    <s v="LP0000808"/>
    <x v="0"/>
    <s v="No"/>
    <n v="2"/>
    <x v="0"/>
    <s v="Yes"/>
    <n v="4726"/>
    <n v="970"/>
    <n v="524"/>
    <n v="360"/>
    <n v="1"/>
    <x v="2"/>
    <n v="5696"/>
    <x v="1"/>
    <x v="1"/>
    <x v="1"/>
    <x v="0"/>
    <n v="3844.9263671279314"/>
  </r>
  <r>
    <s v="LP0000809"/>
    <x v="1"/>
    <s v="No"/>
    <s v="3+"/>
    <x v="1"/>
    <s v="No"/>
    <n v="6989"/>
    <n v="3230"/>
    <n v="214"/>
    <n v="360"/>
    <n v="1"/>
    <x v="1"/>
    <n v="10219"/>
    <x v="0"/>
    <x v="0"/>
    <x v="0"/>
    <x v="0"/>
    <n v="1570.2561881018651"/>
  </r>
  <r>
    <s v="LP0000810"/>
    <x v="1"/>
    <s v="No"/>
    <s v="3+"/>
    <x v="0"/>
    <s v="No"/>
    <n v="10611"/>
    <n v="8670"/>
    <n v="83"/>
    <n v="360"/>
    <n v="1"/>
    <x v="0"/>
    <n v="19281"/>
    <x v="0"/>
    <x v="0"/>
    <x v="0"/>
    <x v="0"/>
    <n v="609.02459631988222"/>
  </r>
  <r>
    <s v="LP0000811"/>
    <x v="1"/>
    <s v="Yes"/>
    <n v="0"/>
    <x v="1"/>
    <s v="No"/>
    <n v="8432"/>
    <n v="7769"/>
    <n v="454"/>
    <n v="360"/>
    <n v="0"/>
    <x v="0"/>
    <n v="16201"/>
    <x v="0"/>
    <x v="0"/>
    <x v="0"/>
    <x v="1"/>
    <n v="3331.2911654123677"/>
  </r>
  <r>
    <s v="LP0000812"/>
    <x v="2"/>
    <s v="No"/>
    <s v="3+"/>
    <x v="0"/>
    <s v="No"/>
    <n v="10084"/>
    <n v="9033"/>
    <n v="531"/>
    <n v="120"/>
    <n v="0"/>
    <x v="2"/>
    <n v="19117"/>
    <x v="1"/>
    <x v="0"/>
    <x v="1"/>
    <x v="1"/>
    <n v="6442.495260269453"/>
  </r>
  <r>
    <s v="LP0000813"/>
    <x v="2"/>
    <s v="Yes"/>
    <n v="2"/>
    <x v="1"/>
    <s v="Yes"/>
    <n v="17340"/>
    <n v="4476"/>
    <n v="183"/>
    <n v="120"/>
    <n v="0"/>
    <x v="1"/>
    <n v="21816"/>
    <x v="1"/>
    <x v="0"/>
    <x v="1"/>
    <x v="1"/>
    <n v="2220.2949767030318"/>
  </r>
  <r>
    <s v="LP0000814"/>
    <x v="2"/>
    <s v="Yes"/>
    <s v="3+"/>
    <x v="1"/>
    <s v="No"/>
    <n v="3058"/>
    <n v="2384"/>
    <n v="546"/>
    <n v="360"/>
    <n v="1"/>
    <x v="1"/>
    <n v="5442"/>
    <x v="0"/>
    <x v="1"/>
    <x v="0"/>
    <x v="0"/>
    <n v="4006.3545733813944"/>
  </r>
  <r>
    <s v="LP0000815"/>
    <x v="1"/>
    <s v="No"/>
    <n v="2"/>
    <x v="0"/>
    <s v="Yes"/>
    <n v="18681"/>
    <n v="7023"/>
    <n v="99"/>
    <n v="120"/>
    <n v="0"/>
    <x v="2"/>
    <n v="25704"/>
    <x v="0"/>
    <x v="0"/>
    <x v="0"/>
    <x v="1"/>
    <n v="1201.1431841180336"/>
  </r>
  <r>
    <s v="LP0000816"/>
    <x v="2"/>
    <s v="No"/>
    <n v="2"/>
    <x v="1"/>
    <s v="No"/>
    <n v="2885"/>
    <n v="9207"/>
    <n v="402"/>
    <n v="120"/>
    <n v="0"/>
    <x v="2"/>
    <n v="12092"/>
    <x v="1"/>
    <x v="0"/>
    <x v="1"/>
    <x v="1"/>
    <n v="4877.3692930853485"/>
  </r>
  <r>
    <s v="LP0000817"/>
    <x v="0"/>
    <s v="No"/>
    <s v="3+"/>
    <x v="1"/>
    <s v="Yes"/>
    <n v="2012"/>
    <n v="1235"/>
    <n v="507"/>
    <n v="360"/>
    <n v="0"/>
    <x v="2"/>
    <n v="3247"/>
    <x v="1"/>
    <x v="1"/>
    <x v="1"/>
    <x v="1"/>
    <n v="3720.1863895684373"/>
  </r>
  <r>
    <s v="LP0000818"/>
    <x v="1"/>
    <s v="No"/>
    <s v="3+"/>
    <x v="0"/>
    <s v="Yes"/>
    <n v="10033"/>
    <n v="6174"/>
    <n v="100"/>
    <n v="120"/>
    <n v="0"/>
    <x v="1"/>
    <n v="16207"/>
    <x v="1"/>
    <x v="0"/>
    <x v="1"/>
    <x v="1"/>
    <n v="1213.2759435535693"/>
  </r>
  <r>
    <s v="LP0000819"/>
    <x v="1"/>
    <s v="No"/>
    <n v="2"/>
    <x v="0"/>
    <s v="No"/>
    <n v="5357"/>
    <n v="5336"/>
    <n v="86"/>
    <n v="360"/>
    <n v="0"/>
    <x v="2"/>
    <n v="10693"/>
    <x v="0"/>
    <x v="0"/>
    <x v="0"/>
    <x v="1"/>
    <n v="631.0375335362636"/>
  </r>
  <r>
    <s v="LP0000820"/>
    <x v="0"/>
    <s v="No"/>
    <s v="3+"/>
    <x v="1"/>
    <s v="No"/>
    <n v="5749"/>
    <n v="4668"/>
    <n v="446"/>
    <n v="360"/>
    <n v="0"/>
    <x v="1"/>
    <n v="10417"/>
    <x v="1"/>
    <x v="0"/>
    <x v="1"/>
    <x v="1"/>
    <n v="3272.5899995020177"/>
  </r>
  <r>
    <s v="LP0000821"/>
    <x v="2"/>
    <s v="Yes"/>
    <n v="0"/>
    <x v="1"/>
    <s v="No"/>
    <n v="6303"/>
    <n v="4935"/>
    <n v="585"/>
    <n v="120"/>
    <n v="1"/>
    <x v="2"/>
    <n v="11238"/>
    <x v="0"/>
    <x v="0"/>
    <x v="0"/>
    <x v="0"/>
    <n v="7097.6642697883808"/>
  </r>
  <r>
    <s v="LP0000822"/>
    <x v="1"/>
    <s v="No"/>
    <s v="3+"/>
    <x v="0"/>
    <s v="No"/>
    <n v="1619"/>
    <n v="5316"/>
    <n v="495"/>
    <n v="180"/>
    <n v="0"/>
    <x v="2"/>
    <n v="6935"/>
    <x v="1"/>
    <x v="1"/>
    <x v="1"/>
    <x v="1"/>
    <n v="4730.4778174352396"/>
  </r>
  <r>
    <s v="LP0000823"/>
    <x v="0"/>
    <s v="No"/>
    <n v="1"/>
    <x v="1"/>
    <s v="Yes"/>
    <n v="12762"/>
    <n v="1286"/>
    <n v="158"/>
    <n v="360"/>
    <n v="1"/>
    <x v="2"/>
    <n v="14048"/>
    <x v="1"/>
    <x v="0"/>
    <x v="1"/>
    <x v="0"/>
    <n v="1159.3480267294144"/>
  </r>
  <r>
    <s v="LP0000824"/>
    <x v="0"/>
    <s v="Yes"/>
    <n v="1"/>
    <x v="1"/>
    <s v="No"/>
    <n v="10886"/>
    <n v="4879"/>
    <n v="351"/>
    <n v="180"/>
    <n v="0"/>
    <x v="2"/>
    <n v="15765"/>
    <x v="1"/>
    <x v="0"/>
    <x v="1"/>
    <x v="1"/>
    <n v="3354.3388159995334"/>
  </r>
  <r>
    <s v="LP0000825"/>
    <x v="0"/>
    <s v="Yes"/>
    <s v="3+"/>
    <x v="0"/>
    <s v="No"/>
    <n v="17357"/>
    <n v="302"/>
    <n v="664"/>
    <n v="360"/>
    <n v="1"/>
    <x v="1"/>
    <n v="17659"/>
    <x v="0"/>
    <x v="0"/>
    <x v="0"/>
    <x v="0"/>
    <n v="4872.1967705590578"/>
  </r>
  <r>
    <s v="LP0000826"/>
    <x v="2"/>
    <s v="No"/>
    <s v="3+"/>
    <x v="1"/>
    <s v="No"/>
    <n v="6595"/>
    <n v="5404"/>
    <n v="431"/>
    <n v="120"/>
    <n v="1"/>
    <x v="2"/>
    <n v="11999"/>
    <x v="1"/>
    <x v="0"/>
    <x v="1"/>
    <x v="0"/>
    <n v="5229.219316715883"/>
  </r>
  <r>
    <s v="LP0000827"/>
    <x v="0"/>
    <s v="No"/>
    <n v="0"/>
    <x v="0"/>
    <s v="Yes"/>
    <n v="19866"/>
    <n v="5323"/>
    <n v="356"/>
    <n v="360"/>
    <n v="0"/>
    <x v="2"/>
    <n v="25189"/>
    <x v="0"/>
    <x v="0"/>
    <x v="0"/>
    <x v="1"/>
    <n v="2612.2018830105794"/>
  </r>
  <r>
    <s v="LP0000828"/>
    <x v="1"/>
    <s v="Yes"/>
    <n v="2"/>
    <x v="1"/>
    <s v="No"/>
    <n v="15395"/>
    <n v="657"/>
    <n v="582"/>
    <n v="360"/>
    <n v="1"/>
    <x v="2"/>
    <n v="16052"/>
    <x v="0"/>
    <x v="0"/>
    <x v="0"/>
    <x v="0"/>
    <n v="4270.5098199779695"/>
  </r>
  <r>
    <s v="LP0000829"/>
    <x v="0"/>
    <s v="No"/>
    <n v="0"/>
    <x v="0"/>
    <s v="No"/>
    <n v="2291"/>
    <n v="8855"/>
    <n v="286"/>
    <n v="180"/>
    <n v="0"/>
    <x v="2"/>
    <n v="11146"/>
    <x v="1"/>
    <x v="0"/>
    <x v="1"/>
    <x v="1"/>
    <n v="2733.1649611848052"/>
  </r>
  <r>
    <s v="LP0000830"/>
    <x v="2"/>
    <s v="No"/>
    <n v="0"/>
    <x v="0"/>
    <s v="Yes"/>
    <n v="7011"/>
    <n v="6719"/>
    <n v="81"/>
    <n v="120"/>
    <n v="0"/>
    <x v="0"/>
    <n v="13730"/>
    <x v="1"/>
    <x v="0"/>
    <x v="1"/>
    <x v="1"/>
    <n v="982.75351427839109"/>
  </r>
  <r>
    <s v="LP0000831"/>
    <x v="1"/>
    <s v="No"/>
    <n v="0"/>
    <x v="0"/>
    <s v="No"/>
    <n v="11521"/>
    <n v="4175"/>
    <n v="615"/>
    <n v="360"/>
    <n v="1"/>
    <x v="2"/>
    <n v="15696"/>
    <x v="0"/>
    <x v="0"/>
    <x v="0"/>
    <x v="0"/>
    <n v="4512.6521293581636"/>
  </r>
  <r>
    <s v="LP0000832"/>
    <x v="2"/>
    <s v="No"/>
    <n v="1"/>
    <x v="0"/>
    <s v="Yes"/>
    <n v="7808"/>
    <n v="23"/>
    <n v="385"/>
    <n v="120"/>
    <n v="1"/>
    <x v="2"/>
    <n v="7831"/>
    <x v="1"/>
    <x v="0"/>
    <x v="1"/>
    <x v="0"/>
    <n v="4671.1123826812418"/>
  </r>
  <r>
    <s v="LP0000833"/>
    <x v="2"/>
    <s v="Yes"/>
    <n v="0"/>
    <x v="1"/>
    <s v="Yes"/>
    <n v="8788"/>
    <n v="681"/>
    <n v="565"/>
    <n v="360"/>
    <n v="0"/>
    <x v="1"/>
    <n v="9469"/>
    <x v="1"/>
    <x v="0"/>
    <x v="1"/>
    <x v="1"/>
    <n v="4145.7698424184755"/>
  </r>
  <r>
    <s v="LP0000834"/>
    <x v="0"/>
    <s v="No"/>
    <n v="0"/>
    <x v="1"/>
    <s v="Yes"/>
    <n v="9620"/>
    <n v="2232"/>
    <n v="149"/>
    <n v="360"/>
    <n v="0"/>
    <x v="2"/>
    <n v="11852"/>
    <x v="1"/>
    <x v="0"/>
    <x v="1"/>
    <x v="1"/>
    <n v="1093.3092150802706"/>
  </r>
  <r>
    <s v="LP0000835"/>
    <x v="2"/>
    <s v="No"/>
    <s v="3+"/>
    <x v="0"/>
    <s v="No"/>
    <n v="5168"/>
    <n v="610"/>
    <n v="368"/>
    <n v="180"/>
    <n v="0"/>
    <x v="2"/>
    <n v="5778"/>
    <x v="1"/>
    <x v="1"/>
    <x v="1"/>
    <x v="1"/>
    <n v="3516.7996703356935"/>
  </r>
  <r>
    <s v="LP0000836"/>
    <x v="1"/>
    <s v="No"/>
    <n v="0"/>
    <x v="1"/>
    <s v="No"/>
    <n v="5292"/>
    <n v="6913"/>
    <n v="167"/>
    <n v="360"/>
    <n v="0"/>
    <x v="0"/>
    <n v="12205"/>
    <x v="0"/>
    <x v="0"/>
    <x v="0"/>
    <x v="1"/>
    <n v="1225.3868383785582"/>
  </r>
  <r>
    <s v="LP0000837"/>
    <x v="1"/>
    <s v="Yes"/>
    <n v="0"/>
    <x v="0"/>
    <s v="No"/>
    <n v="14163"/>
    <n v="1657"/>
    <n v="373"/>
    <n v="120"/>
    <n v="0"/>
    <x v="1"/>
    <n v="15820"/>
    <x v="1"/>
    <x v="0"/>
    <x v="1"/>
    <x v="1"/>
    <n v="4525.5192694548132"/>
  </r>
  <r>
    <s v="LP0000838"/>
    <x v="1"/>
    <s v="No"/>
    <s v="3+"/>
    <x v="1"/>
    <s v="No"/>
    <n v="9611"/>
    <n v="1877"/>
    <n v="660"/>
    <n v="180"/>
    <n v="0"/>
    <x v="0"/>
    <n v="11488"/>
    <x v="0"/>
    <x v="0"/>
    <x v="0"/>
    <x v="1"/>
    <n v="6307.3037565803197"/>
  </r>
  <r>
    <s v="LP0000839"/>
    <x v="0"/>
    <s v="No"/>
    <s v="3+"/>
    <x v="0"/>
    <s v="Yes"/>
    <n v="10772"/>
    <n v="1022"/>
    <n v="81"/>
    <n v="360"/>
    <n v="1"/>
    <x v="0"/>
    <n v="11794"/>
    <x v="0"/>
    <x v="0"/>
    <x v="0"/>
    <x v="0"/>
    <n v="594.34930484229471"/>
  </r>
  <r>
    <s v="LP0000840"/>
    <x v="2"/>
    <s v="No"/>
    <s v="3+"/>
    <x v="1"/>
    <s v="No"/>
    <n v="7238"/>
    <n v="1616"/>
    <n v="284"/>
    <n v="360"/>
    <n v="0"/>
    <x v="2"/>
    <n v="8854"/>
    <x v="0"/>
    <x v="0"/>
    <x v="0"/>
    <x v="1"/>
    <n v="2083.8913898174283"/>
  </r>
  <r>
    <s v="LP0000841"/>
    <x v="1"/>
    <s v="Yes"/>
    <n v="0"/>
    <x v="1"/>
    <s v="No"/>
    <n v="18957"/>
    <n v="1612"/>
    <n v="579"/>
    <n v="360"/>
    <n v="0"/>
    <x v="0"/>
    <n v="20569"/>
    <x v="0"/>
    <x v="0"/>
    <x v="0"/>
    <x v="1"/>
    <n v="4248.4968827615885"/>
  </r>
  <r>
    <s v="LP0000842"/>
    <x v="2"/>
    <s v="No"/>
    <s v="3+"/>
    <x v="0"/>
    <s v="Yes"/>
    <n v="9099"/>
    <n v="291"/>
    <n v="304"/>
    <n v="180"/>
    <n v="1"/>
    <x v="0"/>
    <n v="9390"/>
    <x v="1"/>
    <x v="0"/>
    <x v="1"/>
    <x v="0"/>
    <n v="2905.1823363642684"/>
  </r>
  <r>
    <s v="LP0000843"/>
    <x v="1"/>
    <s v="No"/>
    <n v="2"/>
    <x v="0"/>
    <s v="No"/>
    <n v="12126"/>
    <n v="5495"/>
    <n v="394"/>
    <n v="360"/>
    <n v="0"/>
    <x v="1"/>
    <n v="17621"/>
    <x v="0"/>
    <x v="0"/>
    <x v="0"/>
    <x v="1"/>
    <n v="2891.0324210847425"/>
  </r>
  <r>
    <s v="LP0000844"/>
    <x v="1"/>
    <s v="No"/>
    <n v="0"/>
    <x v="1"/>
    <s v="No"/>
    <n v="3246"/>
    <n v="2433"/>
    <n v="134"/>
    <n v="360"/>
    <n v="1"/>
    <x v="2"/>
    <n v="5679"/>
    <x v="1"/>
    <x v="1"/>
    <x v="1"/>
    <x v="0"/>
    <n v="983.24452899836422"/>
  </r>
  <r>
    <s v="LP0000845"/>
    <x v="0"/>
    <s v="No"/>
    <s v="3+"/>
    <x v="0"/>
    <s v="No"/>
    <n v="13625"/>
    <n v="4556"/>
    <n v="446"/>
    <n v="120"/>
    <n v="1"/>
    <x v="0"/>
    <n v="18181"/>
    <x v="0"/>
    <x v="0"/>
    <x v="0"/>
    <x v="0"/>
    <n v="5411.2107082489192"/>
  </r>
  <r>
    <s v="LP0000846"/>
    <x v="1"/>
    <s v="Yes"/>
    <n v="2"/>
    <x v="0"/>
    <s v="Yes"/>
    <n v="16895"/>
    <n v="42"/>
    <n v="351"/>
    <n v="360"/>
    <n v="0"/>
    <x v="2"/>
    <n v="16937"/>
    <x v="0"/>
    <x v="0"/>
    <x v="0"/>
    <x v="1"/>
    <n v="2575.5136543166104"/>
  </r>
  <r>
    <s v="LP0000847"/>
    <x v="0"/>
    <s v="No"/>
    <n v="1"/>
    <x v="0"/>
    <s v="Yes"/>
    <n v="6850"/>
    <n v="1311"/>
    <n v="533"/>
    <n v="120"/>
    <n v="0"/>
    <x v="0"/>
    <n v="8161"/>
    <x v="1"/>
    <x v="0"/>
    <x v="1"/>
    <x v="1"/>
    <n v="6466.7607791405244"/>
  </r>
  <r>
    <s v="LP0000848"/>
    <x v="1"/>
    <s v="Yes"/>
    <s v="3+"/>
    <x v="1"/>
    <s v="Yes"/>
    <n v="3080"/>
    <n v="8249"/>
    <n v="534"/>
    <n v="360"/>
    <n v="0"/>
    <x v="0"/>
    <n v="11329"/>
    <x v="1"/>
    <x v="0"/>
    <x v="1"/>
    <x v="1"/>
    <n v="3918.3028245158689"/>
  </r>
  <r>
    <s v="LP0000849"/>
    <x v="1"/>
    <s v="No"/>
    <n v="1"/>
    <x v="1"/>
    <s v="No"/>
    <n v="13939"/>
    <n v="6544"/>
    <n v="450"/>
    <n v="360"/>
    <n v="0"/>
    <x v="1"/>
    <n v="20483"/>
    <x v="0"/>
    <x v="0"/>
    <x v="0"/>
    <x v="1"/>
    <n v="3301.9405824571927"/>
  </r>
  <r>
    <s v="LP0000850"/>
    <x v="2"/>
    <s v="No"/>
    <n v="0"/>
    <x v="0"/>
    <s v="No"/>
    <n v="18299"/>
    <n v="5717"/>
    <n v="531"/>
    <n v="120"/>
    <n v="1"/>
    <x v="1"/>
    <n v="24016"/>
    <x v="0"/>
    <x v="0"/>
    <x v="0"/>
    <x v="0"/>
    <n v="6442.495260269453"/>
  </r>
  <r>
    <s v="LP0000851"/>
    <x v="0"/>
    <s v="Yes"/>
    <s v="3+"/>
    <x v="1"/>
    <s v="Yes"/>
    <n v="18319"/>
    <n v="185"/>
    <n v="131"/>
    <n v="180"/>
    <n v="0"/>
    <x v="0"/>
    <n v="18504"/>
    <x v="0"/>
    <x v="0"/>
    <x v="0"/>
    <x v="1"/>
    <n v="1251.9042304727604"/>
  </r>
  <r>
    <s v="LP0000852"/>
    <x v="2"/>
    <s v="Yes"/>
    <n v="2"/>
    <x v="1"/>
    <s v="No"/>
    <n v="7816"/>
    <n v="1522"/>
    <n v="238"/>
    <n v="180"/>
    <n v="0"/>
    <x v="1"/>
    <n v="9338"/>
    <x v="0"/>
    <x v="0"/>
    <x v="0"/>
    <x v="1"/>
    <n v="2274.4519607062362"/>
  </r>
  <r>
    <s v="LP0000853"/>
    <x v="1"/>
    <s v="Yes"/>
    <n v="1"/>
    <x v="0"/>
    <s v="Yes"/>
    <n v="12123"/>
    <n v="5342"/>
    <n v="636"/>
    <n v="120"/>
    <n v="1"/>
    <x v="1"/>
    <n v="17465"/>
    <x v="1"/>
    <x v="0"/>
    <x v="1"/>
    <x v="0"/>
    <n v="7716.4350010007001"/>
  </r>
  <r>
    <s v="LP0000854"/>
    <x v="0"/>
    <s v="No"/>
    <n v="0"/>
    <x v="0"/>
    <s v="Yes"/>
    <n v="18107"/>
    <n v="349"/>
    <n v="467"/>
    <n v="120"/>
    <n v="0"/>
    <x v="2"/>
    <n v="18456"/>
    <x v="0"/>
    <x v="0"/>
    <x v="0"/>
    <x v="1"/>
    <n v="5665.9986563951679"/>
  </r>
  <r>
    <s v="LP0000855"/>
    <x v="2"/>
    <s v="Yes"/>
    <n v="0"/>
    <x v="0"/>
    <s v="No"/>
    <n v="14258"/>
    <n v="9656"/>
    <n v="56"/>
    <n v="360"/>
    <n v="1"/>
    <x v="2"/>
    <n v="23914"/>
    <x v="1"/>
    <x v="0"/>
    <x v="1"/>
    <x v="0"/>
    <n v="410.90816137245071"/>
  </r>
  <r>
    <s v="LP0000856"/>
    <x v="0"/>
    <s v="No"/>
    <n v="2"/>
    <x v="0"/>
    <s v="Yes"/>
    <n v="9315"/>
    <n v="2672"/>
    <n v="669"/>
    <n v="360"/>
    <n v="1"/>
    <x v="1"/>
    <n v="11987"/>
    <x v="1"/>
    <x v="0"/>
    <x v="1"/>
    <x v="0"/>
    <n v="4908.8849992530268"/>
  </r>
  <r>
    <s v="LP0000857"/>
    <x v="1"/>
    <s v="No"/>
    <s v="3+"/>
    <x v="0"/>
    <s v="No"/>
    <n v="2103"/>
    <n v="2803"/>
    <n v="643"/>
    <n v="180"/>
    <n v="1"/>
    <x v="1"/>
    <n v="4906"/>
    <x v="0"/>
    <x v="1"/>
    <x v="0"/>
    <x v="0"/>
    <n v="6144.8429022441596"/>
  </r>
  <r>
    <s v="LP0000858"/>
    <x v="0"/>
    <s v="Yes"/>
    <n v="0"/>
    <x v="0"/>
    <s v="Yes"/>
    <n v="5393"/>
    <n v="2620"/>
    <n v="497"/>
    <n v="360"/>
    <n v="1"/>
    <x v="0"/>
    <n v="8013"/>
    <x v="1"/>
    <x v="0"/>
    <x v="1"/>
    <x v="0"/>
    <n v="3646.8099321804998"/>
  </r>
  <r>
    <s v="LP0000859"/>
    <x v="1"/>
    <s v="Yes"/>
    <n v="1"/>
    <x v="0"/>
    <s v="Yes"/>
    <n v="6820"/>
    <n v="8950"/>
    <n v="69"/>
    <n v="360"/>
    <n v="1"/>
    <x v="2"/>
    <n v="15770"/>
    <x v="0"/>
    <x v="0"/>
    <x v="0"/>
    <x v="0"/>
    <n v="506.29755597676962"/>
  </r>
  <r>
    <s v="LP0000860"/>
    <x v="0"/>
    <s v="No"/>
    <n v="2"/>
    <x v="1"/>
    <s v="No"/>
    <n v="9248"/>
    <n v="5036"/>
    <n v="573"/>
    <n v="360"/>
    <n v="0"/>
    <x v="1"/>
    <n v="14284"/>
    <x v="1"/>
    <x v="0"/>
    <x v="1"/>
    <x v="1"/>
    <n v="4204.4710083288255"/>
  </r>
  <r>
    <s v="LP0000861"/>
    <x v="2"/>
    <s v="No"/>
    <s v="3+"/>
    <x v="0"/>
    <s v="Yes"/>
    <n v="19598"/>
    <n v="4302"/>
    <n v="235"/>
    <n v="360"/>
    <n v="1"/>
    <x v="2"/>
    <n v="23900"/>
    <x v="0"/>
    <x v="0"/>
    <x v="0"/>
    <x v="0"/>
    <n v="1724.3467486165341"/>
  </r>
  <r>
    <s v="LP0000862"/>
    <x v="1"/>
    <s v="No"/>
    <n v="0"/>
    <x v="0"/>
    <s v="No"/>
    <n v="15615"/>
    <n v="6191"/>
    <n v="386"/>
    <n v="120"/>
    <n v="0"/>
    <x v="0"/>
    <n v="21806"/>
    <x v="0"/>
    <x v="0"/>
    <x v="0"/>
    <x v="1"/>
    <n v="4683.2451421167771"/>
  </r>
  <r>
    <s v="LP0000863"/>
    <x v="0"/>
    <s v="Yes"/>
    <n v="1"/>
    <x v="1"/>
    <s v="No"/>
    <n v="14267"/>
    <n v="8255"/>
    <n v="459"/>
    <n v="360"/>
    <n v="0"/>
    <x v="2"/>
    <n v="22522"/>
    <x v="1"/>
    <x v="0"/>
    <x v="1"/>
    <x v="1"/>
    <n v="3367.9793941063367"/>
  </r>
  <r>
    <s v="LP0000864"/>
    <x v="1"/>
    <s v="No"/>
    <n v="0"/>
    <x v="1"/>
    <s v="No"/>
    <n v="4399"/>
    <n v="7735"/>
    <n v="119"/>
    <n v="180"/>
    <n v="1"/>
    <x v="2"/>
    <n v="12134"/>
    <x v="0"/>
    <x v="0"/>
    <x v="0"/>
    <x v="0"/>
    <n v="1137.2259803531181"/>
  </r>
  <r>
    <s v="LP0000865"/>
    <x v="0"/>
    <s v="No"/>
    <n v="1"/>
    <x v="0"/>
    <s v="Yes"/>
    <n v="17923"/>
    <n v="5661"/>
    <n v="626"/>
    <n v="180"/>
    <n v="1"/>
    <x v="2"/>
    <n v="23584"/>
    <x v="1"/>
    <x v="0"/>
    <x v="1"/>
    <x v="0"/>
    <n v="5982.3820479079995"/>
  </r>
  <r>
    <s v="LP0000866"/>
    <x v="2"/>
    <s v="No"/>
    <s v="3+"/>
    <x v="0"/>
    <s v="Yes"/>
    <n v="2508"/>
    <n v="7417"/>
    <n v="141"/>
    <n v="180"/>
    <n v="1"/>
    <x v="1"/>
    <n v="9925"/>
    <x v="0"/>
    <x v="0"/>
    <x v="0"/>
    <x v="0"/>
    <n v="1347.4694389057956"/>
  </r>
  <r>
    <s v="LP0000867"/>
    <x v="2"/>
    <s v="Yes"/>
    <n v="1"/>
    <x v="1"/>
    <s v="Yes"/>
    <n v="2206"/>
    <n v="5411"/>
    <n v="549"/>
    <n v="180"/>
    <n v="0"/>
    <x v="0"/>
    <n v="7617"/>
    <x v="1"/>
    <x v="0"/>
    <x v="1"/>
    <x v="1"/>
    <n v="5246.5299429736297"/>
  </r>
  <r>
    <s v="LP0000868"/>
    <x v="0"/>
    <s v="No"/>
    <s v="3+"/>
    <x v="0"/>
    <s v="Yes"/>
    <n v="12241"/>
    <n v="2160"/>
    <n v="271"/>
    <n v="120"/>
    <n v="1"/>
    <x v="0"/>
    <n v="14401"/>
    <x v="1"/>
    <x v="0"/>
    <x v="1"/>
    <x v="0"/>
    <n v="3287.9778070301727"/>
  </r>
  <r>
    <s v="LP0000869"/>
    <x v="2"/>
    <s v="No"/>
    <n v="2"/>
    <x v="1"/>
    <s v="Yes"/>
    <n v="13531"/>
    <n v="6415"/>
    <n v="248"/>
    <n v="120"/>
    <n v="1"/>
    <x v="2"/>
    <n v="19946"/>
    <x v="1"/>
    <x v="0"/>
    <x v="1"/>
    <x v="0"/>
    <n v="3008.9243400128516"/>
  </r>
  <r>
    <s v="LP0000870"/>
    <x v="2"/>
    <s v="No"/>
    <n v="1"/>
    <x v="0"/>
    <s v="Yes"/>
    <n v="4177"/>
    <n v="3149"/>
    <n v="468"/>
    <n v="180"/>
    <n v="0"/>
    <x v="0"/>
    <n v="7326"/>
    <x v="0"/>
    <x v="0"/>
    <x v="0"/>
    <x v="1"/>
    <n v="4472.4517546660445"/>
  </r>
  <r>
    <s v="LP0000871"/>
    <x v="0"/>
    <s v="Yes"/>
    <n v="1"/>
    <x v="1"/>
    <s v="Yes"/>
    <n v="1636"/>
    <n v="8410"/>
    <n v="266"/>
    <n v="120"/>
    <n v="0"/>
    <x v="2"/>
    <n v="10046"/>
    <x v="1"/>
    <x v="0"/>
    <x v="1"/>
    <x v="1"/>
    <n v="3227.3140098524941"/>
  </r>
  <r>
    <s v="LP0000872"/>
    <x v="2"/>
    <s v="No"/>
    <n v="0"/>
    <x v="0"/>
    <s v="No"/>
    <n v="6306"/>
    <n v="4894"/>
    <n v="597"/>
    <n v="360"/>
    <n v="1"/>
    <x v="2"/>
    <n v="11200"/>
    <x v="1"/>
    <x v="0"/>
    <x v="1"/>
    <x v="0"/>
    <n v="4380.5745060598756"/>
  </r>
  <r>
    <s v="LP0000873"/>
    <x v="2"/>
    <s v="No"/>
    <n v="2"/>
    <x v="1"/>
    <s v="Yes"/>
    <n v="19182"/>
    <n v="7191"/>
    <n v="268"/>
    <n v="120"/>
    <n v="1"/>
    <x v="1"/>
    <n v="26373"/>
    <x v="1"/>
    <x v="0"/>
    <x v="1"/>
    <x v="0"/>
    <n v="3251.5795287235655"/>
  </r>
  <r>
    <s v="LP0000874"/>
    <x v="0"/>
    <s v="No"/>
    <n v="0"/>
    <x v="1"/>
    <s v="Yes"/>
    <n v="18075"/>
    <n v="960"/>
    <n v="499"/>
    <n v="360"/>
    <n v="1"/>
    <x v="1"/>
    <n v="19035"/>
    <x v="0"/>
    <x v="0"/>
    <x v="0"/>
    <x v="0"/>
    <n v="3661.4852236580873"/>
  </r>
  <r>
    <s v="LP0000875"/>
    <x v="0"/>
    <s v="No"/>
    <s v="3+"/>
    <x v="1"/>
    <s v="No"/>
    <n v="1609"/>
    <n v="9065"/>
    <n v="636"/>
    <n v="360"/>
    <n v="0"/>
    <x v="2"/>
    <n v="10674"/>
    <x v="0"/>
    <x v="0"/>
    <x v="0"/>
    <x v="1"/>
    <n v="4666.7426898728327"/>
  </r>
  <r>
    <s v="LP0000876"/>
    <x v="1"/>
    <s v="No"/>
    <s v="3+"/>
    <x v="0"/>
    <s v="No"/>
    <n v="2654"/>
    <n v="6693"/>
    <n v="695"/>
    <n v="360"/>
    <n v="1"/>
    <x v="1"/>
    <n v="9347"/>
    <x v="1"/>
    <x v="0"/>
    <x v="1"/>
    <x v="0"/>
    <n v="5099.6637884616648"/>
  </r>
  <r>
    <s v="LP0000877"/>
    <x v="0"/>
    <s v="No"/>
    <n v="0"/>
    <x v="1"/>
    <s v="No"/>
    <n v="5715"/>
    <n v="5630"/>
    <n v="692"/>
    <n v="180"/>
    <n v="0"/>
    <x v="2"/>
    <n v="11345"/>
    <x v="1"/>
    <x v="0"/>
    <x v="1"/>
    <x v="1"/>
    <n v="6613.1124235660327"/>
  </r>
  <r>
    <s v="LP0000878"/>
    <x v="2"/>
    <s v="No"/>
    <n v="1"/>
    <x v="0"/>
    <s v="No"/>
    <n v="1895"/>
    <n v="5612"/>
    <n v="612"/>
    <n v="180"/>
    <n v="0"/>
    <x v="2"/>
    <n v="7507"/>
    <x v="1"/>
    <x v="0"/>
    <x v="1"/>
    <x v="1"/>
    <n v="5848.5907561017502"/>
  </r>
  <r>
    <s v="LP0000879"/>
    <x v="2"/>
    <s v="Yes"/>
    <s v="3+"/>
    <x v="1"/>
    <s v="No"/>
    <n v="12974"/>
    <n v="7686"/>
    <n v="53"/>
    <n v="120"/>
    <n v="0"/>
    <x v="1"/>
    <n v="20660"/>
    <x v="1"/>
    <x v="0"/>
    <x v="1"/>
    <x v="1"/>
    <n v="643.03625008339168"/>
  </r>
  <r>
    <s v="LP0000880"/>
    <x v="2"/>
    <s v="No"/>
    <s v="3+"/>
    <x v="1"/>
    <s v="No"/>
    <n v="19155"/>
    <n v="6305"/>
    <n v="597"/>
    <n v="120"/>
    <n v="0"/>
    <x v="0"/>
    <n v="25460"/>
    <x v="0"/>
    <x v="0"/>
    <x v="0"/>
    <x v="1"/>
    <n v="7243.2573830148085"/>
  </r>
  <r>
    <s v="LP0000881"/>
    <x v="0"/>
    <s v="No"/>
    <n v="1"/>
    <x v="0"/>
    <s v="No"/>
    <n v="19574"/>
    <n v="1386"/>
    <n v="362"/>
    <n v="180"/>
    <n v="0"/>
    <x v="2"/>
    <n v="20960"/>
    <x v="1"/>
    <x v="0"/>
    <x v="1"/>
    <x v="1"/>
    <n v="3459.4605452758724"/>
  </r>
  <r>
    <s v="LP0000882"/>
    <x v="2"/>
    <s v="No"/>
    <n v="2"/>
    <x v="1"/>
    <s v="No"/>
    <n v="1786"/>
    <n v="2747"/>
    <n v="159"/>
    <n v="120"/>
    <n v="0"/>
    <x v="2"/>
    <n v="4533"/>
    <x v="0"/>
    <x v="1"/>
    <x v="0"/>
    <x v="1"/>
    <n v="1929.108750250175"/>
  </r>
  <r>
    <s v="LP0000883"/>
    <x v="1"/>
    <s v="No"/>
    <n v="1"/>
    <x v="1"/>
    <s v="Yes"/>
    <n v="17173"/>
    <n v="8159"/>
    <n v="423"/>
    <n v="360"/>
    <n v="1"/>
    <x v="2"/>
    <n v="25332"/>
    <x v="1"/>
    <x v="0"/>
    <x v="1"/>
    <x v="0"/>
    <n v="3103.8241475097611"/>
  </r>
  <r>
    <s v="LP0000884"/>
    <x v="1"/>
    <s v="Yes"/>
    <n v="1"/>
    <x v="1"/>
    <s v="No"/>
    <n v="5305"/>
    <n v="349"/>
    <n v="214"/>
    <n v="360"/>
    <n v="1"/>
    <x v="0"/>
    <n v="5654"/>
    <x v="0"/>
    <x v="1"/>
    <x v="0"/>
    <x v="0"/>
    <n v="1570.2561881018651"/>
  </r>
  <r>
    <s v="LP0000885"/>
    <x v="2"/>
    <s v="No"/>
    <s v="3+"/>
    <x v="1"/>
    <s v="Yes"/>
    <n v="11534"/>
    <n v="3971"/>
    <n v="577"/>
    <n v="120"/>
    <n v="0"/>
    <x v="0"/>
    <n v="15505"/>
    <x v="0"/>
    <x v="0"/>
    <x v="0"/>
    <x v="1"/>
    <n v="7000.6021943040942"/>
  </r>
  <r>
    <s v="LP0000886"/>
    <x v="2"/>
    <s v="Yes"/>
    <n v="0"/>
    <x v="0"/>
    <s v="No"/>
    <n v="3089"/>
    <n v="1724"/>
    <n v="611"/>
    <n v="180"/>
    <n v="1"/>
    <x v="1"/>
    <n v="4813"/>
    <x v="1"/>
    <x v="1"/>
    <x v="1"/>
    <x v="0"/>
    <n v="5839.0342352584476"/>
  </r>
  <r>
    <s v="LP0000887"/>
    <x v="2"/>
    <s v="Yes"/>
    <n v="0"/>
    <x v="0"/>
    <s v="No"/>
    <n v="3839"/>
    <n v="8626"/>
    <n v="76"/>
    <n v="120"/>
    <n v="0"/>
    <x v="1"/>
    <n v="12465"/>
    <x v="0"/>
    <x v="0"/>
    <x v="0"/>
    <x v="1"/>
    <n v="922.08971710071262"/>
  </r>
  <r>
    <s v="LP0000888"/>
    <x v="1"/>
    <s v="Yes"/>
    <s v="3+"/>
    <x v="0"/>
    <s v="No"/>
    <n v="6897"/>
    <n v="7000"/>
    <n v="587"/>
    <n v="180"/>
    <n v="1"/>
    <x v="1"/>
    <n v="13897"/>
    <x v="0"/>
    <x v="0"/>
    <x v="0"/>
    <x v="0"/>
    <n v="5609.6777350191633"/>
  </r>
  <r>
    <s v="LP0000889"/>
    <x v="2"/>
    <s v="No"/>
    <s v="3+"/>
    <x v="0"/>
    <s v="Yes"/>
    <n v="16267"/>
    <n v="5376"/>
    <n v="59"/>
    <n v="120"/>
    <n v="0"/>
    <x v="2"/>
    <n v="21643"/>
    <x v="1"/>
    <x v="0"/>
    <x v="1"/>
    <x v="1"/>
    <n v="715.83280669660587"/>
  </r>
  <r>
    <s v="LP0000890"/>
    <x v="0"/>
    <s v="Yes"/>
    <s v="3+"/>
    <x v="1"/>
    <s v="Yes"/>
    <n v="3782"/>
    <n v="2089"/>
    <n v="155"/>
    <n v="360"/>
    <n v="0"/>
    <x v="0"/>
    <n v="5871"/>
    <x v="1"/>
    <x v="1"/>
    <x v="1"/>
    <x v="1"/>
    <n v="1137.3350895130332"/>
  </r>
  <r>
    <s v="LP0000891"/>
    <x v="0"/>
    <s v="No"/>
    <n v="0"/>
    <x v="1"/>
    <s v="Yes"/>
    <n v="2681"/>
    <n v="625"/>
    <n v="638"/>
    <n v="180"/>
    <n v="0"/>
    <x v="0"/>
    <n v="3306"/>
    <x v="0"/>
    <x v="1"/>
    <x v="0"/>
    <x v="1"/>
    <n v="6097.0602980276426"/>
  </r>
  <r>
    <s v="LP0000892"/>
    <x v="1"/>
    <s v="Yes"/>
    <n v="1"/>
    <x v="0"/>
    <s v="No"/>
    <n v="14794"/>
    <n v="3457"/>
    <n v="444"/>
    <n v="180"/>
    <n v="0"/>
    <x v="0"/>
    <n v="18251"/>
    <x v="0"/>
    <x v="0"/>
    <x v="0"/>
    <x v="1"/>
    <n v="4243.0952544267602"/>
  </r>
  <r>
    <s v="LP0000893"/>
    <x v="0"/>
    <s v="No"/>
    <n v="1"/>
    <x v="0"/>
    <s v="No"/>
    <n v="4626"/>
    <n v="6442"/>
    <n v="457"/>
    <n v="360"/>
    <n v="1"/>
    <x v="0"/>
    <n v="11068"/>
    <x v="0"/>
    <x v="0"/>
    <x v="0"/>
    <x v="0"/>
    <n v="3353.3041026287492"/>
  </r>
  <r>
    <s v="LP0000894"/>
    <x v="0"/>
    <s v="No"/>
    <n v="1"/>
    <x v="0"/>
    <s v="No"/>
    <n v="6323"/>
    <n v="7361"/>
    <n v="409"/>
    <n v="360"/>
    <n v="1"/>
    <x v="2"/>
    <n v="13684"/>
    <x v="0"/>
    <x v="0"/>
    <x v="0"/>
    <x v="0"/>
    <n v="3001.0971071666486"/>
  </r>
  <r>
    <s v="LP0000895"/>
    <x v="2"/>
    <s v="No"/>
    <n v="0"/>
    <x v="1"/>
    <s v="Yes"/>
    <n v="1689"/>
    <n v="3140"/>
    <n v="512"/>
    <n v="360"/>
    <n v="0"/>
    <x v="1"/>
    <n v="4829"/>
    <x v="0"/>
    <x v="1"/>
    <x v="0"/>
    <x v="1"/>
    <n v="3756.8746182624059"/>
  </r>
  <r>
    <s v="LP0000896"/>
    <x v="0"/>
    <s v="No"/>
    <n v="1"/>
    <x v="1"/>
    <s v="No"/>
    <n v="4127"/>
    <n v="2912"/>
    <n v="506"/>
    <n v="360"/>
    <n v="1"/>
    <x v="1"/>
    <n v="7039"/>
    <x v="1"/>
    <x v="0"/>
    <x v="1"/>
    <x v="0"/>
    <n v="3712.8487438296438"/>
  </r>
  <r>
    <s v="LP0000897"/>
    <x v="2"/>
    <s v="Yes"/>
    <n v="2"/>
    <x v="1"/>
    <s v="No"/>
    <n v="16345"/>
    <n v="3503"/>
    <n v="120"/>
    <n v="360"/>
    <n v="1"/>
    <x v="1"/>
    <n v="19848"/>
    <x v="1"/>
    <x v="0"/>
    <x v="1"/>
    <x v="0"/>
    <n v="880.51748865525144"/>
  </r>
  <r>
    <s v="LP0000898"/>
    <x v="2"/>
    <s v="No"/>
    <s v="3+"/>
    <x v="0"/>
    <s v="Yes"/>
    <n v="13172"/>
    <n v="2674"/>
    <n v="546"/>
    <n v="180"/>
    <n v="0"/>
    <x v="1"/>
    <n v="15846"/>
    <x v="1"/>
    <x v="0"/>
    <x v="1"/>
    <x v="1"/>
    <n v="5217.8603804437189"/>
  </r>
  <r>
    <s v="LP0000899"/>
    <x v="2"/>
    <s v="Yes"/>
    <n v="2"/>
    <x v="1"/>
    <s v="Yes"/>
    <n v="14402"/>
    <n v="2458"/>
    <n v="337"/>
    <n v="180"/>
    <n v="1"/>
    <x v="2"/>
    <n v="16860"/>
    <x v="1"/>
    <x v="0"/>
    <x v="1"/>
    <x v="0"/>
    <n v="3220.5475241932845"/>
  </r>
  <r>
    <s v="LP0000900"/>
    <x v="1"/>
    <s v="No"/>
    <n v="2"/>
    <x v="1"/>
    <s v="No"/>
    <n v="15614"/>
    <n v="3084"/>
    <n v="648"/>
    <n v="120"/>
    <n v="0"/>
    <x v="2"/>
    <n v="18698"/>
    <x v="1"/>
    <x v="0"/>
    <x v="1"/>
    <x v="1"/>
    <n v="7862.0281142271288"/>
  </r>
  <r>
    <s v="LP0000901"/>
    <x v="0"/>
    <s v="No"/>
    <n v="2"/>
    <x v="1"/>
    <s v="No"/>
    <n v="16566"/>
    <n v="4162"/>
    <n v="680"/>
    <n v="120"/>
    <n v="1"/>
    <x v="1"/>
    <n v="20728"/>
    <x v="0"/>
    <x v="0"/>
    <x v="0"/>
    <x v="0"/>
    <n v="8250.2764161642717"/>
  </r>
  <r>
    <s v="LP0000902"/>
    <x v="2"/>
    <s v="No"/>
    <n v="0"/>
    <x v="1"/>
    <s v="Yes"/>
    <n v="9450"/>
    <n v="1256"/>
    <n v="140"/>
    <n v="120"/>
    <n v="1"/>
    <x v="1"/>
    <n v="10706"/>
    <x v="0"/>
    <x v="0"/>
    <x v="0"/>
    <x v="0"/>
    <n v="1698.5863209749969"/>
  </r>
  <r>
    <s v="LP0000903"/>
    <x v="2"/>
    <s v="No"/>
    <n v="1"/>
    <x v="0"/>
    <s v="No"/>
    <n v="10043"/>
    <n v="1561"/>
    <n v="386"/>
    <n v="360"/>
    <n v="0"/>
    <x v="1"/>
    <n v="11604"/>
    <x v="0"/>
    <x v="0"/>
    <x v="0"/>
    <x v="1"/>
    <n v="2832.331255174392"/>
  </r>
  <r>
    <s v="LP0000904"/>
    <x v="1"/>
    <s v="Yes"/>
    <n v="0"/>
    <x v="1"/>
    <s v="No"/>
    <n v="11601"/>
    <n v="5892"/>
    <n v="136"/>
    <n v="360"/>
    <n v="0"/>
    <x v="2"/>
    <n v="17493"/>
    <x v="0"/>
    <x v="0"/>
    <x v="0"/>
    <x v="1"/>
    <n v="997.91982047595172"/>
  </r>
  <r>
    <s v="LP0000905"/>
    <x v="2"/>
    <s v="No"/>
    <s v="3+"/>
    <x v="0"/>
    <s v="Yes"/>
    <n v="11501"/>
    <n v="5824"/>
    <n v="368"/>
    <n v="360"/>
    <n v="0"/>
    <x v="1"/>
    <n v="17325"/>
    <x v="1"/>
    <x v="0"/>
    <x v="1"/>
    <x v="1"/>
    <n v="2700.253631876104"/>
  </r>
  <r>
    <s v="LP0000906"/>
    <x v="1"/>
    <s v="Yes"/>
    <n v="1"/>
    <x v="1"/>
    <s v="No"/>
    <n v="12315"/>
    <n v="5627"/>
    <n v="670"/>
    <n v="360"/>
    <n v="0"/>
    <x v="0"/>
    <n v="17942"/>
    <x v="0"/>
    <x v="0"/>
    <x v="0"/>
    <x v="1"/>
    <n v="4916.2226449918207"/>
  </r>
  <r>
    <s v="LP0000907"/>
    <x v="2"/>
    <s v="No"/>
    <n v="2"/>
    <x v="0"/>
    <s v="No"/>
    <n v="16911"/>
    <n v="8177"/>
    <n v="651"/>
    <n v="120"/>
    <n v="0"/>
    <x v="1"/>
    <n v="25088"/>
    <x v="0"/>
    <x v="0"/>
    <x v="0"/>
    <x v="1"/>
    <n v="7898.4263925337364"/>
  </r>
  <r>
    <s v="LP0000908"/>
    <x v="0"/>
    <s v="No"/>
    <n v="1"/>
    <x v="0"/>
    <s v="No"/>
    <n v="6092"/>
    <n v="9276"/>
    <n v="479"/>
    <n v="360"/>
    <n v="0"/>
    <x v="2"/>
    <n v="15368"/>
    <x v="0"/>
    <x v="0"/>
    <x v="0"/>
    <x v="1"/>
    <n v="3514.7323088822122"/>
  </r>
  <r>
    <s v="LP0000909"/>
    <x v="2"/>
    <s v="No"/>
    <n v="1"/>
    <x v="0"/>
    <s v="No"/>
    <n v="7237"/>
    <n v="5508"/>
    <n v="215"/>
    <n v="360"/>
    <n v="0"/>
    <x v="0"/>
    <n v="12745"/>
    <x v="0"/>
    <x v="0"/>
    <x v="0"/>
    <x v="1"/>
    <n v="1577.5938338406588"/>
  </r>
  <r>
    <s v="LP0000910"/>
    <x v="2"/>
    <s v="Yes"/>
    <n v="0"/>
    <x v="0"/>
    <s v="No"/>
    <n v="14710"/>
    <n v="2960"/>
    <n v="174"/>
    <n v="120"/>
    <n v="0"/>
    <x v="2"/>
    <n v="17670"/>
    <x v="1"/>
    <x v="0"/>
    <x v="1"/>
    <x v="1"/>
    <n v="2111.1001417832103"/>
  </r>
  <r>
    <s v="LP0000911"/>
    <x v="0"/>
    <s v="No"/>
    <n v="0"/>
    <x v="0"/>
    <s v="No"/>
    <n v="17141"/>
    <n v="2135"/>
    <n v="508"/>
    <n v="120"/>
    <n v="1"/>
    <x v="1"/>
    <n v="19276"/>
    <x v="1"/>
    <x v="0"/>
    <x v="1"/>
    <x v="0"/>
    <n v="6163.4417932521319"/>
  </r>
  <r>
    <s v="LP0000912"/>
    <x v="2"/>
    <s v="No"/>
    <n v="1"/>
    <x v="0"/>
    <s v="No"/>
    <n v="2977"/>
    <n v="7978"/>
    <n v="692"/>
    <n v="360"/>
    <n v="1"/>
    <x v="2"/>
    <n v="10955"/>
    <x v="0"/>
    <x v="0"/>
    <x v="0"/>
    <x v="0"/>
    <n v="5077.6508512452829"/>
  </r>
  <r>
    <s v="LP0000913"/>
    <x v="0"/>
    <s v="No"/>
    <s v="3+"/>
    <x v="0"/>
    <s v="No"/>
    <n v="14579"/>
    <n v="9225"/>
    <n v="227"/>
    <n v="180"/>
    <n v="0"/>
    <x v="0"/>
    <n v="23804"/>
    <x v="1"/>
    <x v="0"/>
    <x v="1"/>
    <x v="1"/>
    <n v="2169.3302314298976"/>
  </r>
  <r>
    <s v="LP0000914"/>
    <x v="0"/>
    <s v="No"/>
    <s v="3+"/>
    <x v="0"/>
    <s v="No"/>
    <n v="13199"/>
    <n v="4064"/>
    <n v="528"/>
    <n v="360"/>
    <n v="0"/>
    <x v="2"/>
    <n v="17263"/>
    <x v="1"/>
    <x v="0"/>
    <x v="1"/>
    <x v="1"/>
    <n v="3874.2769500831068"/>
  </r>
  <r>
    <s v="LP0000915"/>
    <x v="1"/>
    <s v="No"/>
    <n v="2"/>
    <x v="0"/>
    <s v="No"/>
    <n v="16286"/>
    <n v="8162"/>
    <n v="342"/>
    <n v="360"/>
    <n v="0"/>
    <x v="0"/>
    <n v="24448"/>
    <x v="0"/>
    <x v="0"/>
    <x v="0"/>
    <x v="1"/>
    <n v="2509.4748426674664"/>
  </r>
  <r>
    <s v="LP0000916"/>
    <x v="2"/>
    <s v="No"/>
    <n v="0"/>
    <x v="1"/>
    <s v="No"/>
    <n v="18496"/>
    <n v="3273"/>
    <n v="204"/>
    <n v="180"/>
    <n v="1"/>
    <x v="0"/>
    <n v="21769"/>
    <x v="0"/>
    <x v="0"/>
    <x v="0"/>
    <x v="0"/>
    <n v="1949.5302520339169"/>
  </r>
  <r>
    <s v="LP0000917"/>
    <x v="2"/>
    <s v="No"/>
    <s v="3+"/>
    <x v="1"/>
    <s v="Yes"/>
    <n v="13215"/>
    <n v="2973"/>
    <n v="61"/>
    <n v="180"/>
    <n v="0"/>
    <x v="2"/>
    <n v="16188"/>
    <x v="1"/>
    <x v="0"/>
    <x v="1"/>
    <x v="1"/>
    <n v="582.94777144151442"/>
  </r>
  <r>
    <s v="LP0000918"/>
    <x v="0"/>
    <s v="No"/>
    <n v="1"/>
    <x v="0"/>
    <s v="No"/>
    <n v="2013"/>
    <n v="3028"/>
    <n v="613"/>
    <n v="360"/>
    <n v="0"/>
    <x v="1"/>
    <n v="5041"/>
    <x v="1"/>
    <x v="1"/>
    <x v="1"/>
    <x v="1"/>
    <n v="4497.9768378805757"/>
  </r>
  <r>
    <s v="LP0000919"/>
    <x v="2"/>
    <s v="No"/>
    <n v="2"/>
    <x v="1"/>
    <s v="No"/>
    <n v="4186"/>
    <n v="9857"/>
    <n v="464"/>
    <n v="360"/>
    <n v="1"/>
    <x v="2"/>
    <n v="14043"/>
    <x v="0"/>
    <x v="0"/>
    <x v="0"/>
    <x v="0"/>
    <n v="3404.6676228003053"/>
  </r>
  <r>
    <s v="LP0000920"/>
    <x v="1"/>
    <s v="Yes"/>
    <n v="0"/>
    <x v="0"/>
    <s v="No"/>
    <n v="2169"/>
    <n v="2087"/>
    <n v="75"/>
    <n v="180"/>
    <n v="0"/>
    <x v="1"/>
    <n v="4256"/>
    <x v="1"/>
    <x v="1"/>
    <x v="1"/>
    <x v="1"/>
    <n v="716.73906324776362"/>
  </r>
  <r>
    <s v="LP0000921"/>
    <x v="0"/>
    <s v="Yes"/>
    <n v="2"/>
    <x v="0"/>
    <s v="No"/>
    <n v="1993"/>
    <n v="8783"/>
    <n v="293"/>
    <n v="360"/>
    <n v="0"/>
    <x v="2"/>
    <n v="10776"/>
    <x v="1"/>
    <x v="0"/>
    <x v="1"/>
    <x v="1"/>
    <n v="2149.9302014665723"/>
  </r>
  <r>
    <s v="LP0000922"/>
    <x v="2"/>
    <s v="No"/>
    <n v="0"/>
    <x v="0"/>
    <s v="No"/>
    <n v="18715"/>
    <n v="4259"/>
    <n v="146"/>
    <n v="180"/>
    <n v="0"/>
    <x v="2"/>
    <n v="22974"/>
    <x v="1"/>
    <x v="0"/>
    <x v="1"/>
    <x v="1"/>
    <n v="1395.2520431223131"/>
  </r>
  <r>
    <s v="LP0000923"/>
    <x v="2"/>
    <s v="No"/>
    <n v="2"/>
    <x v="1"/>
    <s v="No"/>
    <n v="4490"/>
    <n v="7219"/>
    <n v="277"/>
    <n v="120"/>
    <n v="0"/>
    <x v="0"/>
    <n v="11709"/>
    <x v="1"/>
    <x v="0"/>
    <x v="1"/>
    <x v="1"/>
    <n v="3360.7743636433866"/>
  </r>
  <r>
    <s v="LP0000924"/>
    <x v="2"/>
    <s v="No"/>
    <n v="0"/>
    <x v="0"/>
    <s v="No"/>
    <n v="9377"/>
    <n v="5438"/>
    <n v="263"/>
    <n v="360"/>
    <n v="1"/>
    <x v="2"/>
    <n v="14815"/>
    <x v="0"/>
    <x v="0"/>
    <x v="0"/>
    <x v="0"/>
    <n v="1929.8008293027594"/>
  </r>
  <r>
    <s v="LP0000925"/>
    <x v="0"/>
    <s v="No"/>
    <n v="1"/>
    <x v="0"/>
    <s v="No"/>
    <n v="15106"/>
    <n v="8052"/>
    <n v="524"/>
    <n v="120"/>
    <n v="0"/>
    <x v="1"/>
    <n v="23158"/>
    <x v="0"/>
    <x v="0"/>
    <x v="0"/>
    <x v="1"/>
    <n v="6357.5659442207025"/>
  </r>
  <r>
    <s v="LP0000926"/>
    <x v="2"/>
    <s v="No"/>
    <n v="1"/>
    <x v="1"/>
    <s v="No"/>
    <n v="3057"/>
    <n v="2726"/>
    <n v="621"/>
    <n v="360"/>
    <n v="0"/>
    <x v="1"/>
    <n v="5783"/>
    <x v="0"/>
    <x v="1"/>
    <x v="0"/>
    <x v="1"/>
    <n v="4556.6780037909257"/>
  </r>
  <r>
    <s v="LP0000927"/>
    <x v="0"/>
    <s v="Yes"/>
    <n v="1"/>
    <x v="1"/>
    <s v="No"/>
    <n v="9458"/>
    <n v="9554"/>
    <n v="663"/>
    <n v="360"/>
    <n v="0"/>
    <x v="0"/>
    <n v="19012"/>
    <x v="0"/>
    <x v="0"/>
    <x v="0"/>
    <x v="1"/>
    <n v="4864.8591248202647"/>
  </r>
  <r>
    <s v="LP0000928"/>
    <x v="2"/>
    <s v="No"/>
    <n v="2"/>
    <x v="1"/>
    <s v="Yes"/>
    <n v="7889"/>
    <n v="442"/>
    <n v="638"/>
    <n v="360"/>
    <n v="0"/>
    <x v="1"/>
    <n v="8331"/>
    <x v="0"/>
    <x v="0"/>
    <x v="0"/>
    <x v="1"/>
    <n v="4681.4179813504197"/>
  </r>
  <r>
    <s v="LP0000929"/>
    <x v="1"/>
    <s v="No"/>
    <n v="1"/>
    <x v="1"/>
    <s v="No"/>
    <n v="14153"/>
    <n v="9540"/>
    <n v="383"/>
    <n v="360"/>
    <n v="0"/>
    <x v="1"/>
    <n v="23693"/>
    <x v="1"/>
    <x v="0"/>
    <x v="1"/>
    <x v="1"/>
    <n v="2810.318317958011"/>
  </r>
  <r>
    <s v="LP0000930"/>
    <x v="0"/>
    <s v="Yes"/>
    <n v="2"/>
    <x v="0"/>
    <s v="Yes"/>
    <n v="6894"/>
    <n v="1682"/>
    <n v="696"/>
    <n v="180"/>
    <n v="0"/>
    <x v="2"/>
    <n v="8576"/>
    <x v="1"/>
    <x v="0"/>
    <x v="1"/>
    <x v="1"/>
    <n v="6651.3385069392461"/>
  </r>
  <r>
    <s v="LP0000931"/>
    <x v="2"/>
    <s v="No"/>
    <n v="2"/>
    <x v="1"/>
    <s v="Yes"/>
    <n v="1848"/>
    <n v="9836"/>
    <n v="469"/>
    <n v="120"/>
    <n v="0"/>
    <x v="1"/>
    <n v="11684"/>
    <x v="0"/>
    <x v="0"/>
    <x v="0"/>
    <x v="1"/>
    <n v="5690.2641752662394"/>
  </r>
  <r>
    <s v="LP0000932"/>
    <x v="2"/>
    <s v="Yes"/>
    <s v="3+"/>
    <x v="0"/>
    <s v="No"/>
    <n v="7981"/>
    <n v="5386"/>
    <n v="120"/>
    <n v="120"/>
    <n v="1"/>
    <x v="1"/>
    <n v="13367"/>
    <x v="0"/>
    <x v="0"/>
    <x v="0"/>
    <x v="0"/>
    <n v="1455.9311322642832"/>
  </r>
  <r>
    <s v="LP0000933"/>
    <x v="2"/>
    <s v="No"/>
    <n v="0"/>
    <x v="0"/>
    <s v="No"/>
    <n v="12414"/>
    <n v="8156"/>
    <n v="226"/>
    <n v="180"/>
    <n v="0"/>
    <x v="2"/>
    <n v="20570"/>
    <x v="0"/>
    <x v="0"/>
    <x v="0"/>
    <x v="1"/>
    <n v="2159.773710586594"/>
  </r>
  <r>
    <s v="LP0000934"/>
    <x v="1"/>
    <s v="Yes"/>
    <n v="1"/>
    <x v="0"/>
    <s v="Yes"/>
    <n v="13178"/>
    <n v="2134"/>
    <n v="271"/>
    <n v="360"/>
    <n v="0"/>
    <x v="1"/>
    <n v="15312"/>
    <x v="1"/>
    <x v="0"/>
    <x v="1"/>
    <x v="1"/>
    <n v="1988.5019952131095"/>
  </r>
  <r>
    <s v="LP0000935"/>
    <x v="0"/>
    <s v="No"/>
    <s v="3+"/>
    <x v="1"/>
    <s v="Yes"/>
    <n v="9971"/>
    <n v="9767"/>
    <n v="437"/>
    <n v="120"/>
    <n v="0"/>
    <x v="1"/>
    <n v="19738"/>
    <x v="0"/>
    <x v="0"/>
    <x v="0"/>
    <x v="1"/>
    <n v="5302.0158733290973"/>
  </r>
  <r>
    <s v="LP0000936"/>
    <x v="0"/>
    <s v="No"/>
    <n v="2"/>
    <x v="0"/>
    <s v="No"/>
    <n v="7883"/>
    <n v="8916"/>
    <n v="277"/>
    <n v="180"/>
    <n v="1"/>
    <x v="1"/>
    <n v="16799"/>
    <x v="1"/>
    <x v="0"/>
    <x v="1"/>
    <x v="0"/>
    <n v="2647.1562735950733"/>
  </r>
  <r>
    <s v="LP0000937"/>
    <x v="0"/>
    <s v="No"/>
    <n v="1"/>
    <x v="0"/>
    <s v="No"/>
    <n v="15491"/>
    <n v="5617"/>
    <n v="192"/>
    <n v="180"/>
    <n v="1"/>
    <x v="1"/>
    <n v="21108"/>
    <x v="0"/>
    <x v="0"/>
    <x v="0"/>
    <x v="0"/>
    <n v="1834.8520019142745"/>
  </r>
  <r>
    <s v="LP0000938"/>
    <x v="0"/>
    <s v="No"/>
    <n v="1"/>
    <x v="1"/>
    <s v="No"/>
    <n v="6369"/>
    <n v="9658"/>
    <n v="106"/>
    <n v="180"/>
    <n v="0"/>
    <x v="0"/>
    <n v="16027"/>
    <x v="0"/>
    <x v="0"/>
    <x v="0"/>
    <x v="1"/>
    <n v="1012.9912093901726"/>
  </r>
  <r>
    <s v="LP0000939"/>
    <x v="2"/>
    <s v="Yes"/>
    <s v="3+"/>
    <x v="1"/>
    <s v="Yes"/>
    <n v="19815"/>
    <n v="7306"/>
    <n v="107"/>
    <n v="360"/>
    <n v="1"/>
    <x v="0"/>
    <n v="27121"/>
    <x v="1"/>
    <x v="0"/>
    <x v="1"/>
    <x v="0"/>
    <n v="785.12809405093253"/>
  </r>
  <r>
    <s v="LP0000940"/>
    <x v="1"/>
    <s v="No"/>
    <s v="3+"/>
    <x v="1"/>
    <s v="No"/>
    <n v="17675"/>
    <n v="1295"/>
    <n v="283"/>
    <n v="360"/>
    <n v="1"/>
    <x v="1"/>
    <n v="18970"/>
    <x v="0"/>
    <x v="0"/>
    <x v="0"/>
    <x v="0"/>
    <n v="2076.5537440786347"/>
  </r>
  <r>
    <s v="LP0000941"/>
    <x v="1"/>
    <s v="No"/>
    <n v="1"/>
    <x v="1"/>
    <s v="No"/>
    <n v="16062"/>
    <n v="7841"/>
    <n v="340"/>
    <n v="360"/>
    <n v="0"/>
    <x v="0"/>
    <n v="23903"/>
    <x v="1"/>
    <x v="0"/>
    <x v="1"/>
    <x v="1"/>
    <n v="2494.7995511898794"/>
  </r>
  <r>
    <s v="LP0000942"/>
    <x v="0"/>
    <s v="No"/>
    <n v="2"/>
    <x v="1"/>
    <s v="No"/>
    <n v="6128"/>
    <n v="6300"/>
    <n v="395"/>
    <n v="360"/>
    <n v="1"/>
    <x v="2"/>
    <n v="12428"/>
    <x v="0"/>
    <x v="0"/>
    <x v="0"/>
    <x v="0"/>
    <n v="2898.3700668235356"/>
  </r>
  <r>
    <s v="LP0000943"/>
    <x v="0"/>
    <s v="No"/>
    <n v="1"/>
    <x v="1"/>
    <s v="Yes"/>
    <n v="14230"/>
    <n v="9684"/>
    <n v="533"/>
    <n v="360"/>
    <n v="1"/>
    <x v="2"/>
    <n v="23914"/>
    <x v="0"/>
    <x v="0"/>
    <x v="0"/>
    <x v="0"/>
    <n v="3910.9651787770754"/>
  </r>
  <r>
    <s v="LP0000944"/>
    <x v="1"/>
    <s v="Yes"/>
    <n v="2"/>
    <x v="0"/>
    <s v="Yes"/>
    <n v="12001"/>
    <n v="5435"/>
    <n v="351"/>
    <n v="360"/>
    <n v="0"/>
    <x v="0"/>
    <n v="17436"/>
    <x v="1"/>
    <x v="0"/>
    <x v="1"/>
    <x v="1"/>
    <n v="2575.5136543166104"/>
  </r>
  <r>
    <s v="LP0000945"/>
    <x v="1"/>
    <s v="No"/>
    <n v="1"/>
    <x v="0"/>
    <s v="No"/>
    <n v="7121"/>
    <n v="8312"/>
    <n v="577"/>
    <n v="180"/>
    <n v="0"/>
    <x v="2"/>
    <n v="15433"/>
    <x v="0"/>
    <x v="0"/>
    <x v="0"/>
    <x v="1"/>
    <n v="5514.1125265861274"/>
  </r>
  <r>
    <s v="LP0000946"/>
    <x v="1"/>
    <s v="No"/>
    <n v="1"/>
    <x v="1"/>
    <s v="Yes"/>
    <n v="5296"/>
    <n v="2335"/>
    <n v="339"/>
    <n v="360"/>
    <n v="0"/>
    <x v="1"/>
    <n v="7631"/>
    <x v="0"/>
    <x v="0"/>
    <x v="0"/>
    <x v="1"/>
    <n v="2487.4619054510854"/>
  </r>
  <r>
    <s v="LP0000947"/>
    <x v="0"/>
    <s v="Yes"/>
    <n v="2"/>
    <x v="0"/>
    <s v="Yes"/>
    <n v="4830"/>
    <n v="8063"/>
    <n v="655"/>
    <n v="180"/>
    <n v="0"/>
    <x v="2"/>
    <n v="12893"/>
    <x v="1"/>
    <x v="0"/>
    <x v="1"/>
    <x v="1"/>
    <n v="6259.5211523638018"/>
  </r>
  <r>
    <s v="LP0000948"/>
    <x v="0"/>
    <s v="No"/>
    <s v="3+"/>
    <x v="1"/>
    <s v="Yes"/>
    <n v="9503"/>
    <n v="1998"/>
    <n v="84"/>
    <n v="120"/>
    <n v="0"/>
    <x v="2"/>
    <n v="11501"/>
    <x v="0"/>
    <x v="0"/>
    <x v="0"/>
    <x v="1"/>
    <n v="1019.1517925849982"/>
  </r>
  <r>
    <s v="LP0000949"/>
    <x v="1"/>
    <s v="No"/>
    <s v="3+"/>
    <x v="0"/>
    <s v="Yes"/>
    <n v="13305"/>
    <n v="7549"/>
    <n v="343"/>
    <n v="360"/>
    <n v="0"/>
    <x v="1"/>
    <n v="20854"/>
    <x v="0"/>
    <x v="0"/>
    <x v="0"/>
    <x v="1"/>
    <n v="2516.8124884062604"/>
  </r>
  <r>
    <s v="LP0000950"/>
    <x v="2"/>
    <s v="No"/>
    <s v="3+"/>
    <x v="0"/>
    <s v="No"/>
    <n v="2568"/>
    <n v="2901"/>
    <n v="469"/>
    <n v="360"/>
    <n v="1"/>
    <x v="1"/>
    <n v="5469"/>
    <x v="0"/>
    <x v="1"/>
    <x v="0"/>
    <x v="0"/>
    <n v="3441.3558514942742"/>
  </r>
  <r>
    <s v="LP0000951"/>
    <x v="0"/>
    <s v="Yes"/>
    <n v="1"/>
    <x v="1"/>
    <s v="No"/>
    <n v="12721"/>
    <n v="894"/>
    <n v="237"/>
    <n v="180"/>
    <n v="0"/>
    <x v="1"/>
    <n v="13615"/>
    <x v="0"/>
    <x v="0"/>
    <x v="0"/>
    <x v="1"/>
    <n v="2264.895439862933"/>
  </r>
  <r>
    <s v="LP0000952"/>
    <x v="0"/>
    <s v="No"/>
    <n v="2"/>
    <x v="0"/>
    <s v="No"/>
    <n v="16431"/>
    <n v="2726"/>
    <n v="146"/>
    <n v="360"/>
    <n v="0"/>
    <x v="0"/>
    <n v="19157"/>
    <x v="0"/>
    <x v="0"/>
    <x v="0"/>
    <x v="1"/>
    <n v="1071.2962778638891"/>
  </r>
  <r>
    <s v="LP0000953"/>
    <x v="1"/>
    <s v="No"/>
    <n v="2"/>
    <x v="0"/>
    <s v="No"/>
    <n v="18394"/>
    <n v="4427"/>
    <n v="613"/>
    <n v="360"/>
    <n v="1"/>
    <x v="2"/>
    <n v="22821"/>
    <x v="0"/>
    <x v="0"/>
    <x v="0"/>
    <x v="0"/>
    <n v="4497.9768378805757"/>
  </r>
  <r>
    <s v="LP0000954"/>
    <x v="1"/>
    <s v="Yes"/>
    <s v="3+"/>
    <x v="0"/>
    <s v="No"/>
    <n v="4866"/>
    <n v="6345"/>
    <n v="472"/>
    <n v="120"/>
    <n v="1"/>
    <x v="1"/>
    <n v="11211"/>
    <x v="0"/>
    <x v="0"/>
    <x v="0"/>
    <x v="0"/>
    <n v="5726.662453572847"/>
  </r>
  <r>
    <s v="LP0000955"/>
    <x v="0"/>
    <s v="No"/>
    <n v="2"/>
    <x v="0"/>
    <s v="No"/>
    <n v="11570"/>
    <n v="3379"/>
    <n v="285"/>
    <n v="180"/>
    <n v="0"/>
    <x v="1"/>
    <n v="14949"/>
    <x v="1"/>
    <x v="0"/>
    <x v="1"/>
    <x v="1"/>
    <n v="2723.6084403415016"/>
  </r>
  <r>
    <s v="LP0000956"/>
    <x v="1"/>
    <s v="Yes"/>
    <n v="1"/>
    <x v="0"/>
    <s v="Yes"/>
    <n v="9468"/>
    <n v="7147"/>
    <n v="230"/>
    <n v="180"/>
    <n v="0"/>
    <x v="1"/>
    <n v="16615"/>
    <x v="0"/>
    <x v="0"/>
    <x v="0"/>
    <x v="1"/>
    <n v="2197.9997939598084"/>
  </r>
  <r>
    <s v="LP0000957"/>
    <x v="0"/>
    <s v="Yes"/>
    <s v="3+"/>
    <x v="1"/>
    <s v="No"/>
    <n v="19153"/>
    <n v="3267"/>
    <n v="97"/>
    <n v="120"/>
    <n v="1"/>
    <x v="0"/>
    <n v="22420"/>
    <x v="0"/>
    <x v="0"/>
    <x v="0"/>
    <x v="0"/>
    <n v="1176.8776652469624"/>
  </r>
  <r>
    <s v="LP0000958"/>
    <x v="1"/>
    <s v="Yes"/>
    <n v="0"/>
    <x v="1"/>
    <s v="No"/>
    <n v="19011"/>
    <n v="5098"/>
    <n v="615"/>
    <n v="360"/>
    <n v="0"/>
    <x v="2"/>
    <n v="24109"/>
    <x v="1"/>
    <x v="0"/>
    <x v="1"/>
    <x v="1"/>
    <n v="4512.6521293581636"/>
  </r>
  <r>
    <s v="LP0000959"/>
    <x v="1"/>
    <s v="No"/>
    <s v="3+"/>
    <x v="0"/>
    <s v="No"/>
    <n v="2203"/>
    <n v="7407"/>
    <n v="89"/>
    <n v="180"/>
    <n v="0"/>
    <x v="0"/>
    <n v="9610"/>
    <x v="1"/>
    <x v="0"/>
    <x v="1"/>
    <x v="1"/>
    <n v="850.53035505401272"/>
  </r>
  <r>
    <s v="LP0000960"/>
    <x v="2"/>
    <s v="Yes"/>
    <n v="2"/>
    <x v="1"/>
    <s v="Yes"/>
    <n v="5544"/>
    <n v="7642"/>
    <n v="563"/>
    <n v="120"/>
    <n v="0"/>
    <x v="2"/>
    <n v="13186"/>
    <x v="1"/>
    <x v="0"/>
    <x v="1"/>
    <x v="1"/>
    <n v="6830.7435622065941"/>
  </r>
  <r>
    <s v="LP0000961"/>
    <x v="2"/>
    <s v="No"/>
    <n v="0"/>
    <x v="0"/>
    <s v="No"/>
    <n v="5557"/>
    <n v="7020"/>
    <n v="562"/>
    <n v="360"/>
    <n v="1"/>
    <x v="2"/>
    <n v="12577"/>
    <x v="1"/>
    <x v="0"/>
    <x v="1"/>
    <x v="0"/>
    <n v="4123.7569052020945"/>
  </r>
  <r>
    <s v="LP0000962"/>
    <x v="2"/>
    <s v="Yes"/>
    <s v="3+"/>
    <x v="1"/>
    <s v="Yes"/>
    <n v="11695"/>
    <n v="1793"/>
    <n v="193"/>
    <n v="180"/>
    <n v="0"/>
    <x v="1"/>
    <n v="13488"/>
    <x v="0"/>
    <x v="0"/>
    <x v="0"/>
    <x v="1"/>
    <n v="1844.4085227575783"/>
  </r>
  <r>
    <s v="LP0000963"/>
    <x v="2"/>
    <s v="No"/>
    <n v="0"/>
    <x v="1"/>
    <s v="No"/>
    <n v="19900"/>
    <n v="5118"/>
    <n v="636"/>
    <n v="120"/>
    <n v="1"/>
    <x v="1"/>
    <n v="25018"/>
    <x v="1"/>
    <x v="0"/>
    <x v="1"/>
    <x v="0"/>
    <n v="7716.4350010007001"/>
  </r>
  <r>
    <s v="LP0000964"/>
    <x v="2"/>
    <s v="No"/>
    <s v="3+"/>
    <x v="1"/>
    <s v="Yes"/>
    <n v="18493"/>
    <n v="838"/>
    <n v="69"/>
    <n v="120"/>
    <n v="0"/>
    <x v="0"/>
    <n v="19331"/>
    <x v="1"/>
    <x v="0"/>
    <x v="1"/>
    <x v="1"/>
    <n v="837.16040105196271"/>
  </r>
  <r>
    <s v="LP0000965"/>
    <x v="0"/>
    <s v="Yes"/>
    <n v="0"/>
    <x v="1"/>
    <s v="No"/>
    <n v="19564"/>
    <n v="9519"/>
    <n v="364"/>
    <n v="180"/>
    <n v="1"/>
    <x v="1"/>
    <n v="29083"/>
    <x v="1"/>
    <x v="0"/>
    <x v="1"/>
    <x v="0"/>
    <n v="3478.5735869624796"/>
  </r>
  <r>
    <s v="LP0000966"/>
    <x v="1"/>
    <s v="No"/>
    <s v="3+"/>
    <x v="1"/>
    <s v="No"/>
    <n v="8968"/>
    <n v="7886"/>
    <n v="369"/>
    <n v="180"/>
    <n v="0"/>
    <x v="2"/>
    <n v="16854"/>
    <x v="1"/>
    <x v="0"/>
    <x v="1"/>
    <x v="1"/>
    <n v="3526.3561911789966"/>
  </r>
  <r>
    <s v="LP0000967"/>
    <x v="1"/>
    <s v="No"/>
    <n v="1"/>
    <x v="1"/>
    <s v="No"/>
    <n v="3908"/>
    <n v="6449"/>
    <n v="641"/>
    <n v="180"/>
    <n v="1"/>
    <x v="1"/>
    <n v="10357"/>
    <x v="0"/>
    <x v="0"/>
    <x v="0"/>
    <x v="0"/>
    <n v="6125.7298605575525"/>
  </r>
  <r>
    <s v="LP0000968"/>
    <x v="0"/>
    <s v="No"/>
    <n v="0"/>
    <x v="0"/>
    <s v="No"/>
    <n v="10531"/>
    <n v="7539"/>
    <n v="334"/>
    <n v="120"/>
    <n v="0"/>
    <x v="0"/>
    <n v="18070"/>
    <x v="1"/>
    <x v="0"/>
    <x v="1"/>
    <x v="1"/>
    <n v="4052.3416514689216"/>
  </r>
  <r>
    <s v="LP0000969"/>
    <x v="2"/>
    <s v="Yes"/>
    <s v="3+"/>
    <x v="1"/>
    <s v="No"/>
    <n v="13972"/>
    <n v="646"/>
    <n v="486"/>
    <n v="360"/>
    <n v="0"/>
    <x v="1"/>
    <n v="14618"/>
    <x v="0"/>
    <x v="0"/>
    <x v="0"/>
    <x v="1"/>
    <n v="3566.0958290537683"/>
  </r>
  <r>
    <s v="LP0000970"/>
    <x v="0"/>
    <s v="Yes"/>
    <n v="0"/>
    <x v="1"/>
    <s v="Yes"/>
    <n v="19346"/>
    <n v="6736"/>
    <n v="587"/>
    <n v="180"/>
    <n v="1"/>
    <x v="2"/>
    <n v="26082"/>
    <x v="1"/>
    <x v="0"/>
    <x v="1"/>
    <x v="0"/>
    <n v="5609.6777350191633"/>
  </r>
  <r>
    <s v="LP0000971"/>
    <x v="1"/>
    <s v="No"/>
    <s v="3+"/>
    <x v="1"/>
    <s v="No"/>
    <n v="14383"/>
    <n v="6253"/>
    <n v="205"/>
    <n v="180"/>
    <n v="0"/>
    <x v="1"/>
    <n v="20636"/>
    <x v="1"/>
    <x v="0"/>
    <x v="1"/>
    <x v="1"/>
    <n v="1959.0867728772205"/>
  </r>
  <r>
    <s v="LP0000972"/>
    <x v="0"/>
    <s v="Yes"/>
    <n v="1"/>
    <x v="0"/>
    <s v="Yes"/>
    <n v="15802"/>
    <n v="6847"/>
    <n v="681"/>
    <n v="180"/>
    <n v="1"/>
    <x v="1"/>
    <n v="22649"/>
    <x v="1"/>
    <x v="0"/>
    <x v="1"/>
    <x v="0"/>
    <n v="6507.9906942896941"/>
  </r>
  <r>
    <s v="LP0000973"/>
    <x v="1"/>
    <s v="No"/>
    <n v="0"/>
    <x v="0"/>
    <s v="No"/>
    <n v="5766"/>
    <n v="8307"/>
    <n v="608"/>
    <n v="180"/>
    <n v="0"/>
    <x v="0"/>
    <n v="14073"/>
    <x v="1"/>
    <x v="0"/>
    <x v="1"/>
    <x v="1"/>
    <n v="5810.3646727285368"/>
  </r>
  <r>
    <s v="LP0000974"/>
    <x v="1"/>
    <s v="Yes"/>
    <n v="0"/>
    <x v="0"/>
    <s v="Yes"/>
    <n v="14141"/>
    <n v="5844"/>
    <n v="620"/>
    <n v="180"/>
    <n v="1"/>
    <x v="0"/>
    <n v="19985"/>
    <x v="1"/>
    <x v="0"/>
    <x v="1"/>
    <x v="0"/>
    <n v="5925.0429228481789"/>
  </r>
  <r>
    <s v="LP0000975"/>
    <x v="1"/>
    <s v="No"/>
    <s v="3+"/>
    <x v="0"/>
    <s v="Yes"/>
    <n v="9201"/>
    <n v="1430"/>
    <n v="552"/>
    <n v="120"/>
    <n v="1"/>
    <x v="2"/>
    <n v="10631"/>
    <x v="0"/>
    <x v="0"/>
    <x v="0"/>
    <x v="0"/>
    <n v="6697.2832084157017"/>
  </r>
  <r>
    <s v="LP0000976"/>
    <x v="2"/>
    <s v="No"/>
    <n v="1"/>
    <x v="0"/>
    <s v="No"/>
    <n v="4016"/>
    <n v="9506"/>
    <n v="114"/>
    <n v="120"/>
    <n v="1"/>
    <x v="0"/>
    <n v="13522"/>
    <x v="0"/>
    <x v="0"/>
    <x v="0"/>
    <x v="0"/>
    <n v="1383.1345756510689"/>
  </r>
  <r>
    <s v="LP0000977"/>
    <x v="2"/>
    <s v="No"/>
    <s v="3+"/>
    <x v="1"/>
    <s v="No"/>
    <n v="12736"/>
    <n v="5216"/>
    <n v="575"/>
    <n v="360"/>
    <n v="0"/>
    <x v="0"/>
    <n v="17952"/>
    <x v="0"/>
    <x v="0"/>
    <x v="0"/>
    <x v="1"/>
    <n v="4219.1462998064126"/>
  </r>
  <r>
    <s v="LP0000978"/>
    <x v="1"/>
    <s v="No"/>
    <n v="1"/>
    <x v="0"/>
    <s v="Yes"/>
    <n v="8001"/>
    <n v="2669"/>
    <n v="458"/>
    <n v="120"/>
    <n v="0"/>
    <x v="1"/>
    <n v="10670"/>
    <x v="1"/>
    <x v="0"/>
    <x v="1"/>
    <x v="1"/>
    <n v="5556.8038214753469"/>
  </r>
  <r>
    <s v="LP0000979"/>
    <x v="1"/>
    <s v="Yes"/>
    <n v="2"/>
    <x v="1"/>
    <s v="Yes"/>
    <n v="4825"/>
    <n v="7482"/>
    <n v="77"/>
    <n v="120"/>
    <n v="1"/>
    <x v="2"/>
    <n v="12307"/>
    <x v="1"/>
    <x v="0"/>
    <x v="1"/>
    <x v="0"/>
    <n v="934.22247653624822"/>
  </r>
  <r>
    <s v="LP0000980"/>
    <x v="2"/>
    <s v="No"/>
    <s v="3+"/>
    <x v="1"/>
    <s v="No"/>
    <n v="4245"/>
    <n v="2637"/>
    <n v="617"/>
    <n v="360"/>
    <n v="1"/>
    <x v="1"/>
    <n v="6882"/>
    <x v="1"/>
    <x v="1"/>
    <x v="1"/>
    <x v="0"/>
    <n v="4527.3274208357516"/>
  </r>
  <r>
    <s v="LP0000981"/>
    <x v="0"/>
    <s v="No"/>
    <n v="2"/>
    <x v="0"/>
    <s v="No"/>
    <n v="13274"/>
    <n v="1146"/>
    <n v="571"/>
    <n v="360"/>
    <n v="0"/>
    <x v="1"/>
    <n v="14420"/>
    <x v="1"/>
    <x v="0"/>
    <x v="1"/>
    <x v="1"/>
    <n v="4189.7957168512385"/>
  </r>
  <r>
    <s v="LP0000982"/>
    <x v="0"/>
    <s v="No"/>
    <n v="2"/>
    <x v="1"/>
    <s v="No"/>
    <n v="4849"/>
    <n v="3224"/>
    <n v="648"/>
    <n v="180"/>
    <n v="1"/>
    <x v="0"/>
    <n v="8073"/>
    <x v="1"/>
    <x v="0"/>
    <x v="1"/>
    <x v="0"/>
    <n v="6192.6255064606776"/>
  </r>
  <r>
    <s v="LP0000983"/>
    <x v="2"/>
    <s v="No"/>
    <n v="2"/>
    <x v="1"/>
    <s v="No"/>
    <n v="5520"/>
    <n v="6749"/>
    <n v="643"/>
    <n v="120"/>
    <n v="0"/>
    <x v="0"/>
    <n v="12269"/>
    <x v="0"/>
    <x v="0"/>
    <x v="0"/>
    <x v="1"/>
    <n v="7801.3643170494497"/>
  </r>
  <r>
    <s v="LP0000984"/>
    <x v="2"/>
    <s v="Yes"/>
    <s v="3+"/>
    <x v="1"/>
    <s v="No"/>
    <n v="17562"/>
    <n v="832"/>
    <n v="394"/>
    <n v="180"/>
    <n v="0"/>
    <x v="0"/>
    <n v="18394"/>
    <x v="1"/>
    <x v="0"/>
    <x v="1"/>
    <x v="1"/>
    <n v="3765.2692122615845"/>
  </r>
  <r>
    <s v="LP0000985"/>
    <x v="0"/>
    <s v="No"/>
    <n v="1"/>
    <x v="0"/>
    <s v="No"/>
    <n v="7846"/>
    <n v="5535"/>
    <n v="73"/>
    <n v="360"/>
    <n v="1"/>
    <x v="0"/>
    <n v="13381"/>
    <x v="1"/>
    <x v="0"/>
    <x v="1"/>
    <x v="0"/>
    <n v="535.64813893194457"/>
  </r>
  <r>
    <s v="LP0000986"/>
    <x v="2"/>
    <s v="Yes"/>
    <n v="0"/>
    <x v="0"/>
    <s v="No"/>
    <n v="9291"/>
    <n v="7268"/>
    <n v="425"/>
    <n v="120"/>
    <n v="0"/>
    <x v="0"/>
    <n v="16559"/>
    <x v="1"/>
    <x v="0"/>
    <x v="1"/>
    <x v="1"/>
    <n v="5156.4227601026696"/>
  </r>
  <r>
    <s v="LP0000987"/>
    <x v="2"/>
    <s v="No"/>
    <n v="1"/>
    <x v="1"/>
    <s v="No"/>
    <n v="8067"/>
    <n v="9767"/>
    <n v="474"/>
    <n v="120"/>
    <n v="0"/>
    <x v="2"/>
    <n v="17834"/>
    <x v="1"/>
    <x v="0"/>
    <x v="1"/>
    <x v="1"/>
    <n v="5750.9279724439184"/>
  </r>
  <r>
    <s v="LP0000988"/>
    <x v="0"/>
    <s v="No"/>
    <n v="1"/>
    <x v="1"/>
    <s v="No"/>
    <n v="18222"/>
    <n v="9152"/>
    <n v="221"/>
    <n v="180"/>
    <n v="1"/>
    <x v="1"/>
    <n v="27374"/>
    <x v="0"/>
    <x v="0"/>
    <x v="0"/>
    <x v="0"/>
    <n v="2111.991106370077"/>
  </r>
  <r>
    <s v="LP0000989"/>
    <x v="1"/>
    <s v="No"/>
    <n v="0"/>
    <x v="1"/>
    <s v="No"/>
    <n v="4261"/>
    <n v="8116"/>
    <n v="138"/>
    <n v="120"/>
    <n v="0"/>
    <x v="0"/>
    <n v="12377"/>
    <x v="1"/>
    <x v="0"/>
    <x v="1"/>
    <x v="1"/>
    <n v="1674.3208021039254"/>
  </r>
  <r>
    <s v="LP0000990"/>
    <x v="0"/>
    <s v="No"/>
    <n v="0"/>
    <x v="0"/>
    <s v="Yes"/>
    <n v="11469"/>
    <n v="5618"/>
    <n v="111"/>
    <n v="180"/>
    <n v="0"/>
    <x v="0"/>
    <n v="17087"/>
    <x v="1"/>
    <x v="0"/>
    <x v="1"/>
    <x v="1"/>
    <n v="1060.7738136066901"/>
  </r>
  <r>
    <s v="LP0000991"/>
    <x v="2"/>
    <s v="No"/>
    <s v="3+"/>
    <x v="1"/>
    <s v="Yes"/>
    <n v="14561"/>
    <n v="5618"/>
    <n v="420"/>
    <n v="180"/>
    <n v="0"/>
    <x v="1"/>
    <n v="20179"/>
    <x v="0"/>
    <x v="0"/>
    <x v="0"/>
    <x v="1"/>
    <n v="4013.7387541874764"/>
  </r>
  <r>
    <s v="LP0000992"/>
    <x v="1"/>
    <s v="No"/>
    <s v="3+"/>
    <x v="1"/>
    <s v="Yes"/>
    <n v="16778"/>
    <n v="8409"/>
    <n v="154"/>
    <n v="360"/>
    <n v="0"/>
    <x v="0"/>
    <n v="25187"/>
    <x v="1"/>
    <x v="0"/>
    <x v="1"/>
    <x v="1"/>
    <n v="1129.9974437742394"/>
  </r>
  <r>
    <s v="LP0000993"/>
    <x v="1"/>
    <s v="No"/>
    <n v="2"/>
    <x v="0"/>
    <s v="No"/>
    <n v="1831"/>
    <n v="5000"/>
    <n v="556"/>
    <n v="360"/>
    <n v="0"/>
    <x v="0"/>
    <n v="6831"/>
    <x v="0"/>
    <x v="1"/>
    <x v="0"/>
    <x v="1"/>
    <n v="4079.7310307693315"/>
  </r>
  <r>
    <s v="LP0000994"/>
    <x v="1"/>
    <s v="Yes"/>
    <n v="0"/>
    <x v="0"/>
    <s v="No"/>
    <n v="17200"/>
    <n v="3386"/>
    <n v="210"/>
    <n v="180"/>
    <n v="1"/>
    <x v="2"/>
    <n v="20586"/>
    <x v="1"/>
    <x v="0"/>
    <x v="1"/>
    <x v="0"/>
    <n v="2006.8693770937382"/>
  </r>
  <r>
    <s v="LP0000995"/>
    <x v="0"/>
    <s v="No"/>
    <n v="1"/>
    <x v="1"/>
    <s v="Yes"/>
    <n v="3669"/>
    <n v="5987"/>
    <n v="477"/>
    <n v="120"/>
    <n v="0"/>
    <x v="2"/>
    <n v="9656"/>
    <x v="0"/>
    <x v="0"/>
    <x v="0"/>
    <x v="1"/>
    <n v="5787.3262507505251"/>
  </r>
  <r>
    <s v="LP0000996"/>
    <x v="2"/>
    <s v="No"/>
    <n v="2"/>
    <x v="1"/>
    <s v="Yes"/>
    <n v="2080"/>
    <n v="6231"/>
    <n v="625"/>
    <n v="180"/>
    <n v="0"/>
    <x v="2"/>
    <n v="8311"/>
    <x v="1"/>
    <x v="0"/>
    <x v="1"/>
    <x v="1"/>
    <n v="5972.8255270646969"/>
  </r>
  <r>
    <s v="LP0000997"/>
    <x v="0"/>
    <s v="No"/>
    <s v="3+"/>
    <x v="0"/>
    <s v="No"/>
    <n v="11888"/>
    <n v="3151"/>
    <n v="182"/>
    <n v="360"/>
    <n v="0"/>
    <x v="1"/>
    <n v="15039"/>
    <x v="1"/>
    <x v="0"/>
    <x v="1"/>
    <x v="1"/>
    <n v="1335.4515244604645"/>
  </r>
  <r>
    <s v="LP0000998"/>
    <x v="0"/>
    <s v="No"/>
    <s v="3+"/>
    <x v="0"/>
    <s v="No"/>
    <n v="14082"/>
    <n v="9356"/>
    <n v="209"/>
    <n v="360"/>
    <n v="0"/>
    <x v="1"/>
    <n v="23438"/>
    <x v="1"/>
    <x v="0"/>
    <x v="1"/>
    <x v="1"/>
    <n v="1533.5679594078961"/>
  </r>
  <r>
    <s v="LP0000999"/>
    <x v="1"/>
    <s v="Yes"/>
    <n v="0"/>
    <x v="0"/>
    <s v="Yes"/>
    <n v="15534"/>
    <n v="2607"/>
    <n v="494"/>
    <n v="120"/>
    <n v="0"/>
    <x v="2"/>
    <n v="18141"/>
    <x v="1"/>
    <x v="0"/>
    <x v="1"/>
    <x v="1"/>
    <n v="5993.5831611546319"/>
  </r>
  <r>
    <s v="LP0001000"/>
    <x v="0"/>
    <s v="No"/>
    <s v="3+"/>
    <x v="1"/>
    <s v="No"/>
    <n v="1677"/>
    <n v="1826"/>
    <n v="671"/>
    <n v="360"/>
    <n v="0"/>
    <x v="0"/>
    <n v="3503"/>
    <x v="0"/>
    <x v="1"/>
    <x v="0"/>
    <x v="1"/>
    <n v="4923.5602907306147"/>
  </r>
  <r>
    <s v="LP0001001"/>
    <x v="2"/>
    <s v="No"/>
    <n v="1"/>
    <x v="0"/>
    <s v="Yes"/>
    <n v="10743"/>
    <n v="5378"/>
    <n v="217"/>
    <n v="180"/>
    <n v="0"/>
    <x v="1"/>
    <n v="16121"/>
    <x v="0"/>
    <x v="0"/>
    <x v="0"/>
    <x v="1"/>
    <n v="2073.7650229968626"/>
  </r>
  <r>
    <s v="LP0001002"/>
    <x v="0"/>
    <s v="No"/>
    <n v="2"/>
    <x v="0"/>
    <s v="No"/>
    <n v="17092"/>
    <n v="1461"/>
    <n v="168"/>
    <n v="120"/>
    <n v="0"/>
    <x v="2"/>
    <n v="18553"/>
    <x v="0"/>
    <x v="0"/>
    <x v="0"/>
    <x v="1"/>
    <n v="2038.3035851699965"/>
  </r>
  <r>
    <s v="LP0001003"/>
    <x v="1"/>
    <s v="No"/>
    <n v="1"/>
    <x v="1"/>
    <s v="No"/>
    <n v="12428"/>
    <n v="4801"/>
    <n v="567"/>
    <n v="180"/>
    <n v="1"/>
    <x v="2"/>
    <n v="17229"/>
    <x v="0"/>
    <x v="0"/>
    <x v="0"/>
    <x v="0"/>
    <n v="5418.5473181530933"/>
  </r>
  <r>
    <s v="LP0001004"/>
    <x v="0"/>
    <s v="No"/>
    <s v="3+"/>
    <x v="1"/>
    <s v="No"/>
    <n v="11391"/>
    <n v="8541"/>
    <n v="529"/>
    <n v="180"/>
    <n v="0"/>
    <x v="0"/>
    <n v="19932"/>
    <x v="0"/>
    <x v="0"/>
    <x v="0"/>
    <x v="1"/>
    <n v="5055.3995261075588"/>
  </r>
  <r>
    <s v="LP0001005"/>
    <x v="0"/>
    <s v="Yes"/>
    <n v="1"/>
    <x v="0"/>
    <s v="Yes"/>
    <n v="15869"/>
    <n v="4545"/>
    <n v="359"/>
    <n v="180"/>
    <n v="0"/>
    <x v="1"/>
    <n v="20414"/>
    <x v="0"/>
    <x v="0"/>
    <x v="0"/>
    <x v="1"/>
    <n v="3430.7909827459616"/>
  </r>
  <r>
    <s v="LP0001006"/>
    <x v="0"/>
    <s v="Yes"/>
    <n v="0"/>
    <x v="1"/>
    <s v="No"/>
    <n v="13534"/>
    <n v="4285"/>
    <n v="561"/>
    <n v="120"/>
    <n v="1"/>
    <x v="2"/>
    <n v="17819"/>
    <x v="1"/>
    <x v="0"/>
    <x v="1"/>
    <x v="0"/>
    <n v="6806.4780433355236"/>
  </r>
  <r>
    <s v="LP0001007"/>
    <x v="1"/>
    <s v="No"/>
    <n v="0"/>
    <x v="1"/>
    <s v="Yes"/>
    <n v="19410"/>
    <n v="4417"/>
    <n v="265"/>
    <n v="120"/>
    <n v="0"/>
    <x v="0"/>
    <n v="23827"/>
    <x v="0"/>
    <x v="0"/>
    <x v="0"/>
    <x v="1"/>
    <n v="3215.1812504169584"/>
  </r>
  <r>
    <s v="LP0001008"/>
    <x v="0"/>
    <s v="No"/>
    <s v="3+"/>
    <x v="0"/>
    <s v="Yes"/>
    <n v="13957"/>
    <n v="7280"/>
    <n v="81"/>
    <n v="360"/>
    <n v="0"/>
    <x v="1"/>
    <n v="21237"/>
    <x v="1"/>
    <x v="0"/>
    <x v="1"/>
    <x v="1"/>
    <n v="594.34930484229471"/>
  </r>
  <r>
    <s v="LP0001009"/>
    <x v="0"/>
    <s v="No"/>
    <s v="3+"/>
    <x v="1"/>
    <s v="Yes"/>
    <n v="19415"/>
    <n v="9616"/>
    <n v="664"/>
    <n v="180"/>
    <n v="1"/>
    <x v="0"/>
    <n v="29031"/>
    <x v="1"/>
    <x v="0"/>
    <x v="1"/>
    <x v="0"/>
    <n v="6345.5298399535341"/>
  </r>
  <r>
    <s v="LP0001010"/>
    <x v="2"/>
    <s v="No"/>
    <s v="3+"/>
    <x v="0"/>
    <s v="Yes"/>
    <n v="5146"/>
    <n v="381"/>
    <n v="165"/>
    <n v="360"/>
    <n v="0"/>
    <x v="1"/>
    <n v="5527"/>
    <x v="0"/>
    <x v="1"/>
    <x v="0"/>
    <x v="1"/>
    <n v="1210.7115469009707"/>
  </r>
  <r>
    <s v="LP0001011"/>
    <x v="1"/>
    <s v="No"/>
    <n v="0"/>
    <x v="1"/>
    <s v="No"/>
    <n v="1711"/>
    <n v="242"/>
    <n v="488"/>
    <n v="120"/>
    <n v="0"/>
    <x v="2"/>
    <n v="1953"/>
    <x v="0"/>
    <x v="2"/>
    <x v="0"/>
    <x v="1"/>
    <n v="5920.7866045414175"/>
  </r>
  <r>
    <s v="LP0001012"/>
    <x v="1"/>
    <s v="Yes"/>
    <s v="3+"/>
    <x v="0"/>
    <s v="No"/>
    <n v="12284"/>
    <n v="5781"/>
    <n v="82"/>
    <n v="180"/>
    <n v="0"/>
    <x v="0"/>
    <n v="18065"/>
    <x v="0"/>
    <x v="0"/>
    <x v="0"/>
    <x v="1"/>
    <n v="783.63470915088828"/>
  </r>
  <r>
    <s v="LP0001013"/>
    <x v="2"/>
    <s v="Yes"/>
    <n v="2"/>
    <x v="0"/>
    <s v="No"/>
    <n v="15762"/>
    <n v="8891"/>
    <n v="503"/>
    <n v="120"/>
    <n v="1"/>
    <x v="0"/>
    <n v="24653"/>
    <x v="1"/>
    <x v="0"/>
    <x v="1"/>
    <x v="0"/>
    <n v="6102.7779960744538"/>
  </r>
  <r>
    <s v="LP0001014"/>
    <x v="1"/>
    <s v="Yes"/>
    <n v="0"/>
    <x v="1"/>
    <s v="Yes"/>
    <n v="17715"/>
    <n v="4820"/>
    <n v="362"/>
    <n v="120"/>
    <n v="1"/>
    <x v="2"/>
    <n v="22535"/>
    <x v="0"/>
    <x v="0"/>
    <x v="0"/>
    <x v="0"/>
    <n v="4392.0589156639207"/>
  </r>
  <r>
    <s v="LP0001015"/>
    <x v="1"/>
    <s v="No"/>
    <n v="2"/>
    <x v="0"/>
    <s v="No"/>
    <n v="9729"/>
    <n v="6981"/>
    <n v="194"/>
    <n v="120"/>
    <n v="0"/>
    <x v="2"/>
    <n v="16710"/>
    <x v="1"/>
    <x v="0"/>
    <x v="1"/>
    <x v="1"/>
    <n v="2353.7553304939247"/>
  </r>
  <r>
    <s v="LP0001016"/>
    <x v="2"/>
    <s v="Yes"/>
    <n v="2"/>
    <x v="0"/>
    <s v="Yes"/>
    <n v="18102"/>
    <n v="8017"/>
    <n v="57"/>
    <n v="180"/>
    <n v="0"/>
    <x v="0"/>
    <n v="26119"/>
    <x v="1"/>
    <x v="0"/>
    <x v="1"/>
    <x v="1"/>
    <n v="544.72168806830041"/>
  </r>
  <r>
    <s v="LP0001017"/>
    <x v="0"/>
    <s v="No"/>
    <n v="1"/>
    <x v="0"/>
    <s v="No"/>
    <n v="4674"/>
    <n v="1961"/>
    <n v="134"/>
    <n v="180"/>
    <n v="0"/>
    <x v="0"/>
    <n v="6635"/>
    <x v="1"/>
    <x v="1"/>
    <x v="1"/>
    <x v="1"/>
    <n v="1280.573793002671"/>
  </r>
  <r>
    <s v="LP0001018"/>
    <x v="1"/>
    <s v="Yes"/>
    <n v="2"/>
    <x v="0"/>
    <s v="No"/>
    <n v="13455"/>
    <n v="131"/>
    <n v="220"/>
    <n v="360"/>
    <n v="0"/>
    <x v="2"/>
    <n v="13586"/>
    <x v="1"/>
    <x v="0"/>
    <x v="1"/>
    <x v="1"/>
    <n v="1614.2820625346278"/>
  </r>
  <r>
    <s v="LP0001019"/>
    <x v="1"/>
    <s v="No"/>
    <s v="3+"/>
    <x v="1"/>
    <s v="No"/>
    <n v="18149"/>
    <n v="9575"/>
    <n v="63"/>
    <n v="360"/>
    <n v="0"/>
    <x v="1"/>
    <n v="27724"/>
    <x v="1"/>
    <x v="0"/>
    <x v="1"/>
    <x v="1"/>
    <n v="462.27168154400698"/>
  </r>
  <r>
    <s v="LP0001020"/>
    <x v="1"/>
    <s v="No"/>
    <n v="0"/>
    <x v="1"/>
    <s v="No"/>
    <n v="1649"/>
    <n v="1438"/>
    <n v="321"/>
    <n v="180"/>
    <n v="1"/>
    <x v="0"/>
    <n v="3087"/>
    <x v="1"/>
    <x v="1"/>
    <x v="1"/>
    <x v="0"/>
    <n v="3067.6431907004285"/>
  </r>
  <r>
    <s v="LP0001021"/>
    <x v="2"/>
    <s v="Yes"/>
    <n v="2"/>
    <x v="0"/>
    <s v="No"/>
    <n v="4893"/>
    <n v="8562"/>
    <n v="529"/>
    <n v="180"/>
    <n v="0"/>
    <x v="1"/>
    <n v="13455"/>
    <x v="1"/>
    <x v="0"/>
    <x v="1"/>
    <x v="1"/>
    <n v="5055.3995261075588"/>
  </r>
  <r>
    <s v="LP0001022"/>
    <x v="0"/>
    <s v="No"/>
    <n v="0"/>
    <x v="1"/>
    <s v="Yes"/>
    <n v="15545"/>
    <n v="2812"/>
    <n v="248"/>
    <n v="360"/>
    <n v="0"/>
    <x v="0"/>
    <n v="18357"/>
    <x v="1"/>
    <x v="0"/>
    <x v="1"/>
    <x v="1"/>
    <n v="1819.7361432208529"/>
  </r>
  <r>
    <s v="LP0001023"/>
    <x v="2"/>
    <s v="Yes"/>
    <s v="3+"/>
    <x v="0"/>
    <s v="No"/>
    <n v="4321"/>
    <n v="2706"/>
    <n v="645"/>
    <n v="360"/>
    <n v="1"/>
    <x v="0"/>
    <n v="7027"/>
    <x v="1"/>
    <x v="0"/>
    <x v="1"/>
    <x v="0"/>
    <n v="4732.7815015219767"/>
  </r>
  <r>
    <s v="LP0001024"/>
    <x v="0"/>
    <s v="Yes"/>
    <n v="1"/>
    <x v="0"/>
    <s v="No"/>
    <n v="14609"/>
    <n v="8740"/>
    <n v="138"/>
    <n v="360"/>
    <n v="0"/>
    <x v="0"/>
    <n v="23349"/>
    <x v="0"/>
    <x v="0"/>
    <x v="0"/>
    <x v="1"/>
    <n v="1012.5951119535392"/>
  </r>
  <r>
    <s v="LP0001025"/>
    <x v="1"/>
    <s v="Yes"/>
    <n v="1"/>
    <x v="1"/>
    <s v="Yes"/>
    <n v="7048"/>
    <n v="4350"/>
    <n v="205"/>
    <n v="360"/>
    <n v="0"/>
    <x v="0"/>
    <n v="11398"/>
    <x v="0"/>
    <x v="0"/>
    <x v="0"/>
    <x v="1"/>
    <n v="1504.2173764527213"/>
  </r>
  <r>
    <s v="LP0001026"/>
    <x v="0"/>
    <s v="No"/>
    <n v="1"/>
    <x v="0"/>
    <s v="No"/>
    <n v="9850"/>
    <n v="5962"/>
    <n v="494"/>
    <n v="360"/>
    <n v="0"/>
    <x v="1"/>
    <n v="15812"/>
    <x v="1"/>
    <x v="0"/>
    <x v="1"/>
    <x v="1"/>
    <n v="3624.7969949641183"/>
  </r>
  <r>
    <s v="LP0001027"/>
    <x v="1"/>
    <s v="No"/>
    <s v="3+"/>
    <x v="1"/>
    <s v="Yes"/>
    <n v="12402"/>
    <n v="5746"/>
    <n v="601"/>
    <n v="360"/>
    <n v="0"/>
    <x v="0"/>
    <n v="18148"/>
    <x v="0"/>
    <x v="0"/>
    <x v="0"/>
    <x v="1"/>
    <n v="4409.9250890150506"/>
  </r>
  <r>
    <s v="LP0001028"/>
    <x v="0"/>
    <s v="No"/>
    <n v="0"/>
    <x v="0"/>
    <s v="Yes"/>
    <n v="16454"/>
    <n v="6299"/>
    <n v="121"/>
    <n v="120"/>
    <n v="0"/>
    <x v="0"/>
    <n v="22753"/>
    <x v="0"/>
    <x v="0"/>
    <x v="0"/>
    <x v="1"/>
    <n v="1468.0638916998189"/>
  </r>
  <r>
    <s v="LP0001029"/>
    <x v="2"/>
    <s v="No"/>
    <n v="2"/>
    <x v="0"/>
    <s v="Yes"/>
    <n v="17746"/>
    <n v="75"/>
    <n v="71"/>
    <n v="360"/>
    <n v="0"/>
    <x v="0"/>
    <n v="17821"/>
    <x v="0"/>
    <x v="0"/>
    <x v="0"/>
    <x v="1"/>
    <n v="520.97284745435707"/>
  </r>
  <r>
    <s v="LP0001030"/>
    <x v="0"/>
    <s v="Yes"/>
    <n v="2"/>
    <x v="0"/>
    <s v="No"/>
    <n v="6457"/>
    <n v="8642"/>
    <n v="237"/>
    <n v="360"/>
    <n v="0"/>
    <x v="0"/>
    <n v="15099"/>
    <x v="0"/>
    <x v="0"/>
    <x v="0"/>
    <x v="1"/>
    <n v="1739.0220400941216"/>
  </r>
  <r>
    <s v="LP0001031"/>
    <x v="1"/>
    <s v="No"/>
    <n v="0"/>
    <x v="1"/>
    <s v="Yes"/>
    <n v="8541"/>
    <n v="7254"/>
    <n v="642"/>
    <n v="360"/>
    <n v="0"/>
    <x v="2"/>
    <n v="15795"/>
    <x v="1"/>
    <x v="0"/>
    <x v="1"/>
    <x v="1"/>
    <n v="4710.7685643055956"/>
  </r>
  <r>
    <s v="LP0001032"/>
    <x v="0"/>
    <s v="Yes"/>
    <s v="3+"/>
    <x v="0"/>
    <s v="No"/>
    <n v="2778"/>
    <n v="7953"/>
    <n v="246"/>
    <n v="360"/>
    <n v="0"/>
    <x v="1"/>
    <n v="10731"/>
    <x v="0"/>
    <x v="0"/>
    <x v="0"/>
    <x v="1"/>
    <n v="1805.0608517432656"/>
  </r>
  <r>
    <s v="LP0001033"/>
    <x v="2"/>
    <s v="Yes"/>
    <n v="1"/>
    <x v="0"/>
    <s v="Yes"/>
    <n v="5232"/>
    <n v="8059"/>
    <n v="409"/>
    <n v="360"/>
    <n v="1"/>
    <x v="0"/>
    <n v="13291"/>
    <x v="1"/>
    <x v="0"/>
    <x v="1"/>
    <x v="0"/>
    <n v="3001.0971071666486"/>
  </r>
  <r>
    <s v="LP0001034"/>
    <x v="0"/>
    <s v="Yes"/>
    <n v="0"/>
    <x v="1"/>
    <s v="No"/>
    <n v="13725"/>
    <n v="630"/>
    <n v="411"/>
    <n v="360"/>
    <n v="0"/>
    <x v="2"/>
    <n v="14355"/>
    <x v="0"/>
    <x v="0"/>
    <x v="0"/>
    <x v="1"/>
    <n v="3015.7723986442361"/>
  </r>
  <r>
    <s v="LP0001035"/>
    <x v="0"/>
    <s v="Yes"/>
    <n v="0"/>
    <x v="0"/>
    <s v="No"/>
    <n v="6911"/>
    <n v="9735"/>
    <n v="341"/>
    <n v="180"/>
    <n v="1"/>
    <x v="1"/>
    <n v="16646"/>
    <x v="1"/>
    <x v="0"/>
    <x v="1"/>
    <x v="0"/>
    <n v="3258.7736075664984"/>
  </r>
  <r>
    <s v="LP0001036"/>
    <x v="1"/>
    <s v="No"/>
    <n v="0"/>
    <x v="0"/>
    <s v="No"/>
    <n v="5554"/>
    <n v="8676"/>
    <n v="466"/>
    <n v="360"/>
    <n v="1"/>
    <x v="1"/>
    <n v="14230"/>
    <x v="0"/>
    <x v="0"/>
    <x v="0"/>
    <x v="0"/>
    <n v="3419.3429142778932"/>
  </r>
  <r>
    <s v="LP0001037"/>
    <x v="0"/>
    <s v="Yes"/>
    <s v="3+"/>
    <x v="0"/>
    <s v="No"/>
    <n v="16391"/>
    <n v="1445"/>
    <n v="79"/>
    <n v="180"/>
    <n v="0"/>
    <x v="1"/>
    <n v="17836"/>
    <x v="0"/>
    <x v="0"/>
    <x v="0"/>
    <x v="1"/>
    <n v="754.96514662097763"/>
  </r>
  <r>
    <s v="LP0001038"/>
    <x v="0"/>
    <s v="No"/>
    <s v="3+"/>
    <x v="0"/>
    <s v="No"/>
    <n v="5900"/>
    <n v="3366"/>
    <n v="292"/>
    <n v="180"/>
    <n v="1"/>
    <x v="0"/>
    <n v="9266"/>
    <x v="1"/>
    <x v="0"/>
    <x v="1"/>
    <x v="0"/>
    <n v="2790.5040862446263"/>
  </r>
  <r>
    <s v="LP0001039"/>
    <x v="1"/>
    <s v="No"/>
    <n v="2"/>
    <x v="1"/>
    <s v="No"/>
    <n v="9209"/>
    <n v="3823"/>
    <n v="120"/>
    <n v="360"/>
    <n v="1"/>
    <x v="1"/>
    <n v="13032"/>
    <x v="1"/>
    <x v="0"/>
    <x v="1"/>
    <x v="0"/>
    <n v="880.51748865525144"/>
  </r>
  <r>
    <s v="LP0001040"/>
    <x v="0"/>
    <s v="Yes"/>
    <s v="3+"/>
    <x v="0"/>
    <s v="Yes"/>
    <n v="5657"/>
    <n v="2381"/>
    <n v="339"/>
    <n v="360"/>
    <n v="0"/>
    <x v="2"/>
    <n v="8038"/>
    <x v="1"/>
    <x v="0"/>
    <x v="1"/>
    <x v="1"/>
    <n v="2487.4619054510854"/>
  </r>
  <r>
    <s v="LP0001041"/>
    <x v="1"/>
    <s v="Yes"/>
    <s v="3+"/>
    <x v="0"/>
    <s v="No"/>
    <n v="2589"/>
    <n v="150"/>
    <n v="190"/>
    <n v="180"/>
    <n v="1"/>
    <x v="1"/>
    <n v="2739"/>
    <x v="1"/>
    <x v="2"/>
    <x v="1"/>
    <x v="0"/>
    <n v="1815.7389602276676"/>
  </r>
  <r>
    <s v="LP0001042"/>
    <x v="2"/>
    <s v="Yes"/>
    <n v="1"/>
    <x v="0"/>
    <s v="No"/>
    <n v="11977"/>
    <n v="9885"/>
    <n v="667"/>
    <n v="120"/>
    <n v="0"/>
    <x v="0"/>
    <n v="21862"/>
    <x v="1"/>
    <x v="0"/>
    <x v="1"/>
    <x v="1"/>
    <n v="8092.5505435023078"/>
  </r>
  <r>
    <s v="LP0001043"/>
    <x v="1"/>
    <s v="No"/>
    <n v="2"/>
    <x v="0"/>
    <s v="No"/>
    <n v="12304"/>
    <n v="3104"/>
    <n v="448"/>
    <n v="360"/>
    <n v="1"/>
    <x v="1"/>
    <n v="15408"/>
    <x v="0"/>
    <x v="0"/>
    <x v="0"/>
    <x v="0"/>
    <n v="3287.2652909796057"/>
  </r>
  <r>
    <s v="LP0001044"/>
    <x v="0"/>
    <s v="Yes"/>
    <n v="0"/>
    <x v="1"/>
    <s v="Yes"/>
    <n v="9182"/>
    <n v="7079"/>
    <n v="271"/>
    <n v="180"/>
    <n v="1"/>
    <x v="0"/>
    <n v="16261"/>
    <x v="1"/>
    <x v="0"/>
    <x v="1"/>
    <x v="0"/>
    <n v="2589.8171485352527"/>
  </r>
  <r>
    <s v="LP0001045"/>
    <x v="1"/>
    <s v="No"/>
    <n v="2"/>
    <x v="1"/>
    <s v="No"/>
    <n v="15973"/>
    <n v="8771"/>
    <n v="640"/>
    <n v="360"/>
    <n v="0"/>
    <x v="0"/>
    <n v="24744"/>
    <x v="1"/>
    <x v="0"/>
    <x v="1"/>
    <x v="1"/>
    <n v="4696.0932728280077"/>
  </r>
  <r>
    <s v="LP0001046"/>
    <x v="1"/>
    <s v="Yes"/>
    <s v="3+"/>
    <x v="0"/>
    <s v="No"/>
    <n v="13674"/>
    <n v="2140"/>
    <n v="583"/>
    <n v="120"/>
    <n v="0"/>
    <x v="2"/>
    <n v="15814"/>
    <x v="1"/>
    <x v="0"/>
    <x v="1"/>
    <x v="1"/>
    <n v="7073.3987509173085"/>
  </r>
  <r>
    <s v="LP0001047"/>
    <x v="2"/>
    <s v="No"/>
    <s v="3+"/>
    <x v="1"/>
    <s v="No"/>
    <n v="7948"/>
    <n v="7791"/>
    <n v="192"/>
    <n v="180"/>
    <n v="0"/>
    <x v="2"/>
    <n v="15739"/>
    <x v="0"/>
    <x v="0"/>
    <x v="0"/>
    <x v="1"/>
    <n v="1834.8520019142745"/>
  </r>
  <r>
    <s v="LP0001048"/>
    <x v="1"/>
    <s v="No"/>
    <n v="2"/>
    <x v="0"/>
    <s v="No"/>
    <n v="2259"/>
    <n v="3381"/>
    <n v="477"/>
    <n v="360"/>
    <n v="0"/>
    <x v="0"/>
    <n v="5640"/>
    <x v="0"/>
    <x v="1"/>
    <x v="0"/>
    <x v="1"/>
    <n v="3500.0570174046243"/>
  </r>
  <r>
    <s v="LP0001049"/>
    <x v="1"/>
    <s v="No"/>
    <n v="1"/>
    <x v="0"/>
    <s v="No"/>
    <n v="3421"/>
    <n v="7507"/>
    <n v="118"/>
    <n v="360"/>
    <n v="0"/>
    <x v="1"/>
    <n v="10928"/>
    <x v="1"/>
    <x v="0"/>
    <x v="1"/>
    <x v="1"/>
    <n v="865.84219717766382"/>
  </r>
  <r>
    <s v="LP0001050"/>
    <x v="0"/>
    <s v="No"/>
    <n v="0"/>
    <x v="1"/>
    <s v="No"/>
    <n v="19864"/>
    <n v="8091"/>
    <n v="680"/>
    <n v="360"/>
    <n v="0"/>
    <x v="2"/>
    <n v="27955"/>
    <x v="0"/>
    <x v="0"/>
    <x v="0"/>
    <x v="1"/>
    <n v="4989.5991023797587"/>
  </r>
  <r>
    <s v="LP0001051"/>
    <x v="0"/>
    <s v="No"/>
    <n v="1"/>
    <x v="1"/>
    <s v="No"/>
    <n v="18716"/>
    <n v="7679"/>
    <n v="435"/>
    <n v="360"/>
    <n v="0"/>
    <x v="2"/>
    <n v="26395"/>
    <x v="0"/>
    <x v="0"/>
    <x v="0"/>
    <x v="1"/>
    <n v="3191.8758963752866"/>
  </r>
  <r>
    <s v="LP0001052"/>
    <x v="1"/>
    <s v="No"/>
    <n v="2"/>
    <x v="1"/>
    <s v="No"/>
    <n v="3350"/>
    <n v="5335"/>
    <n v="364"/>
    <n v="360"/>
    <n v="1"/>
    <x v="0"/>
    <n v="8685"/>
    <x v="0"/>
    <x v="0"/>
    <x v="0"/>
    <x v="0"/>
    <n v="2670.903048920929"/>
  </r>
  <r>
    <s v="LP0001053"/>
    <x v="2"/>
    <s v="No"/>
    <n v="1"/>
    <x v="1"/>
    <s v="No"/>
    <n v="6899"/>
    <n v="7700"/>
    <n v="506"/>
    <n v="180"/>
    <n v="1"/>
    <x v="0"/>
    <n v="14599"/>
    <x v="1"/>
    <x v="0"/>
    <x v="1"/>
    <x v="0"/>
    <n v="4835.599546711579"/>
  </r>
  <r>
    <s v="LP0001054"/>
    <x v="0"/>
    <s v="No"/>
    <n v="1"/>
    <x v="1"/>
    <s v="No"/>
    <n v="2723"/>
    <n v="6439"/>
    <n v="611"/>
    <n v="360"/>
    <n v="1"/>
    <x v="2"/>
    <n v="9162"/>
    <x v="1"/>
    <x v="0"/>
    <x v="1"/>
    <x v="0"/>
    <n v="4483.3015464029886"/>
  </r>
  <r>
    <s v="LP0001055"/>
    <x v="0"/>
    <s v="No"/>
    <s v="3+"/>
    <x v="0"/>
    <s v="Yes"/>
    <n v="5076"/>
    <n v="1730"/>
    <n v="92"/>
    <n v="120"/>
    <n v="1"/>
    <x v="2"/>
    <n v="6806"/>
    <x v="0"/>
    <x v="1"/>
    <x v="0"/>
    <x v="0"/>
    <n v="1116.2138680692838"/>
  </r>
  <r>
    <s v="LP0001056"/>
    <x v="1"/>
    <s v="Yes"/>
    <n v="0"/>
    <x v="1"/>
    <s v="No"/>
    <n v="18008"/>
    <n v="3507"/>
    <n v="359"/>
    <n v="120"/>
    <n v="0"/>
    <x v="2"/>
    <n v="21515"/>
    <x v="0"/>
    <x v="0"/>
    <x v="0"/>
    <x v="1"/>
    <n v="4355.660637357314"/>
  </r>
  <r>
    <s v="LP0001057"/>
    <x v="1"/>
    <s v="Yes"/>
    <n v="0"/>
    <x v="0"/>
    <s v="No"/>
    <n v="5798"/>
    <n v="3367"/>
    <n v="548"/>
    <n v="360"/>
    <n v="1"/>
    <x v="2"/>
    <n v="9165"/>
    <x v="0"/>
    <x v="0"/>
    <x v="0"/>
    <x v="0"/>
    <n v="4021.0298648589815"/>
  </r>
  <r>
    <s v="LP0001058"/>
    <x v="0"/>
    <s v="No"/>
    <s v="3+"/>
    <x v="1"/>
    <s v="No"/>
    <n v="4501"/>
    <n v="3677"/>
    <n v="575"/>
    <n v="360"/>
    <n v="1"/>
    <x v="0"/>
    <n v="8178"/>
    <x v="0"/>
    <x v="0"/>
    <x v="0"/>
    <x v="0"/>
    <n v="4219.1462998064126"/>
  </r>
  <r>
    <s v="LP0001059"/>
    <x v="0"/>
    <s v="No"/>
    <n v="1"/>
    <x v="0"/>
    <s v="No"/>
    <n v="18986"/>
    <n v="6870"/>
    <n v="447"/>
    <n v="120"/>
    <n v="0"/>
    <x v="0"/>
    <n v="25856"/>
    <x v="1"/>
    <x v="0"/>
    <x v="1"/>
    <x v="1"/>
    <n v="5423.3434676844545"/>
  </r>
  <r>
    <s v="LP0001060"/>
    <x v="1"/>
    <s v="No"/>
    <n v="2"/>
    <x v="0"/>
    <s v="No"/>
    <n v="8695"/>
    <n v="5463"/>
    <n v="377"/>
    <n v="360"/>
    <n v="1"/>
    <x v="1"/>
    <n v="14158"/>
    <x v="1"/>
    <x v="0"/>
    <x v="1"/>
    <x v="0"/>
    <n v="2766.292443525248"/>
  </r>
  <r>
    <s v="LP0001061"/>
    <x v="1"/>
    <s v="No"/>
    <n v="2"/>
    <x v="1"/>
    <s v="Yes"/>
    <n v="9850"/>
    <n v="5288"/>
    <n v="444"/>
    <n v="120"/>
    <n v="1"/>
    <x v="0"/>
    <n v="15138"/>
    <x v="1"/>
    <x v="0"/>
    <x v="1"/>
    <x v="0"/>
    <n v="5386.9451893778478"/>
  </r>
  <r>
    <s v="LP0001062"/>
    <x v="2"/>
    <s v="Yes"/>
    <n v="2"/>
    <x v="1"/>
    <s v="No"/>
    <n v="10428"/>
    <n v="3750"/>
    <n v="551"/>
    <n v="180"/>
    <n v="1"/>
    <x v="1"/>
    <n v="14178"/>
    <x v="1"/>
    <x v="0"/>
    <x v="1"/>
    <x v="0"/>
    <n v="5265.6429846602359"/>
  </r>
  <r>
    <s v="LP0001063"/>
    <x v="0"/>
    <s v="Yes"/>
    <n v="1"/>
    <x v="1"/>
    <s v="Yes"/>
    <n v="1891"/>
    <n v="4069"/>
    <n v="137"/>
    <n v="360"/>
    <n v="0"/>
    <x v="0"/>
    <n v="5960"/>
    <x v="0"/>
    <x v="1"/>
    <x v="0"/>
    <x v="1"/>
    <n v="1005.2574662147454"/>
  </r>
  <r>
    <s v="LP0001064"/>
    <x v="0"/>
    <s v="Yes"/>
    <n v="2"/>
    <x v="0"/>
    <s v="No"/>
    <n v="14817"/>
    <n v="4822"/>
    <n v="378"/>
    <n v="360"/>
    <n v="0"/>
    <x v="2"/>
    <n v="19639"/>
    <x v="1"/>
    <x v="0"/>
    <x v="1"/>
    <x v="1"/>
    <n v="2773.630089264042"/>
  </r>
  <r>
    <s v="LP0001065"/>
    <x v="2"/>
    <s v="Yes"/>
    <n v="2"/>
    <x v="0"/>
    <s v="No"/>
    <n v="16565"/>
    <n v="3136"/>
    <n v="614"/>
    <n v="360"/>
    <n v="0"/>
    <x v="1"/>
    <n v="19701"/>
    <x v="1"/>
    <x v="0"/>
    <x v="1"/>
    <x v="1"/>
    <n v="4505.3144836193696"/>
  </r>
  <r>
    <s v="LP0001066"/>
    <x v="2"/>
    <s v="No"/>
    <s v="3+"/>
    <x v="0"/>
    <s v="No"/>
    <n v="2072"/>
    <n v="6556"/>
    <n v="649"/>
    <n v="180"/>
    <n v="0"/>
    <x v="1"/>
    <n v="8628"/>
    <x v="0"/>
    <x v="0"/>
    <x v="0"/>
    <x v="1"/>
    <n v="6202.1820273039812"/>
  </r>
  <r>
    <s v="LP0001067"/>
    <x v="1"/>
    <s v="No"/>
    <n v="2"/>
    <x v="0"/>
    <s v="No"/>
    <n v="10987"/>
    <n v="8174"/>
    <n v="359"/>
    <n v="360"/>
    <n v="1"/>
    <x v="0"/>
    <n v="19161"/>
    <x v="0"/>
    <x v="0"/>
    <x v="0"/>
    <x v="0"/>
    <n v="2634.2148202269605"/>
  </r>
  <r>
    <s v="LP0001068"/>
    <x v="0"/>
    <s v="No"/>
    <s v="3+"/>
    <x v="1"/>
    <s v="No"/>
    <n v="4004"/>
    <n v="9420"/>
    <n v="68"/>
    <n v="120"/>
    <n v="0"/>
    <x v="2"/>
    <n v="13424"/>
    <x v="1"/>
    <x v="0"/>
    <x v="1"/>
    <x v="1"/>
    <n v="825.0276416164271"/>
  </r>
  <r>
    <s v="LP0001069"/>
    <x v="2"/>
    <s v="Yes"/>
    <n v="0"/>
    <x v="0"/>
    <s v="Yes"/>
    <n v="10581"/>
    <n v="9584"/>
    <n v="262"/>
    <n v="180"/>
    <n v="1"/>
    <x v="1"/>
    <n v="20165"/>
    <x v="0"/>
    <x v="0"/>
    <x v="0"/>
    <x v="0"/>
    <n v="2503.8084609455209"/>
  </r>
  <r>
    <s v="LP0001070"/>
    <x v="0"/>
    <s v="No"/>
    <n v="1"/>
    <x v="1"/>
    <s v="No"/>
    <n v="7235"/>
    <n v="7786"/>
    <n v="254"/>
    <n v="360"/>
    <n v="0"/>
    <x v="0"/>
    <n v="15021"/>
    <x v="0"/>
    <x v="0"/>
    <x v="0"/>
    <x v="1"/>
    <n v="1863.7620176536157"/>
  </r>
  <r>
    <s v="LP0001071"/>
    <x v="0"/>
    <s v="No"/>
    <n v="0"/>
    <x v="0"/>
    <s v="No"/>
    <n v="2348"/>
    <n v="9922"/>
    <n v="546"/>
    <n v="360"/>
    <n v="0"/>
    <x v="0"/>
    <n v="12270"/>
    <x v="1"/>
    <x v="0"/>
    <x v="1"/>
    <x v="1"/>
    <n v="4006.3545733813944"/>
  </r>
  <r>
    <s v="LP0001072"/>
    <x v="1"/>
    <s v="No"/>
    <s v="3+"/>
    <x v="0"/>
    <s v="No"/>
    <n v="11892"/>
    <n v="5387"/>
    <n v="554"/>
    <n v="180"/>
    <n v="0"/>
    <x v="2"/>
    <n v="17279"/>
    <x v="1"/>
    <x v="0"/>
    <x v="1"/>
    <x v="1"/>
    <n v="5294.3125471901467"/>
  </r>
  <r>
    <s v="LP0001073"/>
    <x v="1"/>
    <s v="Yes"/>
    <n v="0"/>
    <x v="0"/>
    <s v="Yes"/>
    <n v="12844"/>
    <n v="6681"/>
    <n v="614"/>
    <n v="120"/>
    <n v="0"/>
    <x v="2"/>
    <n v="19525"/>
    <x v="1"/>
    <x v="0"/>
    <x v="1"/>
    <x v="1"/>
    <n v="7449.5142934189153"/>
  </r>
  <r>
    <s v="LP0001074"/>
    <x v="2"/>
    <s v="No"/>
    <n v="2"/>
    <x v="1"/>
    <s v="Yes"/>
    <n v="12488"/>
    <n v="9713"/>
    <n v="636"/>
    <n v="360"/>
    <n v="0"/>
    <x v="0"/>
    <n v="22201"/>
    <x v="0"/>
    <x v="0"/>
    <x v="0"/>
    <x v="1"/>
    <n v="4666.7426898728327"/>
  </r>
  <r>
    <s v="LP0001075"/>
    <x v="2"/>
    <s v="Yes"/>
    <n v="1"/>
    <x v="0"/>
    <s v="Yes"/>
    <n v="13916"/>
    <n v="3002"/>
    <n v="568"/>
    <n v="120"/>
    <n v="1"/>
    <x v="0"/>
    <n v="16918"/>
    <x v="1"/>
    <x v="0"/>
    <x v="1"/>
    <x v="0"/>
    <n v="6891.4073593842731"/>
  </r>
  <r>
    <s v="LP0001076"/>
    <x v="1"/>
    <s v="No"/>
    <n v="1"/>
    <x v="1"/>
    <s v="Yes"/>
    <n v="15346"/>
    <n v="3956"/>
    <n v="204"/>
    <n v="120"/>
    <n v="0"/>
    <x v="1"/>
    <n v="19302"/>
    <x v="0"/>
    <x v="0"/>
    <x v="0"/>
    <x v="1"/>
    <n v="2475.0829248492814"/>
  </r>
  <r>
    <s v="LP0001077"/>
    <x v="0"/>
    <s v="No"/>
    <n v="1"/>
    <x v="1"/>
    <s v="No"/>
    <n v="8229"/>
    <n v="9"/>
    <n v="232"/>
    <n v="360"/>
    <n v="1"/>
    <x v="2"/>
    <n v="8238"/>
    <x v="0"/>
    <x v="0"/>
    <x v="0"/>
    <x v="0"/>
    <n v="1702.3338114001526"/>
  </r>
  <r>
    <s v="LP0001078"/>
    <x v="0"/>
    <s v="No"/>
    <n v="0"/>
    <x v="0"/>
    <s v="No"/>
    <n v="13778"/>
    <n v="4386"/>
    <n v="279"/>
    <n v="360"/>
    <n v="0"/>
    <x v="0"/>
    <n v="18164"/>
    <x v="1"/>
    <x v="0"/>
    <x v="1"/>
    <x v="1"/>
    <n v="2047.2031611234595"/>
  </r>
  <r>
    <s v="LP0001079"/>
    <x v="0"/>
    <s v="No"/>
    <n v="0"/>
    <x v="0"/>
    <s v="No"/>
    <n v="6698"/>
    <n v="7580"/>
    <n v="554"/>
    <n v="120"/>
    <n v="1"/>
    <x v="0"/>
    <n v="14278"/>
    <x v="1"/>
    <x v="0"/>
    <x v="1"/>
    <x v="0"/>
    <n v="6721.5487272867731"/>
  </r>
  <r>
    <s v="LP0001080"/>
    <x v="0"/>
    <s v="Yes"/>
    <n v="2"/>
    <x v="0"/>
    <s v="No"/>
    <n v="19213"/>
    <n v="4337"/>
    <n v="76"/>
    <n v="360"/>
    <n v="0"/>
    <x v="1"/>
    <n v="23550"/>
    <x v="0"/>
    <x v="0"/>
    <x v="0"/>
    <x v="1"/>
    <n v="557.66107614832595"/>
  </r>
  <r>
    <s v="LP0001081"/>
    <x v="0"/>
    <s v="Yes"/>
    <n v="1"/>
    <x v="1"/>
    <s v="Yes"/>
    <n v="11565"/>
    <n v="1173"/>
    <n v="138"/>
    <n v="360"/>
    <n v="0"/>
    <x v="1"/>
    <n v="12738"/>
    <x v="0"/>
    <x v="0"/>
    <x v="0"/>
    <x v="1"/>
    <n v="1012.5951119535392"/>
  </r>
  <r>
    <s v="LP0001082"/>
    <x v="0"/>
    <s v="Yes"/>
    <n v="0"/>
    <x v="1"/>
    <s v="No"/>
    <n v="17164"/>
    <n v="3501"/>
    <n v="253"/>
    <n v="360"/>
    <n v="1"/>
    <x v="1"/>
    <n v="20665"/>
    <x v="1"/>
    <x v="0"/>
    <x v="1"/>
    <x v="0"/>
    <n v="1856.4243719148219"/>
  </r>
  <r>
    <s v="LP0001083"/>
    <x v="2"/>
    <s v="No"/>
    <n v="0"/>
    <x v="1"/>
    <s v="Yes"/>
    <n v="10189"/>
    <n v="2181"/>
    <n v="444"/>
    <n v="180"/>
    <n v="1"/>
    <x v="1"/>
    <n v="12370"/>
    <x v="0"/>
    <x v="0"/>
    <x v="0"/>
    <x v="0"/>
    <n v="4243.0952544267602"/>
  </r>
  <r>
    <s v="LP0001084"/>
    <x v="2"/>
    <s v="No"/>
    <n v="2"/>
    <x v="0"/>
    <s v="No"/>
    <n v="13886"/>
    <n v="8734"/>
    <n v="660"/>
    <n v="360"/>
    <n v="1"/>
    <x v="2"/>
    <n v="22620"/>
    <x v="1"/>
    <x v="0"/>
    <x v="1"/>
    <x v="0"/>
    <n v="4842.8461876038828"/>
  </r>
  <r>
    <s v="LP0001085"/>
    <x v="1"/>
    <s v="Yes"/>
    <n v="2"/>
    <x v="0"/>
    <s v="No"/>
    <n v="3673"/>
    <n v="5899"/>
    <n v="260"/>
    <n v="360"/>
    <n v="0"/>
    <x v="1"/>
    <n v="9572"/>
    <x v="1"/>
    <x v="0"/>
    <x v="1"/>
    <x v="1"/>
    <n v="1907.787892086378"/>
  </r>
  <r>
    <s v="LP0001086"/>
    <x v="2"/>
    <s v="No"/>
    <n v="2"/>
    <x v="1"/>
    <s v="Yes"/>
    <n v="14943"/>
    <n v="376"/>
    <n v="185"/>
    <n v="360"/>
    <n v="1"/>
    <x v="0"/>
    <n v="15319"/>
    <x v="1"/>
    <x v="0"/>
    <x v="1"/>
    <x v="0"/>
    <n v="1357.464461676846"/>
  </r>
  <r>
    <s v="LP0001087"/>
    <x v="2"/>
    <s v="Yes"/>
    <n v="2"/>
    <x v="0"/>
    <s v="Yes"/>
    <n v="15641"/>
    <n v="7285"/>
    <n v="375"/>
    <n v="120"/>
    <n v="1"/>
    <x v="1"/>
    <n v="22926"/>
    <x v="0"/>
    <x v="0"/>
    <x v="0"/>
    <x v="0"/>
    <n v="4549.7847883258846"/>
  </r>
  <r>
    <s v="LP0001088"/>
    <x v="0"/>
    <s v="No"/>
    <s v="3+"/>
    <x v="1"/>
    <s v="No"/>
    <n v="9305"/>
    <n v="5674"/>
    <n v="109"/>
    <n v="360"/>
    <n v="0"/>
    <x v="1"/>
    <n v="14979"/>
    <x v="1"/>
    <x v="0"/>
    <x v="1"/>
    <x v="1"/>
    <n v="799.80338552852004"/>
  </r>
  <r>
    <s v="LP0001089"/>
    <x v="1"/>
    <s v="Yes"/>
    <s v="3+"/>
    <x v="1"/>
    <s v="Yes"/>
    <n v="18017"/>
    <n v="2149"/>
    <n v="349"/>
    <n v="360"/>
    <n v="0"/>
    <x v="1"/>
    <n v="20166"/>
    <x v="1"/>
    <x v="0"/>
    <x v="1"/>
    <x v="1"/>
    <n v="2560.8383628390229"/>
  </r>
  <r>
    <s v="LP0001090"/>
    <x v="1"/>
    <s v="No"/>
    <s v="3+"/>
    <x v="0"/>
    <s v="Yes"/>
    <n v="7721"/>
    <n v="4994"/>
    <n v="146"/>
    <n v="360"/>
    <n v="0"/>
    <x v="2"/>
    <n v="12715"/>
    <x v="1"/>
    <x v="0"/>
    <x v="1"/>
    <x v="1"/>
    <n v="1071.2962778638891"/>
  </r>
  <r>
    <s v="LP0001091"/>
    <x v="0"/>
    <s v="Yes"/>
    <n v="0"/>
    <x v="1"/>
    <s v="Yes"/>
    <n v="18543"/>
    <n v="3146"/>
    <n v="594"/>
    <n v="360"/>
    <n v="0"/>
    <x v="0"/>
    <n v="21689"/>
    <x v="1"/>
    <x v="0"/>
    <x v="1"/>
    <x v="1"/>
    <n v="4358.5615688434946"/>
  </r>
  <r>
    <s v="LP0001092"/>
    <x v="2"/>
    <s v="Yes"/>
    <s v="3+"/>
    <x v="1"/>
    <s v="No"/>
    <n v="4611"/>
    <n v="3776"/>
    <n v="689"/>
    <n v="360"/>
    <n v="1"/>
    <x v="1"/>
    <n v="8387"/>
    <x v="0"/>
    <x v="0"/>
    <x v="0"/>
    <x v="0"/>
    <n v="5055.6379140289018"/>
  </r>
  <r>
    <s v="LP0001093"/>
    <x v="2"/>
    <s v="Yes"/>
    <s v="3+"/>
    <x v="1"/>
    <s v="Yes"/>
    <n v="5411"/>
    <n v="6142"/>
    <n v="227"/>
    <n v="180"/>
    <n v="0"/>
    <x v="1"/>
    <n v="11553"/>
    <x v="0"/>
    <x v="0"/>
    <x v="0"/>
    <x v="1"/>
    <n v="2169.3302314298976"/>
  </r>
  <r>
    <s v="LP0001094"/>
    <x v="2"/>
    <s v="Yes"/>
    <n v="1"/>
    <x v="0"/>
    <s v="No"/>
    <n v="8176"/>
    <n v="360"/>
    <n v="143"/>
    <n v="360"/>
    <n v="0"/>
    <x v="0"/>
    <n v="8536"/>
    <x v="0"/>
    <x v="0"/>
    <x v="0"/>
    <x v="1"/>
    <n v="1049.2833406475081"/>
  </r>
  <r>
    <s v="LP0001095"/>
    <x v="2"/>
    <s v="No"/>
    <n v="2"/>
    <x v="1"/>
    <s v="No"/>
    <n v="12298"/>
    <n v="5865"/>
    <n v="289"/>
    <n v="360"/>
    <n v="0"/>
    <x v="2"/>
    <n v="18163"/>
    <x v="0"/>
    <x v="0"/>
    <x v="0"/>
    <x v="1"/>
    <n v="2120.5796185113973"/>
  </r>
  <r>
    <s v="LP0001096"/>
    <x v="1"/>
    <s v="No"/>
    <n v="1"/>
    <x v="0"/>
    <s v="Yes"/>
    <n v="10055"/>
    <n v="5725"/>
    <n v="499"/>
    <n v="360"/>
    <n v="0"/>
    <x v="1"/>
    <n v="15780"/>
    <x v="1"/>
    <x v="0"/>
    <x v="1"/>
    <x v="1"/>
    <n v="3661.4852236580873"/>
  </r>
  <r>
    <s v="LP0001097"/>
    <x v="2"/>
    <s v="No"/>
    <n v="0"/>
    <x v="0"/>
    <s v="No"/>
    <n v="17056"/>
    <n v="9142"/>
    <n v="584"/>
    <n v="360"/>
    <n v="0"/>
    <x v="1"/>
    <n v="26198"/>
    <x v="1"/>
    <x v="0"/>
    <x v="1"/>
    <x v="1"/>
    <n v="4285.1851114555566"/>
  </r>
  <r>
    <s v="LP0001098"/>
    <x v="2"/>
    <s v="No"/>
    <n v="1"/>
    <x v="0"/>
    <s v="No"/>
    <n v="12152"/>
    <n v="7162"/>
    <n v="364"/>
    <n v="360"/>
    <n v="0"/>
    <x v="2"/>
    <n v="19314"/>
    <x v="0"/>
    <x v="0"/>
    <x v="0"/>
    <x v="1"/>
    <n v="2670.903048920929"/>
  </r>
  <r>
    <s v="LP0001099"/>
    <x v="1"/>
    <s v="Yes"/>
    <n v="1"/>
    <x v="1"/>
    <s v="No"/>
    <n v="17939"/>
    <n v="873"/>
    <n v="646"/>
    <n v="180"/>
    <n v="0"/>
    <x v="0"/>
    <n v="18812"/>
    <x v="1"/>
    <x v="0"/>
    <x v="1"/>
    <x v="1"/>
    <n v="6173.5124647740704"/>
  </r>
  <r>
    <s v="LP0001100"/>
    <x v="0"/>
    <s v="Yes"/>
    <s v="3+"/>
    <x v="1"/>
    <s v="No"/>
    <n v="11730"/>
    <n v="5155"/>
    <n v="331"/>
    <n v="120"/>
    <n v="1"/>
    <x v="1"/>
    <n v="16885"/>
    <x v="0"/>
    <x v="0"/>
    <x v="0"/>
    <x v="0"/>
    <n v="4015.9433731623144"/>
  </r>
  <r>
    <s v="LP0001101"/>
    <x v="1"/>
    <s v="Yes"/>
    <n v="1"/>
    <x v="0"/>
    <s v="No"/>
    <n v="16675"/>
    <n v="5669"/>
    <n v="343"/>
    <n v="360"/>
    <n v="1"/>
    <x v="2"/>
    <n v="22344"/>
    <x v="0"/>
    <x v="0"/>
    <x v="0"/>
    <x v="0"/>
    <n v="2516.8124884062604"/>
  </r>
  <r>
    <s v="LP0001102"/>
    <x v="2"/>
    <s v="Yes"/>
    <s v="3+"/>
    <x v="0"/>
    <s v="No"/>
    <n v="6041"/>
    <n v="9605"/>
    <n v="170"/>
    <n v="120"/>
    <n v="0"/>
    <x v="2"/>
    <n v="15646"/>
    <x v="1"/>
    <x v="0"/>
    <x v="1"/>
    <x v="1"/>
    <n v="2062.5691040410679"/>
  </r>
  <r>
    <s v="LP0001103"/>
    <x v="1"/>
    <s v="No"/>
    <s v="3+"/>
    <x v="0"/>
    <s v="No"/>
    <n v="2534"/>
    <n v="3156"/>
    <n v="342"/>
    <n v="180"/>
    <n v="0"/>
    <x v="1"/>
    <n v="5690"/>
    <x v="1"/>
    <x v="1"/>
    <x v="1"/>
    <x v="1"/>
    <n v="3268.330128409802"/>
  </r>
  <r>
    <s v="LP0001104"/>
    <x v="2"/>
    <s v="No"/>
    <s v="3+"/>
    <x v="0"/>
    <s v="Yes"/>
    <n v="12466"/>
    <n v="1050"/>
    <n v="408"/>
    <n v="120"/>
    <n v="0"/>
    <x v="0"/>
    <n v="13516"/>
    <x v="1"/>
    <x v="0"/>
    <x v="1"/>
    <x v="1"/>
    <n v="4950.1658496985629"/>
  </r>
  <r>
    <s v="LP0001105"/>
    <x v="1"/>
    <s v="No"/>
    <s v="3+"/>
    <x v="1"/>
    <s v="No"/>
    <n v="11271"/>
    <n v="8714"/>
    <n v="515"/>
    <n v="360"/>
    <n v="0"/>
    <x v="2"/>
    <n v="19985"/>
    <x v="1"/>
    <x v="0"/>
    <x v="1"/>
    <x v="1"/>
    <n v="3778.8875554787874"/>
  </r>
  <r>
    <s v="LP0001106"/>
    <x v="0"/>
    <s v="No"/>
    <n v="0"/>
    <x v="0"/>
    <s v="No"/>
    <n v="19887"/>
    <n v="8930"/>
    <n v="237"/>
    <n v="120"/>
    <n v="0"/>
    <x v="2"/>
    <n v="28817"/>
    <x v="0"/>
    <x v="0"/>
    <x v="0"/>
    <x v="1"/>
    <n v="2875.4639862219592"/>
  </r>
  <r>
    <s v="LP0001107"/>
    <x v="1"/>
    <s v="Yes"/>
    <s v="3+"/>
    <x v="1"/>
    <s v="No"/>
    <n v="2016"/>
    <n v="5574"/>
    <n v="369"/>
    <n v="360"/>
    <n v="1"/>
    <x v="1"/>
    <n v="7590"/>
    <x v="1"/>
    <x v="0"/>
    <x v="1"/>
    <x v="0"/>
    <n v="2707.591277614898"/>
  </r>
  <r>
    <s v="LP0001108"/>
    <x v="0"/>
    <s v="Yes"/>
    <n v="2"/>
    <x v="0"/>
    <s v="No"/>
    <n v="15588"/>
    <n v="3002"/>
    <n v="292"/>
    <n v="360"/>
    <n v="1"/>
    <x v="0"/>
    <n v="18590"/>
    <x v="0"/>
    <x v="0"/>
    <x v="0"/>
    <x v="0"/>
    <n v="2142.5925557277783"/>
  </r>
  <r>
    <s v="LP0001109"/>
    <x v="2"/>
    <s v="No"/>
    <s v="3+"/>
    <x v="0"/>
    <s v="Yes"/>
    <n v="5262"/>
    <n v="1716"/>
    <n v="227"/>
    <n v="360"/>
    <n v="0"/>
    <x v="0"/>
    <n v="6978"/>
    <x v="1"/>
    <x v="1"/>
    <x v="1"/>
    <x v="1"/>
    <n v="1665.6455827061839"/>
  </r>
  <r>
    <s v="LP0001110"/>
    <x v="2"/>
    <s v="No"/>
    <n v="0"/>
    <x v="1"/>
    <s v="Yes"/>
    <n v="3678"/>
    <n v="6950"/>
    <n v="115"/>
    <n v="180"/>
    <n v="1"/>
    <x v="0"/>
    <n v="10628"/>
    <x v="0"/>
    <x v="0"/>
    <x v="0"/>
    <x v="0"/>
    <n v="1098.9998969799042"/>
  </r>
  <r>
    <s v="LP0001111"/>
    <x v="2"/>
    <s v="Yes"/>
    <n v="1"/>
    <x v="0"/>
    <s v="No"/>
    <n v="9161"/>
    <n v="8714"/>
    <n v="196"/>
    <n v="180"/>
    <n v="0"/>
    <x v="0"/>
    <n v="17875"/>
    <x v="1"/>
    <x v="0"/>
    <x v="1"/>
    <x v="1"/>
    <n v="1873.0780852874889"/>
  </r>
  <r>
    <s v="LP0001112"/>
    <x v="2"/>
    <s v="No"/>
    <n v="2"/>
    <x v="1"/>
    <s v="No"/>
    <n v="13470"/>
    <n v="7185"/>
    <n v="686"/>
    <n v="180"/>
    <n v="0"/>
    <x v="0"/>
    <n v="20655"/>
    <x v="0"/>
    <x v="0"/>
    <x v="0"/>
    <x v="1"/>
    <n v="6555.7732985062112"/>
  </r>
  <r>
    <s v="LP0001113"/>
    <x v="0"/>
    <s v="No"/>
    <n v="1"/>
    <x v="0"/>
    <s v="No"/>
    <n v="1687"/>
    <n v="8174"/>
    <n v="266"/>
    <n v="360"/>
    <n v="1"/>
    <x v="0"/>
    <n v="9861"/>
    <x v="1"/>
    <x v="0"/>
    <x v="1"/>
    <x v="0"/>
    <n v="1951.8137665191407"/>
  </r>
  <r>
    <s v="LP0001114"/>
    <x v="0"/>
    <s v="Yes"/>
    <n v="2"/>
    <x v="0"/>
    <s v="No"/>
    <n v="12895"/>
    <n v="8586"/>
    <n v="95"/>
    <n v="360"/>
    <n v="0"/>
    <x v="1"/>
    <n v="21481"/>
    <x v="1"/>
    <x v="0"/>
    <x v="1"/>
    <x v="1"/>
    <n v="697.07634518540738"/>
  </r>
  <r>
    <s v="LP0001115"/>
    <x v="0"/>
    <s v="No"/>
    <n v="0"/>
    <x v="1"/>
    <s v="No"/>
    <n v="18021"/>
    <n v="9483"/>
    <n v="177"/>
    <n v="360"/>
    <n v="1"/>
    <x v="1"/>
    <n v="27504"/>
    <x v="1"/>
    <x v="0"/>
    <x v="1"/>
    <x v="0"/>
    <n v="1298.763295766496"/>
  </r>
  <r>
    <s v="LP0001116"/>
    <x v="2"/>
    <s v="No"/>
    <s v="3+"/>
    <x v="0"/>
    <s v="No"/>
    <n v="6529"/>
    <n v="3633"/>
    <n v="571"/>
    <n v="120"/>
    <n v="0"/>
    <x v="1"/>
    <n v="10162"/>
    <x v="1"/>
    <x v="0"/>
    <x v="1"/>
    <x v="1"/>
    <n v="6927.8056376908798"/>
  </r>
  <r>
    <s v="LP0001117"/>
    <x v="1"/>
    <s v="Yes"/>
    <n v="1"/>
    <x v="0"/>
    <s v="Yes"/>
    <n v="2962"/>
    <n v="4203"/>
    <n v="695"/>
    <n v="360"/>
    <n v="0"/>
    <x v="0"/>
    <n v="7165"/>
    <x v="0"/>
    <x v="0"/>
    <x v="0"/>
    <x v="1"/>
    <n v="5099.6637884616648"/>
  </r>
  <r>
    <s v="LP0001118"/>
    <x v="1"/>
    <s v="No"/>
    <n v="0"/>
    <x v="1"/>
    <s v="Yes"/>
    <n v="9910"/>
    <n v="1505"/>
    <n v="686"/>
    <n v="120"/>
    <n v="0"/>
    <x v="1"/>
    <n v="11415"/>
    <x v="0"/>
    <x v="0"/>
    <x v="0"/>
    <x v="1"/>
    <n v="8323.0729727774851"/>
  </r>
  <r>
    <s v="LP0001119"/>
    <x v="2"/>
    <s v="Yes"/>
    <n v="1"/>
    <x v="0"/>
    <s v="No"/>
    <n v="2384"/>
    <n v="7030"/>
    <n v="372"/>
    <n v="180"/>
    <n v="0"/>
    <x v="2"/>
    <n v="9414"/>
    <x v="0"/>
    <x v="0"/>
    <x v="0"/>
    <x v="1"/>
    <n v="3555.0257537089074"/>
  </r>
  <r>
    <s v="LP0001120"/>
    <x v="2"/>
    <s v="No"/>
    <n v="0"/>
    <x v="1"/>
    <s v="Yes"/>
    <n v="17404"/>
    <n v="4131"/>
    <n v="543"/>
    <n v="120"/>
    <n v="0"/>
    <x v="2"/>
    <n v="21535"/>
    <x v="0"/>
    <x v="0"/>
    <x v="0"/>
    <x v="1"/>
    <n v="6588.0883734958807"/>
  </r>
  <r>
    <s v="LP0001121"/>
    <x v="1"/>
    <s v="No"/>
    <s v="3+"/>
    <x v="0"/>
    <s v="No"/>
    <n v="14371"/>
    <n v="2081"/>
    <n v="471"/>
    <n v="360"/>
    <n v="1"/>
    <x v="0"/>
    <n v="16452"/>
    <x v="1"/>
    <x v="0"/>
    <x v="1"/>
    <x v="0"/>
    <n v="3456.0311429718622"/>
  </r>
  <r>
    <s v="LP0001122"/>
    <x v="0"/>
    <s v="Yes"/>
    <s v="3+"/>
    <x v="0"/>
    <s v="No"/>
    <n v="8645"/>
    <n v="5275"/>
    <n v="432"/>
    <n v="180"/>
    <n v="0"/>
    <x v="1"/>
    <n v="13920"/>
    <x v="0"/>
    <x v="0"/>
    <x v="0"/>
    <x v="1"/>
    <n v="4128.4170043071181"/>
  </r>
  <r>
    <s v="LP0001123"/>
    <x v="1"/>
    <s v="No"/>
    <s v="3+"/>
    <x v="1"/>
    <s v="No"/>
    <n v="5800"/>
    <n v="7187"/>
    <n v="519"/>
    <n v="180"/>
    <n v="1"/>
    <x v="1"/>
    <n v="12987"/>
    <x v="0"/>
    <x v="0"/>
    <x v="0"/>
    <x v="0"/>
    <n v="4959.8343176745238"/>
  </r>
  <r>
    <s v="LP0001124"/>
    <x v="1"/>
    <s v="No"/>
    <n v="0"/>
    <x v="0"/>
    <s v="Yes"/>
    <n v="11720"/>
    <n v="3329"/>
    <n v="208"/>
    <n v="120"/>
    <n v="0"/>
    <x v="1"/>
    <n v="15049"/>
    <x v="1"/>
    <x v="0"/>
    <x v="1"/>
    <x v="1"/>
    <n v="2523.6139625914243"/>
  </r>
  <r>
    <s v="LP0001125"/>
    <x v="1"/>
    <s v="Yes"/>
    <n v="2"/>
    <x v="1"/>
    <s v="No"/>
    <n v="16257"/>
    <n v="9833"/>
    <n v="299"/>
    <n v="120"/>
    <n v="1"/>
    <x v="0"/>
    <n v="26090"/>
    <x v="1"/>
    <x v="0"/>
    <x v="1"/>
    <x v="0"/>
    <n v="3627.6950712251719"/>
  </r>
  <r>
    <s v="LP0001126"/>
    <x v="0"/>
    <s v="Yes"/>
    <n v="1"/>
    <x v="0"/>
    <s v="Yes"/>
    <n v="19329"/>
    <n v="6071"/>
    <n v="518"/>
    <n v="120"/>
    <n v="0"/>
    <x v="1"/>
    <n v="25400"/>
    <x v="1"/>
    <x v="0"/>
    <x v="1"/>
    <x v="1"/>
    <n v="6284.7693876074891"/>
  </r>
  <r>
    <s v="LP0001127"/>
    <x v="2"/>
    <s v="No"/>
    <n v="2"/>
    <x v="0"/>
    <s v="Yes"/>
    <n v="14841"/>
    <n v="9090"/>
    <n v="577"/>
    <n v="360"/>
    <n v="0"/>
    <x v="1"/>
    <n v="23931"/>
    <x v="0"/>
    <x v="0"/>
    <x v="0"/>
    <x v="1"/>
    <n v="4233.8215912840005"/>
  </r>
  <r>
    <s v="LP0001128"/>
    <x v="1"/>
    <s v="Yes"/>
    <n v="1"/>
    <x v="1"/>
    <s v="No"/>
    <n v="6255"/>
    <n v="3338"/>
    <n v="145"/>
    <n v="360"/>
    <n v="0"/>
    <x v="2"/>
    <n v="9593"/>
    <x v="1"/>
    <x v="0"/>
    <x v="1"/>
    <x v="1"/>
    <n v="1063.9586321250956"/>
  </r>
  <r>
    <s v="LP0001129"/>
    <x v="1"/>
    <s v="Yes"/>
    <s v="3+"/>
    <x v="0"/>
    <s v="No"/>
    <n v="11426"/>
    <n v="8800"/>
    <n v="404"/>
    <n v="180"/>
    <n v="0"/>
    <x v="2"/>
    <n v="20226"/>
    <x v="0"/>
    <x v="0"/>
    <x v="0"/>
    <x v="1"/>
    <n v="3860.8344206946199"/>
  </r>
  <r>
    <s v="LP0001130"/>
    <x v="0"/>
    <s v="No"/>
    <n v="0"/>
    <x v="0"/>
    <s v="No"/>
    <n v="6482"/>
    <n v="7272"/>
    <n v="137"/>
    <n v="360"/>
    <n v="1"/>
    <x v="1"/>
    <n v="13754"/>
    <x v="0"/>
    <x v="0"/>
    <x v="0"/>
    <x v="0"/>
    <n v="1005.2574662147454"/>
  </r>
  <r>
    <s v="LP0001131"/>
    <x v="2"/>
    <s v="Yes"/>
    <s v="3+"/>
    <x v="1"/>
    <s v="No"/>
    <n v="2540"/>
    <n v="7315"/>
    <n v="191"/>
    <n v="120"/>
    <n v="1"/>
    <x v="0"/>
    <n v="9855"/>
    <x v="1"/>
    <x v="0"/>
    <x v="1"/>
    <x v="0"/>
    <n v="2317.3570521873171"/>
  </r>
  <r>
    <s v="LP0001132"/>
    <x v="1"/>
    <s v="No"/>
    <s v="3+"/>
    <x v="0"/>
    <s v="No"/>
    <n v="4479"/>
    <n v="3546"/>
    <n v="315"/>
    <n v="360"/>
    <n v="1"/>
    <x v="1"/>
    <n v="8025"/>
    <x v="0"/>
    <x v="0"/>
    <x v="0"/>
    <x v="0"/>
    <n v="2311.3584077200348"/>
  </r>
  <r>
    <s v="LP0001133"/>
    <x v="1"/>
    <s v="Yes"/>
    <n v="0"/>
    <x v="1"/>
    <s v="No"/>
    <n v="1936"/>
    <n v="1471"/>
    <n v="494"/>
    <n v="360"/>
    <n v="0"/>
    <x v="0"/>
    <n v="3407"/>
    <x v="0"/>
    <x v="1"/>
    <x v="0"/>
    <x v="1"/>
    <n v="3624.7969949641183"/>
  </r>
  <r>
    <s v="LP0001134"/>
    <x v="1"/>
    <s v="No"/>
    <s v="3+"/>
    <x v="1"/>
    <s v="No"/>
    <n v="8942"/>
    <n v="3552"/>
    <n v="377"/>
    <n v="360"/>
    <n v="1"/>
    <x v="0"/>
    <n v="12494"/>
    <x v="0"/>
    <x v="0"/>
    <x v="0"/>
    <x v="0"/>
    <n v="2766.292443525248"/>
  </r>
  <r>
    <s v="LP0001135"/>
    <x v="1"/>
    <s v="No"/>
    <n v="1"/>
    <x v="0"/>
    <s v="Yes"/>
    <n v="19949"/>
    <n v="9742"/>
    <n v="374"/>
    <n v="180"/>
    <n v="0"/>
    <x v="0"/>
    <n v="29691"/>
    <x v="0"/>
    <x v="0"/>
    <x v="0"/>
    <x v="1"/>
    <n v="3574.1387953955145"/>
  </r>
  <r>
    <s v="LP0001136"/>
    <x v="0"/>
    <s v="No"/>
    <s v="3+"/>
    <x v="1"/>
    <s v="No"/>
    <n v="7185"/>
    <n v="7942"/>
    <n v="670"/>
    <n v="120"/>
    <n v="0"/>
    <x v="2"/>
    <n v="15127"/>
    <x v="1"/>
    <x v="0"/>
    <x v="1"/>
    <x v="1"/>
    <n v="8128.9488218089136"/>
  </r>
  <r>
    <s v="LP0001137"/>
    <x v="0"/>
    <s v="Yes"/>
    <n v="0"/>
    <x v="0"/>
    <s v="No"/>
    <n v="5650"/>
    <n v="9605"/>
    <n v="629"/>
    <n v="360"/>
    <n v="1"/>
    <x v="0"/>
    <n v="15255"/>
    <x v="0"/>
    <x v="0"/>
    <x v="0"/>
    <x v="0"/>
    <n v="4615.3791697012757"/>
  </r>
  <r>
    <s v="LP0001138"/>
    <x v="0"/>
    <s v="No"/>
    <n v="2"/>
    <x v="1"/>
    <s v="Yes"/>
    <n v="7945"/>
    <n v="1138"/>
    <n v="351"/>
    <n v="360"/>
    <n v="0"/>
    <x v="1"/>
    <n v="9083"/>
    <x v="1"/>
    <x v="0"/>
    <x v="1"/>
    <x v="1"/>
    <n v="2575.5136543166104"/>
  </r>
  <r>
    <s v="LP0001139"/>
    <x v="1"/>
    <s v="No"/>
    <n v="0"/>
    <x v="1"/>
    <s v="No"/>
    <n v="7061"/>
    <n v="1730"/>
    <n v="302"/>
    <n v="360"/>
    <n v="0"/>
    <x v="1"/>
    <n v="8791"/>
    <x v="1"/>
    <x v="0"/>
    <x v="1"/>
    <x v="1"/>
    <n v="2215.9690131157163"/>
  </r>
  <r>
    <s v="LP0001140"/>
    <x v="1"/>
    <s v="No"/>
    <n v="0"/>
    <x v="0"/>
    <s v="No"/>
    <n v="8704"/>
    <n v="9483"/>
    <n v="533"/>
    <n v="180"/>
    <n v="0"/>
    <x v="0"/>
    <n v="18187"/>
    <x v="0"/>
    <x v="0"/>
    <x v="0"/>
    <x v="1"/>
    <n v="5093.6256094807732"/>
  </r>
  <r>
    <s v="LP0001141"/>
    <x v="0"/>
    <s v="No"/>
    <n v="1"/>
    <x v="1"/>
    <s v="Yes"/>
    <n v="14407"/>
    <n v="8535"/>
    <n v="561"/>
    <n v="180"/>
    <n v="0"/>
    <x v="1"/>
    <n v="22942"/>
    <x v="1"/>
    <x v="0"/>
    <x v="1"/>
    <x v="1"/>
    <n v="5361.2081930932718"/>
  </r>
  <r>
    <s v="LP0001142"/>
    <x v="1"/>
    <s v="Yes"/>
    <n v="2"/>
    <x v="1"/>
    <s v="Yes"/>
    <n v="13640"/>
    <n v="9366"/>
    <n v="259"/>
    <n v="360"/>
    <n v="0"/>
    <x v="0"/>
    <n v="23006"/>
    <x v="0"/>
    <x v="0"/>
    <x v="0"/>
    <x v="1"/>
    <n v="1900.4502463475844"/>
  </r>
  <r>
    <s v="LP0001143"/>
    <x v="0"/>
    <s v="No"/>
    <n v="2"/>
    <x v="0"/>
    <s v="No"/>
    <n v="5841"/>
    <n v="1141"/>
    <n v="107"/>
    <n v="360"/>
    <n v="0"/>
    <x v="2"/>
    <n v="6982"/>
    <x v="1"/>
    <x v="1"/>
    <x v="1"/>
    <x v="1"/>
    <n v="785.12809405093253"/>
  </r>
  <r>
    <s v="LP0001144"/>
    <x v="0"/>
    <s v="No"/>
    <n v="0"/>
    <x v="0"/>
    <s v="No"/>
    <n v="18934"/>
    <n v="4649"/>
    <n v="545"/>
    <n v="360"/>
    <n v="1"/>
    <x v="2"/>
    <n v="23583"/>
    <x v="1"/>
    <x v="0"/>
    <x v="1"/>
    <x v="0"/>
    <n v="3999.0169276426004"/>
  </r>
  <r>
    <s v="LP0001145"/>
    <x v="2"/>
    <s v="Yes"/>
    <n v="1"/>
    <x v="0"/>
    <s v="No"/>
    <n v="3068"/>
    <n v="4751"/>
    <n v="335"/>
    <n v="120"/>
    <n v="0"/>
    <x v="0"/>
    <n v="7819"/>
    <x v="0"/>
    <x v="0"/>
    <x v="0"/>
    <x v="1"/>
    <n v="4064.4744109044568"/>
  </r>
  <r>
    <s v="LP0001146"/>
    <x v="2"/>
    <s v="Yes"/>
    <n v="1"/>
    <x v="1"/>
    <s v="Yes"/>
    <n v="3284"/>
    <n v="8235"/>
    <n v="580"/>
    <n v="360"/>
    <n v="0"/>
    <x v="2"/>
    <n v="11519"/>
    <x v="0"/>
    <x v="0"/>
    <x v="0"/>
    <x v="1"/>
    <n v="4255.8345285003825"/>
  </r>
  <r>
    <s v="LP0001147"/>
    <x v="1"/>
    <s v="Yes"/>
    <n v="0"/>
    <x v="1"/>
    <s v="Yes"/>
    <n v="4997"/>
    <n v="7384"/>
    <n v="661"/>
    <n v="360"/>
    <n v="0"/>
    <x v="1"/>
    <n v="12381"/>
    <x v="0"/>
    <x v="0"/>
    <x v="0"/>
    <x v="1"/>
    <n v="4850.1838333426767"/>
  </r>
  <r>
    <s v="LP0001148"/>
    <x v="0"/>
    <s v="No"/>
    <n v="0"/>
    <x v="1"/>
    <s v="Yes"/>
    <n v="9410"/>
    <n v="1326"/>
    <n v="647"/>
    <n v="180"/>
    <n v="1"/>
    <x v="2"/>
    <n v="10736"/>
    <x v="1"/>
    <x v="0"/>
    <x v="1"/>
    <x v="0"/>
    <n v="6183.068985617374"/>
  </r>
  <r>
    <s v="LP0001149"/>
    <x v="0"/>
    <s v="Yes"/>
    <n v="0"/>
    <x v="1"/>
    <s v="No"/>
    <n v="10611"/>
    <n v="3249"/>
    <n v="676"/>
    <n v="120"/>
    <n v="1"/>
    <x v="1"/>
    <n v="13860"/>
    <x v="0"/>
    <x v="0"/>
    <x v="0"/>
    <x v="0"/>
    <n v="8201.745378422127"/>
  </r>
  <r>
    <s v="LP0001150"/>
    <x v="0"/>
    <s v="Yes"/>
    <n v="0"/>
    <x v="0"/>
    <s v="No"/>
    <n v="12664"/>
    <n v="5890"/>
    <n v="135"/>
    <n v="180"/>
    <n v="0"/>
    <x v="0"/>
    <n v="18554"/>
    <x v="0"/>
    <x v="0"/>
    <x v="0"/>
    <x v="1"/>
    <n v="1290.1303138459743"/>
  </r>
  <r>
    <s v="LP0001151"/>
    <x v="0"/>
    <s v="No"/>
    <n v="0"/>
    <x v="1"/>
    <s v="No"/>
    <n v="19813"/>
    <n v="2097"/>
    <n v="476"/>
    <n v="360"/>
    <n v="0"/>
    <x v="0"/>
    <n v="21910"/>
    <x v="0"/>
    <x v="0"/>
    <x v="0"/>
    <x v="1"/>
    <n v="3492.7193716658307"/>
  </r>
  <r>
    <s v="LP0001152"/>
    <x v="1"/>
    <s v="Yes"/>
    <n v="1"/>
    <x v="1"/>
    <s v="No"/>
    <n v="12740"/>
    <n v="3471"/>
    <n v="214"/>
    <n v="360"/>
    <n v="0"/>
    <x v="1"/>
    <n v="16211"/>
    <x v="1"/>
    <x v="0"/>
    <x v="1"/>
    <x v="1"/>
    <n v="1570.2561881018651"/>
  </r>
  <r>
    <s v="LP0001153"/>
    <x v="2"/>
    <s v="Yes"/>
    <n v="1"/>
    <x v="0"/>
    <s v="No"/>
    <n v="10733"/>
    <n v="7258"/>
    <n v="517"/>
    <n v="120"/>
    <n v="1"/>
    <x v="0"/>
    <n v="17991"/>
    <x v="0"/>
    <x v="0"/>
    <x v="0"/>
    <x v="0"/>
    <n v="6272.6366281719529"/>
  </r>
  <r>
    <s v="LP0001154"/>
    <x v="0"/>
    <s v="No"/>
    <n v="1"/>
    <x v="0"/>
    <s v="No"/>
    <n v="5139"/>
    <n v="4252"/>
    <n v="152"/>
    <n v="360"/>
    <n v="0"/>
    <x v="2"/>
    <n v="9391"/>
    <x v="0"/>
    <x v="0"/>
    <x v="0"/>
    <x v="1"/>
    <n v="1115.3221522966519"/>
  </r>
  <r>
    <s v="LP0001155"/>
    <x v="0"/>
    <s v="Yes"/>
    <s v="3+"/>
    <x v="0"/>
    <s v="No"/>
    <n v="1560"/>
    <n v="1215"/>
    <n v="339"/>
    <n v="120"/>
    <n v="0"/>
    <x v="0"/>
    <n v="2775"/>
    <x v="1"/>
    <x v="2"/>
    <x v="1"/>
    <x v="1"/>
    <n v="4113.0054486465997"/>
  </r>
  <r>
    <s v="LP0001156"/>
    <x v="0"/>
    <s v="No"/>
    <n v="2"/>
    <x v="0"/>
    <s v="Yes"/>
    <n v="10659"/>
    <n v="3036"/>
    <n v="453"/>
    <n v="360"/>
    <n v="1"/>
    <x v="2"/>
    <n v="13695"/>
    <x v="1"/>
    <x v="0"/>
    <x v="1"/>
    <x v="0"/>
    <n v="3323.9535196735742"/>
  </r>
  <r>
    <s v="LP0001157"/>
    <x v="1"/>
    <s v="No"/>
    <n v="2"/>
    <x v="0"/>
    <s v="No"/>
    <n v="8768"/>
    <n v="8156"/>
    <n v="287"/>
    <n v="120"/>
    <n v="1"/>
    <x v="0"/>
    <n v="16924"/>
    <x v="0"/>
    <x v="0"/>
    <x v="0"/>
    <x v="0"/>
    <n v="3482.1019579987437"/>
  </r>
  <r>
    <s v="LP0001158"/>
    <x v="1"/>
    <s v="No"/>
    <n v="0"/>
    <x v="0"/>
    <s v="No"/>
    <n v="19348"/>
    <n v="6889"/>
    <n v="583"/>
    <n v="360"/>
    <n v="0"/>
    <x v="2"/>
    <n v="26237"/>
    <x v="1"/>
    <x v="0"/>
    <x v="1"/>
    <x v="1"/>
    <n v="4277.8474657167626"/>
  </r>
  <r>
    <s v="LP0001159"/>
    <x v="2"/>
    <s v="No"/>
    <n v="1"/>
    <x v="1"/>
    <s v="Yes"/>
    <n v="4315"/>
    <n v="5306"/>
    <n v="158"/>
    <n v="360"/>
    <n v="0"/>
    <x v="0"/>
    <n v="9621"/>
    <x v="1"/>
    <x v="0"/>
    <x v="1"/>
    <x v="1"/>
    <n v="1159.3480267294144"/>
  </r>
  <r>
    <s v="LP0001160"/>
    <x v="1"/>
    <s v="No"/>
    <s v="3+"/>
    <x v="1"/>
    <s v="Yes"/>
    <n v="15163"/>
    <n v="9405"/>
    <n v="306"/>
    <n v="360"/>
    <n v="1"/>
    <x v="2"/>
    <n v="24568"/>
    <x v="1"/>
    <x v="0"/>
    <x v="1"/>
    <x v="0"/>
    <n v="2245.3195960708913"/>
  </r>
  <r>
    <s v="LP0001161"/>
    <x v="1"/>
    <s v="No"/>
    <s v="3+"/>
    <x v="1"/>
    <s v="Yes"/>
    <n v="19349"/>
    <n v="6848"/>
    <n v="330"/>
    <n v="360"/>
    <n v="0"/>
    <x v="1"/>
    <n v="26197"/>
    <x v="1"/>
    <x v="0"/>
    <x v="1"/>
    <x v="1"/>
    <n v="2421.4230938019414"/>
  </r>
  <r>
    <s v="LP0001162"/>
    <x v="0"/>
    <s v="No"/>
    <n v="2"/>
    <x v="0"/>
    <s v="No"/>
    <n v="5232"/>
    <n v="5718"/>
    <n v="505"/>
    <n v="360"/>
    <n v="0"/>
    <x v="2"/>
    <n v="10950"/>
    <x v="0"/>
    <x v="0"/>
    <x v="0"/>
    <x v="1"/>
    <n v="3705.5110980908498"/>
  </r>
  <r>
    <s v="LP0001163"/>
    <x v="1"/>
    <s v="No"/>
    <s v="3+"/>
    <x v="0"/>
    <s v="No"/>
    <n v="13485"/>
    <n v="1395"/>
    <n v="571"/>
    <n v="180"/>
    <n v="0"/>
    <x v="0"/>
    <n v="14880"/>
    <x v="1"/>
    <x v="0"/>
    <x v="1"/>
    <x v="1"/>
    <n v="5456.7734015263068"/>
  </r>
  <r>
    <s v="LP0001164"/>
    <x v="2"/>
    <s v="No"/>
    <n v="2"/>
    <x v="0"/>
    <s v="No"/>
    <n v="12156"/>
    <n v="4474"/>
    <n v="349"/>
    <n v="360"/>
    <n v="1"/>
    <x v="1"/>
    <n v="16630"/>
    <x v="0"/>
    <x v="0"/>
    <x v="0"/>
    <x v="0"/>
    <n v="2560.8383628390229"/>
  </r>
  <r>
    <s v="LP0001165"/>
    <x v="0"/>
    <s v="No"/>
    <n v="2"/>
    <x v="0"/>
    <s v="No"/>
    <n v="18037"/>
    <n v="8960"/>
    <n v="127"/>
    <n v="360"/>
    <n v="0"/>
    <x v="0"/>
    <n v="26997"/>
    <x v="0"/>
    <x v="0"/>
    <x v="0"/>
    <x v="1"/>
    <n v="931.88100882680783"/>
  </r>
  <r>
    <s v="LP0001166"/>
    <x v="0"/>
    <s v="No"/>
    <n v="2"/>
    <x v="0"/>
    <s v="No"/>
    <n v="17396"/>
    <n v="7301"/>
    <n v="186"/>
    <n v="360"/>
    <n v="0"/>
    <x v="2"/>
    <n v="24697"/>
    <x v="0"/>
    <x v="0"/>
    <x v="0"/>
    <x v="1"/>
    <n v="1364.8021074156397"/>
  </r>
  <r>
    <s v="LP0001167"/>
    <x v="0"/>
    <s v="No"/>
    <n v="2"/>
    <x v="0"/>
    <s v="Yes"/>
    <n v="18979"/>
    <n v="9090"/>
    <n v="465"/>
    <n v="360"/>
    <n v="1"/>
    <x v="0"/>
    <n v="28069"/>
    <x v="1"/>
    <x v="0"/>
    <x v="1"/>
    <x v="0"/>
    <n v="3412.0052685390992"/>
  </r>
  <r>
    <s v="LP0001168"/>
    <x v="0"/>
    <s v="No"/>
    <n v="1"/>
    <x v="1"/>
    <s v="No"/>
    <n v="10862"/>
    <n v="267"/>
    <n v="599"/>
    <n v="360"/>
    <n v="1"/>
    <x v="1"/>
    <n v="11129"/>
    <x v="1"/>
    <x v="0"/>
    <x v="1"/>
    <x v="0"/>
    <n v="4395.2497975374636"/>
  </r>
  <r>
    <s v="LP0001169"/>
    <x v="1"/>
    <s v="Yes"/>
    <n v="1"/>
    <x v="1"/>
    <s v="Yes"/>
    <n v="17980"/>
    <n v="8958"/>
    <n v="77"/>
    <n v="360"/>
    <n v="0"/>
    <x v="2"/>
    <n v="26938"/>
    <x v="1"/>
    <x v="0"/>
    <x v="1"/>
    <x v="1"/>
    <n v="564.9987218871197"/>
  </r>
  <r>
    <s v="LP0001170"/>
    <x v="1"/>
    <s v="No"/>
    <n v="1"/>
    <x v="0"/>
    <s v="Yes"/>
    <n v="11978"/>
    <n v="8241"/>
    <n v="241"/>
    <n v="180"/>
    <n v="0"/>
    <x v="2"/>
    <n v="20219"/>
    <x v="0"/>
    <x v="0"/>
    <x v="0"/>
    <x v="1"/>
    <n v="2303.1215232361469"/>
  </r>
  <r>
    <s v="LP0001171"/>
    <x v="0"/>
    <s v="No"/>
    <n v="2"/>
    <x v="0"/>
    <s v="No"/>
    <n v="19081"/>
    <n v="5326"/>
    <n v="504"/>
    <n v="360"/>
    <n v="0"/>
    <x v="1"/>
    <n v="24407"/>
    <x v="0"/>
    <x v="0"/>
    <x v="0"/>
    <x v="1"/>
    <n v="3698.1734523520558"/>
  </r>
  <r>
    <s v="LP0001172"/>
    <x v="1"/>
    <s v="Yes"/>
    <n v="0"/>
    <x v="0"/>
    <s v="No"/>
    <n v="6750"/>
    <n v="9824"/>
    <n v="598"/>
    <n v="360"/>
    <n v="0"/>
    <x v="0"/>
    <n v="16574"/>
    <x v="1"/>
    <x v="0"/>
    <x v="1"/>
    <x v="1"/>
    <n v="4387.9121517986696"/>
  </r>
  <r>
    <s v="LP0001173"/>
    <x v="0"/>
    <s v="No"/>
    <n v="0"/>
    <x v="0"/>
    <s v="No"/>
    <n v="7543"/>
    <n v="1235"/>
    <n v="224"/>
    <n v="360"/>
    <n v="0"/>
    <x v="2"/>
    <n v="8778"/>
    <x v="0"/>
    <x v="0"/>
    <x v="0"/>
    <x v="1"/>
    <n v="1643.6326454898028"/>
  </r>
  <r>
    <s v="LP0001174"/>
    <x v="0"/>
    <s v="No"/>
    <n v="0"/>
    <x v="1"/>
    <s v="Yes"/>
    <n v="7666"/>
    <n v="2674"/>
    <n v="59"/>
    <n v="180"/>
    <n v="0"/>
    <x v="2"/>
    <n v="10340"/>
    <x v="0"/>
    <x v="0"/>
    <x v="0"/>
    <x v="1"/>
    <n v="563.83472975490736"/>
  </r>
  <r>
    <s v="LP0001175"/>
    <x v="1"/>
    <s v="No"/>
    <n v="1"/>
    <x v="1"/>
    <s v="Yes"/>
    <n v="1754"/>
    <n v="7491"/>
    <n v="402"/>
    <n v="180"/>
    <n v="1"/>
    <x v="2"/>
    <n v="9245"/>
    <x v="0"/>
    <x v="0"/>
    <x v="0"/>
    <x v="0"/>
    <n v="3841.7213790080123"/>
  </r>
  <r>
    <s v="LP0001176"/>
    <x v="2"/>
    <s v="Yes"/>
    <s v="3+"/>
    <x v="0"/>
    <s v="No"/>
    <n v="9484"/>
    <n v="3488"/>
    <n v="428"/>
    <n v="120"/>
    <n v="1"/>
    <x v="1"/>
    <n v="12972"/>
    <x v="1"/>
    <x v="0"/>
    <x v="1"/>
    <x v="0"/>
    <n v="5192.8210384092763"/>
  </r>
  <r>
    <s v="LP0001177"/>
    <x v="2"/>
    <s v="Yes"/>
    <n v="1"/>
    <x v="1"/>
    <s v="Yes"/>
    <n v="6620"/>
    <n v="1563"/>
    <n v="432"/>
    <n v="120"/>
    <n v="0"/>
    <x v="1"/>
    <n v="8183"/>
    <x v="1"/>
    <x v="0"/>
    <x v="1"/>
    <x v="1"/>
    <n v="5241.3520761514192"/>
  </r>
  <r>
    <s v="LP0001178"/>
    <x v="1"/>
    <s v="No"/>
    <n v="0"/>
    <x v="0"/>
    <s v="No"/>
    <n v="10297"/>
    <n v="8875"/>
    <n v="218"/>
    <n v="360"/>
    <n v="1"/>
    <x v="2"/>
    <n v="19172"/>
    <x v="0"/>
    <x v="0"/>
    <x v="0"/>
    <x v="0"/>
    <n v="1599.6067710570401"/>
  </r>
  <r>
    <s v="LP0001179"/>
    <x v="2"/>
    <s v="No"/>
    <n v="0"/>
    <x v="1"/>
    <s v="No"/>
    <n v="16325"/>
    <n v="6362"/>
    <n v="286"/>
    <n v="180"/>
    <n v="0"/>
    <x v="2"/>
    <n v="22687"/>
    <x v="0"/>
    <x v="0"/>
    <x v="0"/>
    <x v="1"/>
    <n v="2733.1649611848052"/>
  </r>
  <r>
    <s v="LP0001180"/>
    <x v="1"/>
    <s v="No"/>
    <n v="0"/>
    <x v="1"/>
    <s v="No"/>
    <n v="11136"/>
    <n v="9468"/>
    <n v="357"/>
    <n v="360"/>
    <n v="1"/>
    <x v="0"/>
    <n v="20604"/>
    <x v="1"/>
    <x v="0"/>
    <x v="1"/>
    <x v="0"/>
    <n v="2619.5395287493729"/>
  </r>
  <r>
    <s v="LP0001181"/>
    <x v="2"/>
    <s v="No"/>
    <n v="2"/>
    <x v="1"/>
    <s v="No"/>
    <n v="12220"/>
    <n v="1247"/>
    <n v="200"/>
    <n v="180"/>
    <n v="0"/>
    <x v="2"/>
    <n v="13467"/>
    <x v="0"/>
    <x v="0"/>
    <x v="0"/>
    <x v="1"/>
    <n v="1911.304168660703"/>
  </r>
  <r>
    <s v="LP0001182"/>
    <x v="1"/>
    <s v="No"/>
    <n v="1"/>
    <x v="0"/>
    <s v="Yes"/>
    <n v="14162"/>
    <n v="5546"/>
    <n v="466"/>
    <n v="360"/>
    <n v="1"/>
    <x v="0"/>
    <n v="19708"/>
    <x v="0"/>
    <x v="0"/>
    <x v="0"/>
    <x v="0"/>
    <n v="3419.3429142778932"/>
  </r>
  <r>
    <s v="LP0001183"/>
    <x v="0"/>
    <s v="Yes"/>
    <s v="3+"/>
    <x v="0"/>
    <s v="No"/>
    <n v="8862"/>
    <n v="8879"/>
    <n v="576"/>
    <n v="120"/>
    <n v="0"/>
    <x v="2"/>
    <n v="17741"/>
    <x v="1"/>
    <x v="0"/>
    <x v="1"/>
    <x v="1"/>
    <n v="6988.4694348685589"/>
  </r>
  <r>
    <s v="LP0001184"/>
    <x v="0"/>
    <s v="Yes"/>
    <n v="0"/>
    <x v="1"/>
    <s v="No"/>
    <n v="19270"/>
    <n v="4750"/>
    <n v="606"/>
    <n v="360"/>
    <n v="0"/>
    <x v="0"/>
    <n v="24020"/>
    <x v="1"/>
    <x v="0"/>
    <x v="1"/>
    <x v="1"/>
    <n v="4446.6133177090196"/>
  </r>
  <r>
    <s v="LP0001185"/>
    <x v="0"/>
    <s v="No"/>
    <n v="0"/>
    <x v="0"/>
    <s v="No"/>
    <n v="1663"/>
    <n v="8470"/>
    <n v="269"/>
    <n v="360"/>
    <n v="0"/>
    <x v="2"/>
    <n v="10133"/>
    <x v="0"/>
    <x v="0"/>
    <x v="0"/>
    <x v="1"/>
    <n v="1973.8267037355217"/>
  </r>
  <r>
    <s v="LP0001186"/>
    <x v="2"/>
    <s v="Yes"/>
    <s v="3+"/>
    <x v="0"/>
    <s v="No"/>
    <n v="1735"/>
    <n v="5415"/>
    <n v="417"/>
    <n v="360"/>
    <n v="0"/>
    <x v="2"/>
    <n v="7150"/>
    <x v="0"/>
    <x v="0"/>
    <x v="0"/>
    <x v="1"/>
    <n v="3059.7982730769991"/>
  </r>
  <r>
    <s v="LP0001187"/>
    <x v="0"/>
    <s v="No"/>
    <n v="1"/>
    <x v="0"/>
    <s v="No"/>
    <n v="7266"/>
    <n v="4982"/>
    <n v="450"/>
    <n v="120"/>
    <n v="0"/>
    <x v="1"/>
    <n v="12248"/>
    <x v="1"/>
    <x v="0"/>
    <x v="1"/>
    <x v="1"/>
    <n v="5459.7417459910612"/>
  </r>
  <r>
    <s v="LP0001188"/>
    <x v="0"/>
    <s v="No"/>
    <s v="3+"/>
    <x v="1"/>
    <s v="No"/>
    <n v="4777"/>
    <n v="5284"/>
    <n v="219"/>
    <n v="360"/>
    <n v="1"/>
    <x v="2"/>
    <n v="10061"/>
    <x v="0"/>
    <x v="0"/>
    <x v="0"/>
    <x v="0"/>
    <n v="1606.9444167958338"/>
  </r>
  <r>
    <s v="LP0001189"/>
    <x v="1"/>
    <s v="No"/>
    <n v="1"/>
    <x v="0"/>
    <s v="Yes"/>
    <n v="8798"/>
    <n v="8984"/>
    <n v="112"/>
    <n v="360"/>
    <n v="1"/>
    <x v="0"/>
    <n v="17782"/>
    <x v="1"/>
    <x v="0"/>
    <x v="1"/>
    <x v="0"/>
    <n v="821.81632274490141"/>
  </r>
  <r>
    <s v="LP0001190"/>
    <x v="1"/>
    <s v="No"/>
    <n v="2"/>
    <x v="1"/>
    <s v="No"/>
    <n v="12264"/>
    <n v="673"/>
    <n v="97"/>
    <n v="360"/>
    <n v="0"/>
    <x v="0"/>
    <n v="12937"/>
    <x v="0"/>
    <x v="0"/>
    <x v="0"/>
    <x v="1"/>
    <n v="711.75163666299488"/>
  </r>
  <r>
    <s v="LP0001191"/>
    <x v="2"/>
    <s v="No"/>
    <s v="3+"/>
    <x v="0"/>
    <s v="No"/>
    <n v="17446"/>
    <n v="9110"/>
    <n v="462"/>
    <n v="180"/>
    <n v="0"/>
    <x v="1"/>
    <n v="26556"/>
    <x v="1"/>
    <x v="0"/>
    <x v="1"/>
    <x v="1"/>
    <n v="4415.1126296062239"/>
  </r>
  <r>
    <s v="LP0001192"/>
    <x v="0"/>
    <s v="Yes"/>
    <n v="0"/>
    <x v="1"/>
    <s v="No"/>
    <n v="3294"/>
    <n v="786"/>
    <n v="543"/>
    <n v="120"/>
    <n v="0"/>
    <x v="0"/>
    <n v="4080"/>
    <x v="0"/>
    <x v="1"/>
    <x v="0"/>
    <x v="1"/>
    <n v="6588.0883734958807"/>
  </r>
  <r>
    <s v="LP0001193"/>
    <x v="2"/>
    <s v="No"/>
    <n v="2"/>
    <x v="0"/>
    <s v="Yes"/>
    <n v="5645"/>
    <n v="6893"/>
    <n v="561"/>
    <n v="180"/>
    <n v="0"/>
    <x v="0"/>
    <n v="12538"/>
    <x v="0"/>
    <x v="0"/>
    <x v="0"/>
    <x v="1"/>
    <n v="5361.2081930932718"/>
  </r>
  <r>
    <s v="LP0001194"/>
    <x v="2"/>
    <s v="No"/>
    <n v="0"/>
    <x v="0"/>
    <s v="Yes"/>
    <n v="10023"/>
    <n v="6251"/>
    <n v="210"/>
    <n v="360"/>
    <n v="0"/>
    <x v="2"/>
    <n v="16274"/>
    <x v="1"/>
    <x v="0"/>
    <x v="1"/>
    <x v="1"/>
    <n v="1540.90560514669"/>
  </r>
  <r>
    <s v="LP0001195"/>
    <x v="2"/>
    <s v="No"/>
    <n v="2"/>
    <x v="1"/>
    <s v="Yes"/>
    <n v="5678"/>
    <n v="3152"/>
    <n v="298"/>
    <n v="120"/>
    <n v="0"/>
    <x v="1"/>
    <n v="8830"/>
    <x v="0"/>
    <x v="0"/>
    <x v="0"/>
    <x v="1"/>
    <n v="3615.5623117896366"/>
  </r>
  <r>
    <s v="LP0001196"/>
    <x v="1"/>
    <s v="Yes"/>
    <s v="3+"/>
    <x v="0"/>
    <s v="No"/>
    <n v="2084"/>
    <n v="6444"/>
    <n v="260"/>
    <n v="180"/>
    <n v="0"/>
    <x v="2"/>
    <n v="8528"/>
    <x v="1"/>
    <x v="0"/>
    <x v="1"/>
    <x v="1"/>
    <n v="2484.6954192589137"/>
  </r>
  <r>
    <s v="LP0001197"/>
    <x v="0"/>
    <s v="No"/>
    <s v="3+"/>
    <x v="0"/>
    <s v="No"/>
    <n v="13938"/>
    <n v="7894"/>
    <n v="102"/>
    <n v="180"/>
    <n v="0"/>
    <x v="0"/>
    <n v="21832"/>
    <x v="0"/>
    <x v="0"/>
    <x v="0"/>
    <x v="1"/>
    <n v="974.76512601695845"/>
  </r>
  <r>
    <s v="LP0001198"/>
    <x v="1"/>
    <s v="Yes"/>
    <s v="3+"/>
    <x v="0"/>
    <s v="Yes"/>
    <n v="2114"/>
    <n v="7525"/>
    <n v="248"/>
    <n v="120"/>
    <n v="0"/>
    <x v="1"/>
    <n v="9639"/>
    <x v="1"/>
    <x v="0"/>
    <x v="1"/>
    <x v="1"/>
    <n v="3008.9243400128516"/>
  </r>
  <r>
    <s v="LP0001199"/>
    <x v="0"/>
    <s v="Yes"/>
    <n v="2"/>
    <x v="0"/>
    <s v="Yes"/>
    <n v="16435"/>
    <n v="133"/>
    <n v="315"/>
    <n v="120"/>
    <n v="0"/>
    <x v="1"/>
    <n v="16568"/>
    <x v="1"/>
    <x v="0"/>
    <x v="1"/>
    <x v="1"/>
    <n v="3821.8192221937434"/>
  </r>
  <r>
    <m/>
    <x v="3"/>
    <m/>
    <m/>
    <x v="2"/>
    <m/>
    <m/>
    <m/>
    <m/>
    <m/>
    <m/>
    <x v="3"/>
    <m/>
    <x v="2"/>
    <x v="3"/>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C312C-95D4-466D-9EDA-8048D9FE6A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perty Area  " colHeaderCaption="">
  <location ref="A9:D14" firstHeaderRow="1" firstDataRow="2" firstDataCol="1"/>
  <pivotFields count="18">
    <pivotField dataField="1" showAll="0"/>
    <pivotField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5">
        <item x="1"/>
        <item x="0"/>
        <item x="2"/>
        <item x="3"/>
        <item t="default"/>
      </items>
    </pivotField>
    <pivotField showAll="0"/>
    <pivotField showAll="0">
      <items count="4">
        <item x="1"/>
        <item x="0"/>
        <item x="2"/>
        <item t="default"/>
      </items>
    </pivotField>
    <pivotField showAll="0"/>
    <pivotField axis="axisCol" showAll="0">
      <items count="4">
        <item x="0"/>
        <item x="1"/>
        <item h="1" x="2"/>
        <item t="default"/>
      </items>
    </pivotField>
    <pivotField showAll="0"/>
    <pivotField showAll="0"/>
  </pivotFields>
  <rowFields count="1">
    <field x="11"/>
  </rowFields>
  <rowItems count="4">
    <i>
      <x/>
    </i>
    <i>
      <x v="1"/>
    </i>
    <i>
      <x v="2"/>
    </i>
    <i t="grand">
      <x/>
    </i>
  </rowItems>
  <colFields count="1">
    <field x="15"/>
  </colFields>
  <colItems count="3">
    <i>
      <x/>
    </i>
    <i>
      <x v="1"/>
    </i>
    <i t="grand">
      <x/>
    </i>
  </colItems>
  <dataFields count="1">
    <dataField name="Count of Loan_ID" fld="0" subtotal="count" baseField="0" baseItem="0"/>
  </dataFields>
  <formats count="10">
    <format dxfId="1760">
      <pivotArea type="all" dataOnly="0" outline="0" fieldPosition="0"/>
    </format>
    <format dxfId="1759">
      <pivotArea outline="0" collapsedLevelsAreSubtotals="1" fieldPosition="0"/>
    </format>
    <format dxfId="1758">
      <pivotArea type="origin" dataOnly="0" labelOnly="1" outline="0" fieldPosition="0"/>
    </format>
    <format dxfId="1757">
      <pivotArea field="15" type="button" dataOnly="0" labelOnly="1" outline="0" axis="axisCol" fieldPosition="0"/>
    </format>
    <format dxfId="1756">
      <pivotArea type="topRight" dataOnly="0" labelOnly="1" outline="0" fieldPosition="0"/>
    </format>
    <format dxfId="1755">
      <pivotArea field="11" type="button" dataOnly="0" labelOnly="1" outline="0" axis="axisRow" fieldPosition="0"/>
    </format>
    <format dxfId="1754">
      <pivotArea dataOnly="0" labelOnly="1" fieldPosition="0">
        <references count="1">
          <reference field="11" count="0"/>
        </references>
      </pivotArea>
    </format>
    <format dxfId="1753">
      <pivotArea dataOnly="0" labelOnly="1" grandRow="1" outline="0" fieldPosition="0"/>
    </format>
    <format dxfId="1752">
      <pivotArea dataOnly="0" labelOnly="1" fieldPosition="0">
        <references count="1">
          <reference field="15" count="2">
            <x v="0"/>
            <x v="1"/>
          </reference>
        </references>
      </pivotArea>
    </format>
    <format dxfId="1751">
      <pivotArea dataOnly="0" labelOnly="1" grandCol="1" outline="0" fieldPosition="0"/>
    </format>
  </formats>
  <chartFormats count="4">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 chart="3" format="6" series="1">
      <pivotArea type="data" outline="0" fieldPosition="0">
        <references count="2">
          <reference field="4294967294" count="1" selected="0">
            <x v="0"/>
          </reference>
          <reference field="15" count="1" selected="0">
            <x v="2"/>
          </reference>
        </references>
      </pivotArea>
    </chartFormat>
    <chartFormat chart="3" format="7"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26AA31-5E03-4F3A-A762-8C0FB8C7FC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an Status Label">
  <location ref="A2:B5" firstHeaderRow="1" firstDataRow="1" firstDataCol="1"/>
  <pivotFields count="18">
    <pivotField dataField="1" showAll="0"/>
    <pivotField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axis="axisRow" showAll="0">
      <items count="4">
        <item x="0"/>
        <item x="1"/>
        <item h="1" x="2"/>
        <item t="default"/>
      </items>
    </pivotField>
    <pivotField showAll="0"/>
    <pivotField showAll="0"/>
  </pivotFields>
  <rowFields count="1">
    <field x="15"/>
  </rowFields>
  <rowItems count="3">
    <i>
      <x/>
    </i>
    <i>
      <x v="1"/>
    </i>
    <i t="grand">
      <x/>
    </i>
  </rowItems>
  <colItems count="1">
    <i/>
  </colItems>
  <dataFields count="1">
    <dataField name="Count of Loan_ID" fld="0" subtotal="count" baseField="0" baseItem="0"/>
  </dataFields>
  <formats count="7">
    <format dxfId="1767">
      <pivotArea type="all" dataOnly="0" outline="0" fieldPosition="0"/>
    </format>
    <format dxfId="1766">
      <pivotArea outline="0" collapsedLevelsAreSubtotals="1" fieldPosition="0"/>
    </format>
    <format dxfId="1765">
      <pivotArea field="15" type="button" dataOnly="0" labelOnly="1" outline="0" axis="axisRow" fieldPosition="0"/>
    </format>
    <format dxfId="1764">
      <pivotArea dataOnly="0" labelOnly="1" fieldPosition="0">
        <references count="1">
          <reference field="15" count="0"/>
        </references>
      </pivotArea>
    </format>
    <format dxfId="1763">
      <pivotArea dataOnly="0" labelOnly="1" grandRow="1" outline="0" fieldPosition="0"/>
    </format>
    <format dxfId="1762">
      <pivotArea dataOnly="0" labelOnly="1" outline="0" axis="axisValues" fieldPosition="0"/>
    </format>
    <format dxfId="1761">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0"/>
          </reference>
        </references>
      </pivotArea>
    </chartFormat>
    <chartFormat chart="4" format="6">
      <pivotArea type="data" outline="0" fieldPosition="0">
        <references count="2">
          <reference field="4294967294" count="1" selected="0">
            <x v="0"/>
          </reference>
          <reference field="15" count="1" selected="0">
            <x v="1"/>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4670A-061E-4E66-B8DC-F6C0B4FB90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an Status Label">
  <location ref="C18:D21" firstHeaderRow="1" firstDataRow="1" firstDataCol="1"/>
  <pivotFields count="18">
    <pivotField showAll="0"/>
    <pivotField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dataField="1" showAll="0"/>
    <pivotField showAll="0"/>
    <pivotField showAll="0"/>
    <pivotField showAll="0">
      <items count="5">
        <item x="1"/>
        <item x="0"/>
        <item x="2"/>
        <item x="3"/>
        <item t="default"/>
      </items>
    </pivotField>
    <pivotField showAll="0"/>
    <pivotField showAll="0"/>
    <pivotField showAll="0"/>
    <pivotField axis="axisRow" showAll="0">
      <items count="4">
        <item x="0"/>
        <item x="1"/>
        <item h="1" x="2"/>
        <item t="default"/>
      </items>
    </pivotField>
    <pivotField showAll="0"/>
    <pivotField showAll="0"/>
  </pivotFields>
  <rowFields count="1">
    <field x="15"/>
  </rowFields>
  <rowItems count="3">
    <i>
      <x/>
    </i>
    <i>
      <x v="1"/>
    </i>
    <i t="grand">
      <x/>
    </i>
  </rowItems>
  <colItems count="1">
    <i/>
  </colItems>
  <dataFields count="1">
    <dataField name="Average of LoanAmount (In Thousands)" fld="8" subtotal="average" baseField="15" baseItem="0" numFmtId="2"/>
  </dataFields>
  <formats count="13">
    <format dxfId="1779">
      <pivotArea type="all" dataOnly="0" outline="0" fieldPosition="0"/>
    </format>
    <format dxfId="1778">
      <pivotArea outline="0" collapsedLevelsAreSubtotals="1" fieldPosition="0"/>
    </format>
    <format dxfId="1777">
      <pivotArea field="15" type="button" dataOnly="0" labelOnly="1" outline="0" axis="axisRow" fieldPosition="0"/>
    </format>
    <format dxfId="1776">
      <pivotArea dataOnly="0" labelOnly="1" fieldPosition="0">
        <references count="1">
          <reference field="15" count="0"/>
        </references>
      </pivotArea>
    </format>
    <format dxfId="1775">
      <pivotArea dataOnly="0" labelOnly="1" grandRow="1" outline="0" fieldPosition="0"/>
    </format>
    <format dxfId="1774">
      <pivotArea dataOnly="0" labelOnly="1" outline="0" axis="axisValues" fieldPosition="0"/>
    </format>
    <format dxfId="1773">
      <pivotArea type="all" dataOnly="0" outline="0" fieldPosition="0"/>
    </format>
    <format dxfId="1772">
      <pivotArea outline="0" collapsedLevelsAreSubtotals="1" fieldPosition="0"/>
    </format>
    <format dxfId="1771">
      <pivotArea field="15" type="button" dataOnly="0" labelOnly="1" outline="0" axis="axisRow" fieldPosition="0"/>
    </format>
    <format dxfId="1770">
      <pivotArea dataOnly="0" labelOnly="1" fieldPosition="0">
        <references count="1">
          <reference field="15" count="0"/>
        </references>
      </pivotArea>
    </format>
    <format dxfId="1769">
      <pivotArea dataOnly="0" labelOnly="1" grandRow="1" outline="0" fieldPosition="0"/>
    </format>
    <format dxfId="1768">
      <pivotArea dataOnly="0" labelOnly="1" outline="0" axis="axisValues" fieldPosition="0"/>
    </format>
    <format dxfId="1750">
      <pivotArea outline="0" fieldPosition="0">
        <references count="1">
          <reference field="4294967294" count="1">
            <x v="0"/>
          </reference>
        </references>
      </pivotArea>
    </format>
  </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6222C1-8E9C-48BA-8E5B-66E96A3DF1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isk Category" colHeaderCaption="">
  <location ref="F11:I15" firstHeaderRow="1" firstDataRow="2" firstDataCol="1"/>
  <pivotFields count="18">
    <pivotField dataField="1" showAll="0"/>
    <pivotField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axis="axisCol" showAll="0">
      <items count="4">
        <item x="0"/>
        <item x="1"/>
        <item x="2"/>
        <item t="default"/>
      </items>
    </pivotField>
    <pivotField axis="axisRow" showAll="0">
      <items count="4">
        <item x="1"/>
        <item x="0"/>
        <item h="1" x="2"/>
        <item t="default"/>
      </items>
    </pivotField>
    <pivotField showAll="0"/>
  </pivotFields>
  <rowFields count="1">
    <field x="16"/>
  </rowFields>
  <rowItems count="3">
    <i>
      <x/>
    </i>
    <i>
      <x v="1"/>
    </i>
    <i t="grand">
      <x/>
    </i>
  </rowItems>
  <colFields count="1">
    <field x="15"/>
  </colFields>
  <colItems count="3">
    <i>
      <x/>
    </i>
    <i>
      <x v="1"/>
    </i>
    <i t="grand">
      <x/>
    </i>
  </colItems>
  <dataFields count="1">
    <dataField name="Count of Loan_ID" fld="0" subtotal="count" baseField="0" baseItem="0"/>
  </dataFields>
  <formats count="20">
    <format dxfId="1799">
      <pivotArea type="all" dataOnly="0" outline="0" fieldPosition="0"/>
    </format>
    <format dxfId="1798">
      <pivotArea outline="0" collapsedLevelsAreSubtotals="1" fieldPosition="0"/>
    </format>
    <format dxfId="1797">
      <pivotArea type="origin" dataOnly="0" labelOnly="1" outline="0" fieldPosition="0"/>
    </format>
    <format dxfId="1796">
      <pivotArea field="15" type="button" dataOnly="0" labelOnly="1" outline="0" axis="axisCol" fieldPosition="0"/>
    </format>
    <format dxfId="1795">
      <pivotArea type="topRight" dataOnly="0" labelOnly="1" outline="0" fieldPosition="0"/>
    </format>
    <format dxfId="1794">
      <pivotArea field="16" type="button" dataOnly="0" labelOnly="1" outline="0" axis="axisRow" fieldPosition="0"/>
    </format>
    <format dxfId="1793">
      <pivotArea dataOnly="0" labelOnly="1" fieldPosition="0">
        <references count="1">
          <reference field="16" count="0"/>
        </references>
      </pivotArea>
    </format>
    <format dxfId="1792">
      <pivotArea dataOnly="0" labelOnly="1" grandRow="1" outline="0" fieldPosition="0"/>
    </format>
    <format dxfId="1791">
      <pivotArea dataOnly="0" labelOnly="1" fieldPosition="0">
        <references count="1">
          <reference field="15" count="0"/>
        </references>
      </pivotArea>
    </format>
    <format dxfId="1790">
      <pivotArea dataOnly="0" labelOnly="1" grandCol="1" outline="0" fieldPosition="0"/>
    </format>
    <format dxfId="1789">
      <pivotArea type="all" dataOnly="0" outline="0" fieldPosition="0"/>
    </format>
    <format dxfId="1788">
      <pivotArea outline="0" collapsedLevelsAreSubtotals="1" fieldPosition="0"/>
    </format>
    <format dxfId="1787">
      <pivotArea type="origin" dataOnly="0" labelOnly="1" outline="0" fieldPosition="0"/>
    </format>
    <format dxfId="1786">
      <pivotArea field="15" type="button" dataOnly="0" labelOnly="1" outline="0" axis="axisCol" fieldPosition="0"/>
    </format>
    <format dxfId="1785">
      <pivotArea type="topRight" dataOnly="0" labelOnly="1" outline="0" fieldPosition="0"/>
    </format>
    <format dxfId="1784">
      <pivotArea field="16" type="button" dataOnly="0" labelOnly="1" outline="0" axis="axisRow" fieldPosition="0"/>
    </format>
    <format dxfId="1783">
      <pivotArea dataOnly="0" labelOnly="1" fieldPosition="0">
        <references count="1">
          <reference field="16" count="0"/>
        </references>
      </pivotArea>
    </format>
    <format dxfId="1782">
      <pivotArea dataOnly="0" labelOnly="1" grandRow="1" outline="0" fieldPosition="0"/>
    </format>
    <format dxfId="1781">
      <pivotArea dataOnly="0" labelOnly="1" fieldPosition="0">
        <references count="1">
          <reference field="15" count="0"/>
        </references>
      </pivotArea>
    </format>
    <format dxfId="1780">
      <pivotArea dataOnly="0" labelOnly="1" grandCol="1" outline="0" fieldPosition="0"/>
    </format>
  </formats>
  <chartFormats count="3">
    <chartFormat chart="6" format="4" series="1">
      <pivotArea type="data" outline="0" fieldPosition="0">
        <references count="2">
          <reference field="4294967294" count="1" selected="0">
            <x v="0"/>
          </reference>
          <reference field="15" count="1" selected="0">
            <x v="0"/>
          </reference>
        </references>
      </pivotArea>
    </chartFormat>
    <chartFormat chart="6" format="5" series="1">
      <pivotArea type="data" outline="0" fieldPosition="0">
        <references count="2">
          <reference field="4294967294" count="1" selected="0">
            <x v="0"/>
          </reference>
          <reference field="15"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DE2D4-8E36-48EE-A7A3-100FDFC35F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come Group  " colHeaderCaption="">
  <location ref="F2:I7" firstHeaderRow="1" firstDataRow="2" firstDataCol="1"/>
  <pivotFields count="18">
    <pivotField dataField="1" showAll="0"/>
    <pivotField showAll="0">
      <items count="5">
        <item x="2"/>
        <item x="0"/>
        <item x="1"/>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5">
        <item x="1"/>
        <item x="0"/>
        <item x="2"/>
        <item x="3"/>
        <item t="default"/>
      </items>
    </pivotField>
    <pivotField showAll="0"/>
    <pivotField showAll="0"/>
    <pivotField axis="axisRow" showAll="0">
      <items count="5">
        <item x="0"/>
        <item x="2"/>
        <item x="1"/>
        <item h="1" x="3"/>
        <item t="default"/>
      </items>
    </pivotField>
    <pivotField axis="axisCol" showAll="0">
      <items count="4">
        <item x="0"/>
        <item x="1"/>
        <item x="2"/>
        <item t="default"/>
      </items>
    </pivotField>
    <pivotField showAll="0"/>
    <pivotField showAll="0"/>
  </pivotFields>
  <rowFields count="1">
    <field x="14"/>
  </rowFields>
  <rowItems count="4">
    <i>
      <x/>
    </i>
    <i>
      <x v="1"/>
    </i>
    <i>
      <x v="2"/>
    </i>
    <i t="grand">
      <x/>
    </i>
  </rowItems>
  <colFields count="1">
    <field x="15"/>
  </colFields>
  <colItems count="3">
    <i>
      <x/>
    </i>
    <i>
      <x v="1"/>
    </i>
    <i t="grand">
      <x/>
    </i>
  </colItems>
  <dataFields count="1">
    <dataField name="Count of Loan_ID" fld="0" subtotal="count" baseField="0" baseItem="0"/>
  </dataFields>
  <formats count="20">
    <format dxfId="1819">
      <pivotArea type="all" dataOnly="0" outline="0" fieldPosition="0"/>
    </format>
    <format dxfId="1818">
      <pivotArea outline="0" collapsedLevelsAreSubtotals="1" fieldPosition="0"/>
    </format>
    <format dxfId="1817">
      <pivotArea type="origin" dataOnly="0" labelOnly="1" outline="0" fieldPosition="0"/>
    </format>
    <format dxfId="1816">
      <pivotArea field="15" type="button" dataOnly="0" labelOnly="1" outline="0" axis="axisCol" fieldPosition="0"/>
    </format>
    <format dxfId="1815">
      <pivotArea type="topRight" dataOnly="0" labelOnly="1" outline="0" fieldPosition="0"/>
    </format>
    <format dxfId="1814">
      <pivotArea field="14" type="button" dataOnly="0" labelOnly="1" outline="0" axis="axisRow" fieldPosition="0"/>
    </format>
    <format dxfId="1813">
      <pivotArea dataOnly="0" labelOnly="1" fieldPosition="0">
        <references count="1">
          <reference field="14" count="0"/>
        </references>
      </pivotArea>
    </format>
    <format dxfId="1812">
      <pivotArea dataOnly="0" labelOnly="1" grandRow="1" outline="0" fieldPosition="0"/>
    </format>
    <format dxfId="1811">
      <pivotArea dataOnly="0" labelOnly="1" fieldPosition="0">
        <references count="1">
          <reference field="15" count="0"/>
        </references>
      </pivotArea>
    </format>
    <format dxfId="1810">
      <pivotArea dataOnly="0" labelOnly="1" grandCol="1" outline="0" fieldPosition="0"/>
    </format>
    <format dxfId="1809">
      <pivotArea type="all" dataOnly="0" outline="0" fieldPosition="0"/>
    </format>
    <format dxfId="1808">
      <pivotArea outline="0" collapsedLevelsAreSubtotals="1" fieldPosition="0"/>
    </format>
    <format dxfId="1807">
      <pivotArea type="origin" dataOnly="0" labelOnly="1" outline="0" fieldPosition="0"/>
    </format>
    <format dxfId="1806">
      <pivotArea field="15" type="button" dataOnly="0" labelOnly="1" outline="0" axis="axisCol" fieldPosition="0"/>
    </format>
    <format dxfId="1805">
      <pivotArea type="topRight" dataOnly="0" labelOnly="1" outline="0" fieldPosition="0"/>
    </format>
    <format dxfId="1804">
      <pivotArea field="14" type="button" dataOnly="0" labelOnly="1" outline="0" axis="axisRow" fieldPosition="0"/>
    </format>
    <format dxfId="1803">
      <pivotArea dataOnly="0" labelOnly="1" fieldPosition="0">
        <references count="1">
          <reference field="14" count="0"/>
        </references>
      </pivotArea>
    </format>
    <format dxfId="1802">
      <pivotArea dataOnly="0" labelOnly="1" grandRow="1" outline="0" fieldPosition="0"/>
    </format>
    <format dxfId="1801">
      <pivotArea dataOnly="0" labelOnly="1" fieldPosition="0">
        <references count="1">
          <reference field="15" count="0"/>
        </references>
      </pivotArea>
    </format>
    <format dxfId="1800">
      <pivotArea dataOnly="0" labelOnly="1" grandCol="1" outline="0" fieldPosition="0"/>
    </format>
  </formats>
  <chartFormats count="3">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Gender" xr10:uid="{A82DCD88-17C0-4821-B26C-CAD7EB7CA02E}" sourceName="Clean_Gender">
  <pivotTables>
    <pivotTable tabId="6" name="PivotTable1"/>
    <pivotTable tabId="6" name="PivotTable2"/>
    <pivotTable tabId="6" name="PivotTable3"/>
    <pivotTable tabId="6" name="PivotTable4"/>
    <pivotTable tabId="6" name="PivotTable5"/>
  </pivotTables>
  <data>
    <tabular pivotCacheId="58865296">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8BBB79-FB9B-41D7-A90E-87ABC390CE92}" sourceName="Education">
  <pivotTables>
    <pivotTable tabId="6" name="PivotTable1"/>
    <pivotTable tabId="6" name="PivotTable2"/>
    <pivotTable tabId="6" name="PivotTable3"/>
    <pivotTable tabId="6" name="PivotTable4"/>
    <pivotTable tabId="6" name="PivotTable5"/>
  </pivotTables>
  <data>
    <tabular pivotCacheId="58865296">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4C804174-B2FE-44E9-BD80-98781BAB97BE}" sourceName="Property_Area">
  <pivotTables>
    <pivotTable tabId="6" name="PivotTable1"/>
    <pivotTable tabId="6" name="PivotTable2"/>
    <pivotTable tabId="6" name="PivotTable3"/>
    <pivotTable tabId="6" name="PivotTable4"/>
    <pivotTable tabId="6" name="PivotTable5"/>
  </pivotTables>
  <data>
    <tabular pivotCacheId="58865296">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Gender" xr10:uid="{828E41D0-83C5-492B-B270-5B24883BBC9D}" cache="Slicer_Clean_Gender" caption="Clean_Gender" style="SlicerStyleDark3" rowHeight="251883"/>
  <slicer name="Education" xr10:uid="{30A15896-2EA9-47C8-91FB-F307E11E371D}" cache="Slicer_Education" caption="Education" style="SlicerStyleDark3" rowHeight="251883"/>
  <slicer name="Property_Area" xr10:uid="{F9A0568E-DC94-422A-B3B8-A0F69618075D}" cache="Slicer_Property_Area" caption="Property_Area"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39438A-A133-417A-AC68-F1323EBF2FC7}" name="Table13" displayName="Table13" ref="A1:R1201" totalsRowShown="0" headerRowDxfId="1859" dataDxfId="1858">
  <autoFilter ref="A1:R1201" xr:uid="{4939438A-A133-417A-AC68-F1323EBF2FC7}"/>
  <tableColumns count="18">
    <tableColumn id="1" xr3:uid="{C9522C3B-019F-45D5-8457-8AEF80FE2C6A}" name="Loan_ID" dataDxfId="1857"/>
    <tableColumn id="14" xr3:uid="{DB2C8BD5-F3F6-4EAF-94EE-73888F779BDF}" name="Clean_Gender" dataDxfId="1856">
      <calculatedColumnFormula>IF(ISBLANK(C2),"Unknown", IF(LOWER(TRIM(C2))="male","Male","Female"))</calculatedColumnFormula>
    </tableColumn>
    <tableColumn id="2" xr3:uid="{AEB14A30-0191-45D4-AEE4-4BE73380FBC9}" name="Gender" dataDxfId="1855"/>
    <tableColumn id="15" xr3:uid="{41F50F4A-D002-4651-8F72-89E77ED9D324}" name="Clean_Married" dataDxfId="1854">
      <calculatedColumnFormula>IF(ISBLANK(E2),"No",PROPER(TRIM(E2)))</calculatedColumnFormula>
    </tableColumn>
    <tableColumn id="3" xr3:uid="{B9A02588-AC06-4FD8-BE01-B3498C7D4DDF}" name="Married" dataDxfId="1853"/>
    <tableColumn id="4" xr3:uid="{D9046F03-3311-4FBA-9804-4099CE31873E}" name="Dependents" dataDxfId="1852"/>
    <tableColumn id="5" xr3:uid="{ADD523D3-4A46-45CA-BAA0-B6B13FA12A63}" name="Education" dataDxfId="1851"/>
    <tableColumn id="16" xr3:uid="{E42544EE-89DE-4EB4-8A3D-0F43CDE45276}" name="Clean Self Employed" dataDxfId="1850">
      <calculatedColumnFormula>IF(ISBLANK(I2),"No",PROPER(TRIM(I2)))</calculatedColumnFormula>
    </tableColumn>
    <tableColumn id="6" xr3:uid="{2CD72B3B-DC06-47C3-8E1B-1C4D0796590B}" name="Self_Employed" dataDxfId="1849"/>
    <tableColumn id="7" xr3:uid="{2678FE5D-FCAB-4278-BA36-56ABCD295469}" name="ApplicantIncome" dataDxfId="1848"/>
    <tableColumn id="8" xr3:uid="{E370906D-C110-441E-B50C-C0F22ECDACF3}" name="CoapplicantIncome" dataDxfId="1847"/>
    <tableColumn id="9" xr3:uid="{B4AB771A-42F7-4531-8C0A-84AF958682AA}" name="LoanAmount" dataDxfId="1846"/>
    <tableColumn id="18" xr3:uid="{45C0088F-C57F-4B99-A2AC-4F6E97C512DA}" name="Clean Loan Term" dataDxfId="1845">
      <calculatedColumnFormula>IF(ISBLANK(N2),360,N2)</calculatedColumnFormula>
    </tableColumn>
    <tableColumn id="10" xr3:uid="{7F03357A-C99A-472B-AD32-75F912FFFDE2}" name="Loan_Amount_Term" dataDxfId="1844"/>
    <tableColumn id="17" xr3:uid="{A190268E-4F60-4063-BF6E-797EBCC3F08C}" name="Clean Credit History" dataDxfId="1843">
      <calculatedColumnFormula>IF(ISBLANK(P2),0,P2)</calculatedColumnFormula>
    </tableColumn>
    <tableColumn id="11" xr3:uid="{0F32F646-7F60-4FBC-8060-6D2F635A76F3}" name="Credit_History" dataDxfId="1842"/>
    <tableColumn id="12" xr3:uid="{2CDB3879-13BA-496E-BD47-B30FB7B330B8}" name="Property_Area" dataDxfId="1841"/>
    <tableColumn id="13" xr3:uid="{5F3B2B56-5B49-45B9-8D2B-F81DC2AEEC40}" name="Loan_Status" dataDxfId="18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B968BE-8F2D-4C28-9BEB-5957431B29EF}" name="Table1" displayName="Table1" ref="A1:R1201" totalsRowShown="0" headerRowDxfId="1839" dataDxfId="1838">
  <autoFilter ref="A1:R1201" xr:uid="{57B968BE-8F2D-4C28-9BEB-5957431B29EF}"/>
  <tableColumns count="18">
    <tableColumn id="1" xr3:uid="{E9484106-0D14-495D-B9FB-0263FA4A0E35}" name="Loan_ID" dataDxfId="1837"/>
    <tableColumn id="2" xr3:uid="{53939560-AB47-42A7-92F9-1038005E8384}" name="Clean_Gender" dataDxfId="1836"/>
    <tableColumn id="3" xr3:uid="{87822329-7D91-4B54-972C-EEB76FC725E5}" name="Clean_Married" dataDxfId="1835"/>
    <tableColumn id="4" xr3:uid="{B8B5971C-E27C-4794-96B0-FAEC6D71ABB6}" name="Dependents" dataDxfId="1834"/>
    <tableColumn id="5" xr3:uid="{BD960737-E1D3-4976-89A3-0F256DA27F84}" name="Education" dataDxfId="1833"/>
    <tableColumn id="6" xr3:uid="{433047E0-2EE1-4EBA-9304-84CEE428B18B}" name="Clean Self Employed" dataDxfId="1832"/>
    <tableColumn id="7" xr3:uid="{1D35ABC1-1278-4637-A048-A2DC4BC0DEB3}" name="ApplicantIncome" dataDxfId="1831"/>
    <tableColumn id="8" xr3:uid="{8FADE007-B484-48A9-88A1-810896813E33}" name="CoapplicantIncome" dataDxfId="1830"/>
    <tableColumn id="9" xr3:uid="{6F936D0B-2D0C-4760-8BE0-7E7DF6E782E0}" name="LoanAmount (In Thousands)" dataDxfId="1829"/>
    <tableColumn id="10" xr3:uid="{575886F4-A453-4C78-82AD-3BD36C5D5EFB}" name="Clean Loan Term" dataDxfId="1828"/>
    <tableColumn id="11" xr3:uid="{573248FF-F17D-4273-A9D2-E9675D1A9176}" name="Clean Credit History" dataDxfId="1827"/>
    <tableColumn id="12" xr3:uid="{64E0D4D8-1D38-44B1-97E8-559C4E961910}" name="Property_Area" dataDxfId="1826"/>
    <tableColumn id="13" xr3:uid="{EBAAEABC-D8A6-4A3B-9FB3-91F196CD2B6D}" name="Total_Income" dataDxfId="1825"/>
    <tableColumn id="14" xr3:uid="{546EF8CA-0F2C-4824-BB11-0D1CEFFFA0AB}" name="Loan_Status" dataDxfId="1824"/>
    <tableColumn id="15" xr3:uid="{BEE934C9-FCF4-499C-B8AF-9586C292CFAC}" name="Income Group" dataDxfId="1823">
      <calculatedColumnFormula>IF(Table1[[#This Row],[Total_Income]]&lt;3000,"Low",IF(Table1[[#This Row],[Total_Income]]&lt;7000,"Medium","High"))</calculatedColumnFormula>
    </tableColumn>
    <tableColumn id="16" xr3:uid="{0E886621-8155-4407-B693-6EF63793ED4A}" name="Loan Status Label" dataDxfId="1822">
      <calculatedColumnFormula>IF(N2="Y","Approved","Rejected")</calculatedColumnFormula>
    </tableColumn>
    <tableColumn id="17" xr3:uid="{E54EFDB4-098D-4E4F-8789-4E02D7154E3D}" name="Risk Category" dataDxfId="1821">
      <calculatedColumnFormula>IF(K2=1,"Low Risk","High Risk")</calculatedColumnFormula>
    </tableColumn>
    <tableColumn id="18" xr3:uid="{1B0D53CC-0B8C-40DB-A4B0-FACD878263BA}" name="EMI Estimation" dataDxfId="1820">
      <calculatedColumnFormula>-PMT(8%/12,J2,I2*1000)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98EC-EC27-48B5-B40E-67E3FF8E281E}">
  <dimension ref="A1:R1201"/>
  <sheetViews>
    <sheetView topLeftCell="G1" workbookViewId="0">
      <selection activeCell="M6" sqref="M6"/>
    </sheetView>
  </sheetViews>
  <sheetFormatPr defaultRowHeight="14.5" x14ac:dyDescent="0.35"/>
  <cols>
    <col min="1" max="1" width="11.7265625" bestFit="1" customWidth="1"/>
    <col min="2" max="2" width="15.453125" bestFit="1" customWidth="1"/>
    <col min="3" max="3" width="10.54296875" bestFit="1" customWidth="1"/>
    <col min="4" max="4" width="10.54296875" customWidth="1"/>
    <col min="5" max="5" width="11.08984375" bestFit="1" customWidth="1"/>
    <col min="7" max="7" width="12.54296875" bestFit="1" customWidth="1"/>
    <col min="8" max="8" width="12.54296875" customWidth="1"/>
    <col min="9" max="9" width="15.90625" bestFit="1" customWidth="1"/>
    <col min="10" max="10" width="17.6328125" bestFit="1" customWidth="1"/>
    <col min="11" max="11" width="19.36328125" bestFit="1" customWidth="1"/>
    <col min="12" max="12" width="14.90625" bestFit="1" customWidth="1"/>
    <col min="13" max="13" width="14.90625" customWidth="1"/>
    <col min="14" max="14" width="20.36328125" bestFit="1" customWidth="1"/>
    <col min="15" max="15" width="20.36328125" customWidth="1"/>
    <col min="16" max="16" width="15.90625" bestFit="1" customWidth="1"/>
    <col min="17" max="17" width="15.7265625" bestFit="1" customWidth="1"/>
    <col min="18" max="18" width="14.26953125" bestFit="1" customWidth="1"/>
  </cols>
  <sheetData>
    <row r="1" spans="1:18" x14ac:dyDescent="0.35">
      <c r="A1" s="1" t="s">
        <v>0</v>
      </c>
      <c r="B1" s="1" t="s">
        <v>1233</v>
      </c>
      <c r="C1" s="1" t="s">
        <v>1</v>
      </c>
      <c r="D1" s="1" t="s">
        <v>1234</v>
      </c>
      <c r="E1" s="1" t="s">
        <v>2</v>
      </c>
      <c r="F1" s="1" t="s">
        <v>3</v>
      </c>
      <c r="G1" s="1" t="s">
        <v>4</v>
      </c>
      <c r="H1" s="1" t="s">
        <v>1235</v>
      </c>
      <c r="I1" s="1" t="s">
        <v>5</v>
      </c>
      <c r="J1" s="1" t="s">
        <v>6</v>
      </c>
      <c r="K1" s="1" t="s">
        <v>7</v>
      </c>
      <c r="L1" s="1" t="s">
        <v>8</v>
      </c>
      <c r="M1" s="1" t="s">
        <v>1237</v>
      </c>
      <c r="N1" s="1" t="s">
        <v>9</v>
      </c>
      <c r="O1" s="1" t="s">
        <v>1236</v>
      </c>
      <c r="P1" s="1" t="s">
        <v>10</v>
      </c>
      <c r="Q1" s="1" t="s">
        <v>11</v>
      </c>
      <c r="R1" s="1" t="s">
        <v>12</v>
      </c>
    </row>
    <row r="2" spans="1:18" x14ac:dyDescent="0.35">
      <c r="A2" s="1" t="s">
        <v>13</v>
      </c>
      <c r="B2" s="1" t="str">
        <f t="shared" ref="B2:B65" si="0">IF(ISBLANK(C2),"Unknown", IF(LOWER(TRIM(C2))="male","Male","Female"))</f>
        <v>Male</v>
      </c>
      <c r="C2" s="1" t="s">
        <v>14</v>
      </c>
      <c r="D2" s="1" t="str">
        <f t="shared" ref="D2:D65" si="1">IF(ISBLANK(E2),"No",PROPER(TRIM(E2)))</f>
        <v>Yes</v>
      </c>
      <c r="E2" s="1" t="s">
        <v>15</v>
      </c>
      <c r="F2" s="1" t="s">
        <v>16</v>
      </c>
      <c r="G2" s="1" t="s">
        <v>17</v>
      </c>
      <c r="H2" s="1" t="str">
        <f t="shared" ref="H2:H65" si="2">IF(ISBLANK(I2),"No",PROPER(TRIM(I2)))</f>
        <v>No</v>
      </c>
      <c r="I2" s="1" t="s">
        <v>18</v>
      </c>
      <c r="J2" s="1">
        <v>4024</v>
      </c>
      <c r="K2" s="1">
        <v>9785</v>
      </c>
      <c r="L2" s="1">
        <v>430</v>
      </c>
      <c r="M2" s="1">
        <f t="shared" ref="M2:M65" si="3">IF(ISBLANK(N2),360,N2)</f>
        <v>120</v>
      </c>
      <c r="N2" s="1">
        <v>120</v>
      </c>
      <c r="O2" s="1">
        <f t="shared" ref="O2:O65" si="4">IF(ISBLANK(P2),0,P2)</f>
        <v>1</v>
      </c>
      <c r="P2" s="1">
        <v>1</v>
      </c>
      <c r="Q2" s="1" t="s">
        <v>19</v>
      </c>
      <c r="R2" s="1" t="s">
        <v>20</v>
      </c>
    </row>
    <row r="3" spans="1:18" x14ac:dyDescent="0.35">
      <c r="A3" s="1" t="s">
        <v>21</v>
      </c>
      <c r="B3" s="1" t="str">
        <f t="shared" si="0"/>
        <v>Unknown</v>
      </c>
      <c r="C3" s="1"/>
      <c r="D3" s="1" t="str">
        <f t="shared" si="1"/>
        <v>Yes</v>
      </c>
      <c r="E3" s="1" t="s">
        <v>15</v>
      </c>
      <c r="F3" s="1">
        <v>0</v>
      </c>
      <c r="G3" s="1" t="s">
        <v>17</v>
      </c>
      <c r="H3" s="1" t="str">
        <f t="shared" si="2"/>
        <v>No</v>
      </c>
      <c r="I3" s="1" t="s">
        <v>22</v>
      </c>
      <c r="J3" s="1">
        <v>6730</v>
      </c>
      <c r="K3" s="1">
        <v>2302</v>
      </c>
      <c r="L3" s="1">
        <v>189</v>
      </c>
      <c r="M3" s="1">
        <f t="shared" si="3"/>
        <v>360</v>
      </c>
      <c r="N3" s="1">
        <v>360</v>
      </c>
      <c r="O3" s="1">
        <f t="shared" si="4"/>
        <v>0</v>
      </c>
      <c r="P3" s="1"/>
      <c r="Q3" s="1" t="s">
        <v>19</v>
      </c>
      <c r="R3" s="1" t="s">
        <v>20</v>
      </c>
    </row>
    <row r="4" spans="1:18" x14ac:dyDescent="0.35">
      <c r="A4" s="1" t="s">
        <v>23</v>
      </c>
      <c r="B4" s="1" t="str">
        <f t="shared" si="0"/>
        <v>Unknown</v>
      </c>
      <c r="C4" s="1"/>
      <c r="D4" s="1" t="str">
        <f t="shared" si="1"/>
        <v>Yes</v>
      </c>
      <c r="E4" s="1" t="s">
        <v>24</v>
      </c>
      <c r="F4" s="1">
        <v>1</v>
      </c>
      <c r="G4" s="1" t="s">
        <v>25</v>
      </c>
      <c r="H4" s="1" t="str">
        <f t="shared" si="2"/>
        <v>No</v>
      </c>
      <c r="I4" s="1"/>
      <c r="J4" s="1">
        <v>7432</v>
      </c>
      <c r="K4" s="1">
        <v>2840</v>
      </c>
      <c r="L4" s="1">
        <v>374</v>
      </c>
      <c r="M4" s="1">
        <f t="shared" si="3"/>
        <v>180</v>
      </c>
      <c r="N4" s="1">
        <v>180</v>
      </c>
      <c r="O4" s="1">
        <f t="shared" si="4"/>
        <v>1</v>
      </c>
      <c r="P4" s="1">
        <v>1</v>
      </c>
      <c r="Q4" s="1" t="s">
        <v>19</v>
      </c>
      <c r="R4" s="1" t="s">
        <v>26</v>
      </c>
    </row>
    <row r="5" spans="1:18" x14ac:dyDescent="0.35">
      <c r="A5" s="1" t="s">
        <v>27</v>
      </c>
      <c r="B5" s="1" t="str">
        <f t="shared" si="0"/>
        <v>Female</v>
      </c>
      <c r="C5" s="1" t="s">
        <v>28</v>
      </c>
      <c r="D5" s="1" t="str">
        <f t="shared" si="1"/>
        <v>No</v>
      </c>
      <c r="E5" s="1"/>
      <c r="F5" s="1" t="s">
        <v>16</v>
      </c>
      <c r="G5" s="1" t="s">
        <v>25</v>
      </c>
      <c r="H5" s="1" t="str">
        <f t="shared" si="2"/>
        <v>Yes</v>
      </c>
      <c r="I5" s="1" t="s">
        <v>29</v>
      </c>
      <c r="J5" s="1">
        <v>3362</v>
      </c>
      <c r="K5" s="1">
        <v>8027</v>
      </c>
      <c r="L5" s="1">
        <v>430</v>
      </c>
      <c r="M5" s="1">
        <f t="shared" si="3"/>
        <v>180</v>
      </c>
      <c r="N5" s="1">
        <v>180</v>
      </c>
      <c r="O5" s="1">
        <f t="shared" si="4"/>
        <v>1</v>
      </c>
      <c r="P5" s="1">
        <v>1</v>
      </c>
      <c r="Q5" s="1" t="s">
        <v>30</v>
      </c>
      <c r="R5" s="1" t="s">
        <v>20</v>
      </c>
    </row>
    <row r="6" spans="1:18" x14ac:dyDescent="0.35">
      <c r="A6" s="1" t="s">
        <v>31</v>
      </c>
      <c r="B6" s="1" t="str">
        <f t="shared" si="0"/>
        <v>Unknown</v>
      </c>
      <c r="C6" s="1"/>
      <c r="D6" s="1" t="str">
        <f t="shared" si="1"/>
        <v>No</v>
      </c>
      <c r="E6" s="1"/>
      <c r="F6" s="1">
        <v>1</v>
      </c>
      <c r="G6" s="1" t="s">
        <v>17</v>
      </c>
      <c r="H6" s="1" t="str">
        <f t="shared" si="2"/>
        <v>No</v>
      </c>
      <c r="I6" s="1"/>
      <c r="J6" s="1">
        <v>12977</v>
      </c>
      <c r="K6" s="1">
        <v>2443</v>
      </c>
      <c r="L6" s="1">
        <v>165</v>
      </c>
      <c r="M6" s="1">
        <f t="shared" si="3"/>
        <v>360</v>
      </c>
      <c r="N6" s="1">
        <v>360</v>
      </c>
      <c r="O6" s="1">
        <f t="shared" si="4"/>
        <v>0</v>
      </c>
      <c r="P6" s="1">
        <v>0</v>
      </c>
      <c r="Q6" s="1" t="s">
        <v>19</v>
      </c>
      <c r="R6" s="1" t="s">
        <v>26</v>
      </c>
    </row>
    <row r="7" spans="1:18" x14ac:dyDescent="0.35">
      <c r="A7" s="1" t="s">
        <v>32</v>
      </c>
      <c r="B7" s="1" t="str">
        <f t="shared" si="0"/>
        <v>Male</v>
      </c>
      <c r="C7" s="1" t="s">
        <v>33</v>
      </c>
      <c r="D7" s="1" t="str">
        <f t="shared" si="1"/>
        <v>No</v>
      </c>
      <c r="E7" s="1"/>
      <c r="F7" s="1" t="s">
        <v>16</v>
      </c>
      <c r="G7" s="1" t="s">
        <v>25</v>
      </c>
      <c r="H7" s="1" t="str">
        <f t="shared" si="2"/>
        <v>No</v>
      </c>
      <c r="I7" s="1"/>
      <c r="J7" s="1">
        <v>5382</v>
      </c>
      <c r="K7" s="1">
        <v>5923</v>
      </c>
      <c r="L7" s="1">
        <v>344</v>
      </c>
      <c r="M7" s="1">
        <f t="shared" si="3"/>
        <v>120</v>
      </c>
      <c r="N7" s="1">
        <v>120</v>
      </c>
      <c r="O7" s="1">
        <f t="shared" si="4"/>
        <v>0</v>
      </c>
      <c r="P7" s="1">
        <v>0</v>
      </c>
      <c r="Q7" s="1" t="s">
        <v>30</v>
      </c>
      <c r="R7" s="1" t="s">
        <v>20</v>
      </c>
    </row>
    <row r="8" spans="1:18" x14ac:dyDescent="0.35">
      <c r="A8" s="1" t="s">
        <v>34</v>
      </c>
      <c r="B8" s="1" t="str">
        <f t="shared" si="0"/>
        <v>Female</v>
      </c>
      <c r="C8" s="1" t="s">
        <v>28</v>
      </c>
      <c r="D8" s="1" t="str">
        <f t="shared" si="1"/>
        <v>No</v>
      </c>
      <c r="E8" s="1" t="s">
        <v>22</v>
      </c>
      <c r="F8" s="1">
        <v>1</v>
      </c>
      <c r="G8" s="1" t="s">
        <v>25</v>
      </c>
      <c r="H8" s="1" t="str">
        <f t="shared" si="2"/>
        <v>No</v>
      </c>
      <c r="I8" s="1"/>
      <c r="J8" s="1">
        <v>12437</v>
      </c>
      <c r="K8" s="1">
        <v>8387</v>
      </c>
      <c r="L8" s="1">
        <v>256</v>
      </c>
      <c r="M8" s="1">
        <f t="shared" si="3"/>
        <v>360</v>
      </c>
      <c r="N8" s="1">
        <v>360</v>
      </c>
      <c r="O8" s="1">
        <f t="shared" si="4"/>
        <v>1</v>
      </c>
      <c r="P8" s="1">
        <v>1</v>
      </c>
      <c r="Q8" s="1" t="s">
        <v>30</v>
      </c>
      <c r="R8" s="1" t="s">
        <v>26</v>
      </c>
    </row>
    <row r="9" spans="1:18" x14ac:dyDescent="0.35">
      <c r="A9" s="1" t="s">
        <v>35</v>
      </c>
      <c r="B9" s="1" t="str">
        <f t="shared" si="0"/>
        <v>Male</v>
      </c>
      <c r="C9" s="1" t="s">
        <v>14</v>
      </c>
      <c r="D9" s="1" t="str">
        <f t="shared" si="1"/>
        <v>No</v>
      </c>
      <c r="E9" s="1" t="s">
        <v>36</v>
      </c>
      <c r="F9" s="1">
        <v>1</v>
      </c>
      <c r="G9" s="1" t="s">
        <v>25</v>
      </c>
      <c r="H9" s="1" t="str">
        <f t="shared" si="2"/>
        <v>No</v>
      </c>
      <c r="I9" s="1" t="s">
        <v>22</v>
      </c>
      <c r="J9" s="1">
        <v>12489</v>
      </c>
      <c r="K9" s="1">
        <v>8987</v>
      </c>
      <c r="L9" s="1">
        <v>115</v>
      </c>
      <c r="M9" s="1">
        <f t="shared" si="3"/>
        <v>360</v>
      </c>
      <c r="N9" s="1">
        <v>360</v>
      </c>
      <c r="O9" s="1">
        <f t="shared" si="4"/>
        <v>0</v>
      </c>
      <c r="P9" s="1"/>
      <c r="Q9" s="1" t="s">
        <v>30</v>
      </c>
      <c r="R9" s="1" t="s">
        <v>20</v>
      </c>
    </row>
    <row r="10" spans="1:18" x14ac:dyDescent="0.35">
      <c r="A10" s="1" t="s">
        <v>37</v>
      </c>
      <c r="B10" s="1" t="str">
        <f t="shared" si="0"/>
        <v>Female</v>
      </c>
      <c r="C10" s="1" t="s">
        <v>28</v>
      </c>
      <c r="D10" s="1" t="str">
        <f t="shared" si="1"/>
        <v>Yes</v>
      </c>
      <c r="E10" s="1" t="s">
        <v>29</v>
      </c>
      <c r="F10" s="1">
        <v>2</v>
      </c>
      <c r="G10" s="1" t="s">
        <v>25</v>
      </c>
      <c r="H10" s="1" t="str">
        <f t="shared" si="2"/>
        <v>No</v>
      </c>
      <c r="I10" s="1"/>
      <c r="J10" s="1">
        <v>19536</v>
      </c>
      <c r="K10" s="1">
        <v>4142</v>
      </c>
      <c r="L10" s="1">
        <v>292</v>
      </c>
      <c r="M10" s="1">
        <f t="shared" si="3"/>
        <v>360</v>
      </c>
      <c r="N10" s="1"/>
      <c r="O10" s="1">
        <f t="shared" si="4"/>
        <v>1</v>
      </c>
      <c r="P10" s="1">
        <v>1</v>
      </c>
      <c r="Q10" s="1" t="s">
        <v>19</v>
      </c>
      <c r="R10" s="1" t="s">
        <v>26</v>
      </c>
    </row>
    <row r="11" spans="1:18" x14ac:dyDescent="0.35">
      <c r="A11" s="1" t="s">
        <v>38</v>
      </c>
      <c r="B11" s="1" t="str">
        <f t="shared" si="0"/>
        <v>Unknown</v>
      </c>
      <c r="C11" s="1"/>
      <c r="D11" s="1" t="str">
        <f t="shared" si="1"/>
        <v>No</v>
      </c>
      <c r="E11" s="1" t="s">
        <v>36</v>
      </c>
      <c r="F11" s="1">
        <v>0</v>
      </c>
      <c r="G11" s="1" t="s">
        <v>25</v>
      </c>
      <c r="H11" s="1" t="str">
        <f t="shared" si="2"/>
        <v>No</v>
      </c>
      <c r="I11" s="1" t="s">
        <v>22</v>
      </c>
      <c r="J11" s="1">
        <v>4932</v>
      </c>
      <c r="K11" s="1">
        <v>6375</v>
      </c>
      <c r="L11" s="1">
        <v>559</v>
      </c>
      <c r="M11" s="1">
        <f t="shared" si="3"/>
        <v>120</v>
      </c>
      <c r="N11" s="1">
        <v>120</v>
      </c>
      <c r="O11" s="1">
        <f t="shared" si="4"/>
        <v>0</v>
      </c>
      <c r="P11" s="1">
        <v>0</v>
      </c>
      <c r="Q11" s="1" t="s">
        <v>30</v>
      </c>
      <c r="R11" s="1" t="s">
        <v>26</v>
      </c>
    </row>
    <row r="12" spans="1:18" x14ac:dyDescent="0.35">
      <c r="A12" s="1" t="s">
        <v>39</v>
      </c>
      <c r="B12" s="1" t="str">
        <f t="shared" si="0"/>
        <v>Unknown</v>
      </c>
      <c r="C12" s="1"/>
      <c r="D12" s="1" t="str">
        <f t="shared" si="1"/>
        <v>Yes</v>
      </c>
      <c r="E12" s="1" t="s">
        <v>29</v>
      </c>
      <c r="F12" s="1">
        <v>0</v>
      </c>
      <c r="G12" s="1" t="s">
        <v>25</v>
      </c>
      <c r="H12" s="1" t="str">
        <f t="shared" si="2"/>
        <v>No</v>
      </c>
      <c r="I12" s="1"/>
      <c r="J12" s="1">
        <v>3393</v>
      </c>
      <c r="K12" s="1">
        <v>1654</v>
      </c>
      <c r="L12" s="1">
        <v>698</v>
      </c>
      <c r="M12" s="1">
        <f t="shared" si="3"/>
        <v>180</v>
      </c>
      <c r="N12" s="1">
        <v>180</v>
      </c>
      <c r="O12" s="1">
        <f t="shared" si="4"/>
        <v>0</v>
      </c>
      <c r="P12" s="1">
        <v>0</v>
      </c>
      <c r="Q12" s="1" t="s">
        <v>19</v>
      </c>
      <c r="R12" s="1" t="s">
        <v>20</v>
      </c>
    </row>
    <row r="13" spans="1:18" x14ac:dyDescent="0.35">
      <c r="A13" s="1" t="s">
        <v>40</v>
      </c>
      <c r="B13" s="1" t="str">
        <f t="shared" si="0"/>
        <v>Unknown</v>
      </c>
      <c r="C13" s="1"/>
      <c r="D13" s="1" t="str">
        <f t="shared" si="1"/>
        <v>Yes</v>
      </c>
      <c r="E13" s="1" t="s">
        <v>29</v>
      </c>
      <c r="F13" s="1">
        <v>2</v>
      </c>
      <c r="G13" s="1" t="s">
        <v>25</v>
      </c>
      <c r="H13" s="1" t="str">
        <f t="shared" si="2"/>
        <v>No</v>
      </c>
      <c r="I13" s="1"/>
      <c r="J13" s="1">
        <v>10051</v>
      </c>
      <c r="K13" s="1">
        <v>719</v>
      </c>
      <c r="L13" s="1">
        <v>354</v>
      </c>
      <c r="M13" s="1">
        <f t="shared" si="3"/>
        <v>360</v>
      </c>
      <c r="N13" s="1"/>
      <c r="O13" s="1">
        <f t="shared" si="4"/>
        <v>0</v>
      </c>
      <c r="P13" s="1">
        <v>0</v>
      </c>
      <c r="Q13" s="1" t="s">
        <v>41</v>
      </c>
      <c r="R13" s="1" t="s">
        <v>26</v>
      </c>
    </row>
    <row r="14" spans="1:18" x14ac:dyDescent="0.35">
      <c r="A14" s="1" t="s">
        <v>42</v>
      </c>
      <c r="B14" s="1" t="str">
        <f t="shared" si="0"/>
        <v>Female</v>
      </c>
      <c r="C14" s="1" t="s">
        <v>43</v>
      </c>
      <c r="D14" s="1" t="str">
        <f t="shared" si="1"/>
        <v>No</v>
      </c>
      <c r="E14" s="1" t="s">
        <v>22</v>
      </c>
      <c r="F14" s="1">
        <v>0</v>
      </c>
      <c r="G14" s="1" t="s">
        <v>17</v>
      </c>
      <c r="H14" s="1" t="str">
        <f t="shared" si="2"/>
        <v>No</v>
      </c>
      <c r="I14" s="1" t="s">
        <v>36</v>
      </c>
      <c r="J14" s="1">
        <v>10195</v>
      </c>
      <c r="K14" s="1">
        <v>3069</v>
      </c>
      <c r="L14" s="1">
        <v>592</v>
      </c>
      <c r="M14" s="1">
        <f t="shared" si="3"/>
        <v>360</v>
      </c>
      <c r="N14" s="1"/>
      <c r="O14" s="1">
        <f t="shared" si="4"/>
        <v>1</v>
      </c>
      <c r="P14" s="1">
        <v>1</v>
      </c>
      <c r="Q14" s="1" t="s">
        <v>30</v>
      </c>
      <c r="R14" s="1" t="s">
        <v>20</v>
      </c>
    </row>
    <row r="15" spans="1:18" x14ac:dyDescent="0.35">
      <c r="A15" s="1" t="s">
        <v>44</v>
      </c>
      <c r="B15" s="1" t="str">
        <f t="shared" si="0"/>
        <v>Unknown</v>
      </c>
      <c r="C15" s="1"/>
      <c r="D15" s="1" t="str">
        <f t="shared" si="1"/>
        <v>Yes</v>
      </c>
      <c r="E15" s="1" t="s">
        <v>15</v>
      </c>
      <c r="F15" s="1">
        <v>2</v>
      </c>
      <c r="G15" s="1" t="s">
        <v>17</v>
      </c>
      <c r="H15" s="1" t="str">
        <f t="shared" si="2"/>
        <v>Yes</v>
      </c>
      <c r="I15" s="1" t="s">
        <v>24</v>
      </c>
      <c r="J15" s="1">
        <v>2216</v>
      </c>
      <c r="K15" s="1">
        <v>5207</v>
      </c>
      <c r="L15" s="1">
        <v>676</v>
      </c>
      <c r="M15" s="1">
        <f t="shared" si="3"/>
        <v>360</v>
      </c>
      <c r="N15" s="1">
        <v>360</v>
      </c>
      <c r="O15" s="1">
        <f t="shared" si="4"/>
        <v>0</v>
      </c>
      <c r="P15" s="1"/>
      <c r="Q15" s="1" t="s">
        <v>19</v>
      </c>
      <c r="R15" s="1" t="s">
        <v>26</v>
      </c>
    </row>
    <row r="16" spans="1:18" x14ac:dyDescent="0.35">
      <c r="A16" s="1" t="s">
        <v>45</v>
      </c>
      <c r="B16" s="1" t="str">
        <f t="shared" si="0"/>
        <v>Female</v>
      </c>
      <c r="C16" s="1" t="s">
        <v>28</v>
      </c>
      <c r="D16" s="1" t="str">
        <f t="shared" si="1"/>
        <v>Yes</v>
      </c>
      <c r="E16" s="1" t="s">
        <v>29</v>
      </c>
      <c r="F16" s="1">
        <v>2</v>
      </c>
      <c r="G16" s="1" t="s">
        <v>25</v>
      </c>
      <c r="H16" s="1" t="str">
        <f t="shared" si="2"/>
        <v>No</v>
      </c>
      <c r="I16" s="1"/>
      <c r="J16" s="1">
        <v>5778</v>
      </c>
      <c r="K16" s="1">
        <v>7888</v>
      </c>
      <c r="L16" s="1">
        <v>698</v>
      </c>
      <c r="M16" s="1">
        <f t="shared" si="3"/>
        <v>360</v>
      </c>
      <c r="N16" s="1"/>
      <c r="O16" s="1">
        <f t="shared" si="4"/>
        <v>1</v>
      </c>
      <c r="P16" s="1">
        <v>1</v>
      </c>
      <c r="Q16" s="1" t="s">
        <v>19</v>
      </c>
      <c r="R16" s="1" t="s">
        <v>26</v>
      </c>
    </row>
    <row r="17" spans="1:18" x14ac:dyDescent="0.35">
      <c r="A17" s="1" t="s">
        <v>46</v>
      </c>
      <c r="B17" s="1" t="str">
        <f t="shared" si="0"/>
        <v>Female</v>
      </c>
      <c r="C17" s="1" t="s">
        <v>43</v>
      </c>
      <c r="D17" s="1" t="str">
        <f t="shared" si="1"/>
        <v>Yes</v>
      </c>
      <c r="E17" s="1" t="s">
        <v>29</v>
      </c>
      <c r="F17" s="1" t="s">
        <v>16</v>
      </c>
      <c r="G17" s="1" t="s">
        <v>25</v>
      </c>
      <c r="H17" s="1" t="str">
        <f t="shared" si="2"/>
        <v>No</v>
      </c>
      <c r="I17" s="1" t="s">
        <v>36</v>
      </c>
      <c r="J17" s="1">
        <v>10958</v>
      </c>
      <c r="K17" s="1">
        <v>3181</v>
      </c>
      <c r="L17" s="1">
        <v>199</v>
      </c>
      <c r="M17" s="1">
        <f t="shared" si="3"/>
        <v>120</v>
      </c>
      <c r="N17" s="1">
        <v>120</v>
      </c>
      <c r="O17" s="1">
        <f t="shared" si="4"/>
        <v>1</v>
      </c>
      <c r="P17" s="1">
        <v>1</v>
      </c>
      <c r="Q17" s="1" t="s">
        <v>19</v>
      </c>
      <c r="R17" s="1" t="s">
        <v>26</v>
      </c>
    </row>
    <row r="18" spans="1:18" x14ac:dyDescent="0.35">
      <c r="A18" s="1" t="s">
        <v>47</v>
      </c>
      <c r="B18" s="1" t="str">
        <f t="shared" si="0"/>
        <v>Male</v>
      </c>
      <c r="C18" s="1" t="s">
        <v>14</v>
      </c>
      <c r="D18" s="1" t="str">
        <f t="shared" si="1"/>
        <v>Yes</v>
      </c>
      <c r="E18" s="1" t="s">
        <v>29</v>
      </c>
      <c r="F18" s="1" t="s">
        <v>16</v>
      </c>
      <c r="G18" s="1" t="s">
        <v>25</v>
      </c>
      <c r="H18" s="1" t="str">
        <f t="shared" si="2"/>
        <v>No</v>
      </c>
      <c r="I18" s="1"/>
      <c r="J18" s="1">
        <v>7377</v>
      </c>
      <c r="K18" s="1">
        <v>5147</v>
      </c>
      <c r="L18" s="1">
        <v>239</v>
      </c>
      <c r="M18" s="1">
        <f t="shared" si="3"/>
        <v>120</v>
      </c>
      <c r="N18" s="1">
        <v>120</v>
      </c>
      <c r="O18" s="1">
        <f t="shared" si="4"/>
        <v>0</v>
      </c>
      <c r="P18" s="1">
        <v>0</v>
      </c>
      <c r="Q18" s="1" t="s">
        <v>19</v>
      </c>
      <c r="R18" s="1" t="s">
        <v>26</v>
      </c>
    </row>
    <row r="19" spans="1:18" x14ac:dyDescent="0.35">
      <c r="A19" s="1" t="s">
        <v>48</v>
      </c>
      <c r="B19" s="1" t="str">
        <f t="shared" si="0"/>
        <v>Male</v>
      </c>
      <c r="C19" s="1" t="s">
        <v>14</v>
      </c>
      <c r="D19" s="1" t="str">
        <f t="shared" si="1"/>
        <v>No</v>
      </c>
      <c r="E19" s="1"/>
      <c r="F19" s="1">
        <v>2</v>
      </c>
      <c r="G19" s="1" t="s">
        <v>17</v>
      </c>
      <c r="H19" s="1" t="str">
        <f t="shared" si="2"/>
        <v>No</v>
      </c>
      <c r="I19" s="1"/>
      <c r="J19" s="1">
        <v>14269</v>
      </c>
      <c r="K19" s="1">
        <v>2992</v>
      </c>
      <c r="L19" s="1">
        <v>547</v>
      </c>
      <c r="M19" s="1">
        <f t="shared" si="3"/>
        <v>360</v>
      </c>
      <c r="N19" s="1">
        <v>360</v>
      </c>
      <c r="O19" s="1">
        <f t="shared" si="4"/>
        <v>0</v>
      </c>
      <c r="P19" s="1"/>
      <c r="Q19" s="1" t="s">
        <v>41</v>
      </c>
      <c r="R19" s="1" t="s">
        <v>20</v>
      </c>
    </row>
    <row r="20" spans="1:18" x14ac:dyDescent="0.35">
      <c r="A20" s="1" t="s">
        <v>49</v>
      </c>
      <c r="B20" s="1" t="str">
        <f t="shared" si="0"/>
        <v>Male</v>
      </c>
      <c r="C20" s="1" t="s">
        <v>33</v>
      </c>
      <c r="D20" s="1" t="str">
        <f t="shared" si="1"/>
        <v>No</v>
      </c>
      <c r="E20" s="1" t="s">
        <v>22</v>
      </c>
      <c r="F20" s="1" t="s">
        <v>16</v>
      </c>
      <c r="G20" s="1" t="s">
        <v>25</v>
      </c>
      <c r="H20" s="1" t="str">
        <f t="shared" si="2"/>
        <v>No</v>
      </c>
      <c r="I20" s="1"/>
      <c r="J20" s="1">
        <v>10982</v>
      </c>
      <c r="K20" s="1">
        <v>9491</v>
      </c>
      <c r="L20" s="1">
        <v>609</v>
      </c>
      <c r="M20" s="1">
        <f t="shared" si="3"/>
        <v>360</v>
      </c>
      <c r="N20" s="1">
        <v>360</v>
      </c>
      <c r="O20" s="1">
        <f t="shared" si="4"/>
        <v>0</v>
      </c>
      <c r="P20" s="1"/>
      <c r="Q20" s="1" t="s">
        <v>19</v>
      </c>
      <c r="R20" s="1" t="s">
        <v>26</v>
      </c>
    </row>
    <row r="21" spans="1:18" x14ac:dyDescent="0.35">
      <c r="A21" s="1" t="s">
        <v>50</v>
      </c>
      <c r="B21" s="1" t="str">
        <f t="shared" si="0"/>
        <v>Unknown</v>
      </c>
      <c r="C21" s="1"/>
      <c r="D21" s="1" t="str">
        <f t="shared" si="1"/>
        <v>No</v>
      </c>
      <c r="E21" s="1"/>
      <c r="F21" s="1">
        <v>2</v>
      </c>
      <c r="G21" s="1" t="s">
        <v>25</v>
      </c>
      <c r="H21" s="1" t="str">
        <f t="shared" si="2"/>
        <v>No</v>
      </c>
      <c r="I21" s="1" t="s">
        <v>22</v>
      </c>
      <c r="J21" s="1">
        <v>12082</v>
      </c>
      <c r="K21" s="1">
        <v>8735</v>
      </c>
      <c r="L21" s="1">
        <v>145</v>
      </c>
      <c r="M21" s="1">
        <f t="shared" si="3"/>
        <v>120</v>
      </c>
      <c r="N21" s="1">
        <v>120</v>
      </c>
      <c r="O21" s="1">
        <f t="shared" si="4"/>
        <v>0</v>
      </c>
      <c r="P21" s="1"/>
      <c r="Q21" s="1" t="s">
        <v>19</v>
      </c>
      <c r="R21" s="1" t="s">
        <v>20</v>
      </c>
    </row>
    <row r="22" spans="1:18" x14ac:dyDescent="0.35">
      <c r="A22" s="1" t="s">
        <v>51</v>
      </c>
      <c r="B22" s="1" t="str">
        <f t="shared" si="0"/>
        <v>Male</v>
      </c>
      <c r="C22" s="1" t="s">
        <v>52</v>
      </c>
      <c r="D22" s="1" t="str">
        <f t="shared" si="1"/>
        <v>No</v>
      </c>
      <c r="E22" s="1" t="s">
        <v>22</v>
      </c>
      <c r="F22" s="1">
        <v>0</v>
      </c>
      <c r="G22" s="1" t="s">
        <v>25</v>
      </c>
      <c r="H22" s="1" t="str">
        <f t="shared" si="2"/>
        <v>No</v>
      </c>
      <c r="I22" s="1" t="s">
        <v>18</v>
      </c>
      <c r="J22" s="1">
        <v>19383</v>
      </c>
      <c r="K22" s="1">
        <v>433</v>
      </c>
      <c r="L22" s="1">
        <v>259</v>
      </c>
      <c r="M22" s="1">
        <f t="shared" si="3"/>
        <v>360</v>
      </c>
      <c r="N22" s="1"/>
      <c r="O22" s="1">
        <f t="shared" si="4"/>
        <v>1</v>
      </c>
      <c r="P22" s="1">
        <v>1</v>
      </c>
      <c r="Q22" s="1" t="s">
        <v>41</v>
      </c>
      <c r="R22" s="1" t="s">
        <v>20</v>
      </c>
    </row>
    <row r="23" spans="1:18" x14ac:dyDescent="0.35">
      <c r="A23" s="1" t="s">
        <v>53</v>
      </c>
      <c r="B23" s="1" t="str">
        <f t="shared" si="0"/>
        <v>Male</v>
      </c>
      <c r="C23" s="1" t="s">
        <v>14</v>
      </c>
      <c r="D23" s="1" t="str">
        <f t="shared" si="1"/>
        <v>Yes</v>
      </c>
      <c r="E23" s="1" t="s">
        <v>24</v>
      </c>
      <c r="F23" s="1" t="s">
        <v>16</v>
      </c>
      <c r="G23" s="1" t="s">
        <v>25</v>
      </c>
      <c r="H23" s="1" t="str">
        <f t="shared" si="2"/>
        <v>Yes</v>
      </c>
      <c r="I23" s="1" t="s">
        <v>24</v>
      </c>
      <c r="J23" s="1">
        <v>2040</v>
      </c>
      <c r="K23" s="1">
        <v>148</v>
      </c>
      <c r="L23" s="1">
        <v>310</v>
      </c>
      <c r="M23" s="1">
        <f t="shared" si="3"/>
        <v>180</v>
      </c>
      <c r="N23" s="1">
        <v>180</v>
      </c>
      <c r="O23" s="1">
        <f t="shared" si="4"/>
        <v>0</v>
      </c>
      <c r="P23" s="1">
        <v>0</v>
      </c>
      <c r="Q23" s="1" t="s">
        <v>41</v>
      </c>
      <c r="R23" s="1" t="s">
        <v>26</v>
      </c>
    </row>
    <row r="24" spans="1:18" x14ac:dyDescent="0.35">
      <c r="A24" s="1" t="s">
        <v>54</v>
      </c>
      <c r="B24" s="1" t="str">
        <f t="shared" si="0"/>
        <v>Unknown</v>
      </c>
      <c r="C24" s="1"/>
      <c r="D24" s="1" t="str">
        <f t="shared" si="1"/>
        <v>No</v>
      </c>
      <c r="E24" s="1" t="s">
        <v>18</v>
      </c>
      <c r="F24" s="1">
        <v>2</v>
      </c>
      <c r="G24" s="1" t="s">
        <v>17</v>
      </c>
      <c r="H24" s="1" t="str">
        <f t="shared" si="2"/>
        <v>No</v>
      </c>
      <c r="I24" s="1"/>
      <c r="J24" s="1">
        <v>17565</v>
      </c>
      <c r="K24" s="1">
        <v>1029</v>
      </c>
      <c r="L24" s="1">
        <v>316</v>
      </c>
      <c r="M24" s="1">
        <f t="shared" si="3"/>
        <v>360</v>
      </c>
      <c r="N24" s="1">
        <v>360</v>
      </c>
      <c r="O24" s="1">
        <f t="shared" si="4"/>
        <v>1</v>
      </c>
      <c r="P24" s="1">
        <v>1</v>
      </c>
      <c r="Q24" s="1" t="s">
        <v>19</v>
      </c>
      <c r="R24" s="1" t="s">
        <v>26</v>
      </c>
    </row>
    <row r="25" spans="1:18" x14ac:dyDescent="0.35">
      <c r="A25" s="1" t="s">
        <v>55</v>
      </c>
      <c r="B25" s="1" t="str">
        <f t="shared" si="0"/>
        <v>Male</v>
      </c>
      <c r="C25" s="1" t="s">
        <v>52</v>
      </c>
      <c r="D25" s="1" t="str">
        <f t="shared" si="1"/>
        <v>No</v>
      </c>
      <c r="E25" s="1"/>
      <c r="F25" s="1">
        <v>1</v>
      </c>
      <c r="G25" s="1" t="s">
        <v>17</v>
      </c>
      <c r="H25" s="1" t="str">
        <f t="shared" si="2"/>
        <v>No</v>
      </c>
      <c r="I25" s="1"/>
      <c r="J25" s="1">
        <v>7139</v>
      </c>
      <c r="K25" s="1">
        <v>5427</v>
      </c>
      <c r="L25" s="1">
        <v>338</v>
      </c>
      <c r="M25" s="1">
        <f t="shared" si="3"/>
        <v>360</v>
      </c>
      <c r="N25" s="1"/>
      <c r="O25" s="1">
        <f t="shared" si="4"/>
        <v>0</v>
      </c>
      <c r="P25" s="1">
        <v>0</v>
      </c>
      <c r="Q25" s="1" t="s">
        <v>19</v>
      </c>
      <c r="R25" s="1" t="s">
        <v>26</v>
      </c>
    </row>
    <row r="26" spans="1:18" x14ac:dyDescent="0.35">
      <c r="A26" s="1" t="s">
        <v>56</v>
      </c>
      <c r="B26" s="1" t="str">
        <f t="shared" si="0"/>
        <v>Male</v>
      </c>
      <c r="C26" s="1" t="s">
        <v>52</v>
      </c>
      <c r="D26" s="1" t="str">
        <f t="shared" si="1"/>
        <v>No</v>
      </c>
      <c r="E26" s="1" t="s">
        <v>18</v>
      </c>
      <c r="F26" s="1">
        <v>1</v>
      </c>
      <c r="G26" s="1" t="s">
        <v>25</v>
      </c>
      <c r="H26" s="1" t="str">
        <f t="shared" si="2"/>
        <v>No</v>
      </c>
      <c r="I26" s="1" t="s">
        <v>22</v>
      </c>
      <c r="J26" s="1">
        <v>4235</v>
      </c>
      <c r="K26" s="1">
        <v>7396</v>
      </c>
      <c r="L26" s="1">
        <v>314</v>
      </c>
      <c r="M26" s="1">
        <f t="shared" si="3"/>
        <v>120</v>
      </c>
      <c r="N26" s="1">
        <v>120</v>
      </c>
      <c r="O26" s="1">
        <f t="shared" si="4"/>
        <v>0</v>
      </c>
      <c r="P26" s="1"/>
      <c r="Q26" s="1" t="s">
        <v>41</v>
      </c>
      <c r="R26" s="1" t="s">
        <v>20</v>
      </c>
    </row>
    <row r="27" spans="1:18" x14ac:dyDescent="0.35">
      <c r="A27" s="1" t="s">
        <v>57</v>
      </c>
      <c r="B27" s="1" t="str">
        <f t="shared" si="0"/>
        <v>Unknown</v>
      </c>
      <c r="C27" s="1"/>
      <c r="D27" s="1" t="str">
        <f t="shared" si="1"/>
        <v>No</v>
      </c>
      <c r="E27" s="1" t="s">
        <v>36</v>
      </c>
      <c r="F27" s="1">
        <v>2</v>
      </c>
      <c r="G27" s="1" t="s">
        <v>25</v>
      </c>
      <c r="H27" s="1" t="str">
        <f t="shared" si="2"/>
        <v>Yes</v>
      </c>
      <c r="I27" s="1" t="s">
        <v>29</v>
      </c>
      <c r="J27" s="1">
        <v>18290</v>
      </c>
      <c r="K27" s="1">
        <v>7916</v>
      </c>
      <c r="L27" s="1">
        <v>100</v>
      </c>
      <c r="M27" s="1">
        <f t="shared" si="3"/>
        <v>180</v>
      </c>
      <c r="N27" s="1">
        <v>180</v>
      </c>
      <c r="O27" s="1">
        <f t="shared" si="4"/>
        <v>0</v>
      </c>
      <c r="P27" s="1"/>
      <c r="Q27" s="1" t="s">
        <v>30</v>
      </c>
      <c r="R27" s="1" t="s">
        <v>20</v>
      </c>
    </row>
    <row r="28" spans="1:18" x14ac:dyDescent="0.35">
      <c r="A28" s="1" t="s">
        <v>58</v>
      </c>
      <c r="B28" s="1" t="str">
        <f t="shared" si="0"/>
        <v>Unknown</v>
      </c>
      <c r="C28" s="1"/>
      <c r="D28" s="1" t="str">
        <f t="shared" si="1"/>
        <v>Yes</v>
      </c>
      <c r="E28" s="1" t="s">
        <v>15</v>
      </c>
      <c r="F28" s="1">
        <v>1</v>
      </c>
      <c r="G28" s="1" t="s">
        <v>25</v>
      </c>
      <c r="H28" s="1" t="str">
        <f t="shared" si="2"/>
        <v>No</v>
      </c>
      <c r="I28" s="1"/>
      <c r="J28" s="1">
        <v>11432</v>
      </c>
      <c r="K28" s="1">
        <v>4537</v>
      </c>
      <c r="L28" s="1">
        <v>496</v>
      </c>
      <c r="M28" s="1">
        <f t="shared" si="3"/>
        <v>360</v>
      </c>
      <c r="N28" s="1"/>
      <c r="O28" s="1">
        <f t="shared" si="4"/>
        <v>0</v>
      </c>
      <c r="P28" s="1">
        <v>0</v>
      </c>
      <c r="Q28" s="1" t="s">
        <v>19</v>
      </c>
      <c r="R28" s="1" t="s">
        <v>26</v>
      </c>
    </row>
    <row r="29" spans="1:18" x14ac:dyDescent="0.35">
      <c r="A29" s="1" t="s">
        <v>59</v>
      </c>
      <c r="B29" s="1" t="str">
        <f t="shared" si="0"/>
        <v>Unknown</v>
      </c>
      <c r="C29" s="1"/>
      <c r="D29" s="1" t="str">
        <f t="shared" si="1"/>
        <v>No</v>
      </c>
      <c r="E29" s="1"/>
      <c r="F29" s="1" t="s">
        <v>16</v>
      </c>
      <c r="G29" s="1" t="s">
        <v>25</v>
      </c>
      <c r="H29" s="1" t="str">
        <f t="shared" si="2"/>
        <v>Yes</v>
      </c>
      <c r="I29" s="1" t="s">
        <v>29</v>
      </c>
      <c r="J29" s="1">
        <v>12689</v>
      </c>
      <c r="K29" s="1">
        <v>1293</v>
      </c>
      <c r="L29" s="1">
        <v>331</v>
      </c>
      <c r="M29" s="1">
        <f t="shared" si="3"/>
        <v>180</v>
      </c>
      <c r="N29" s="1">
        <v>180</v>
      </c>
      <c r="O29" s="1">
        <f t="shared" si="4"/>
        <v>1</v>
      </c>
      <c r="P29" s="1">
        <v>1</v>
      </c>
      <c r="Q29" s="1" t="s">
        <v>19</v>
      </c>
      <c r="R29" s="1" t="s">
        <v>26</v>
      </c>
    </row>
    <row r="30" spans="1:18" x14ac:dyDescent="0.35">
      <c r="A30" s="1" t="s">
        <v>60</v>
      </c>
      <c r="B30" s="1" t="str">
        <f t="shared" si="0"/>
        <v>Female</v>
      </c>
      <c r="C30" s="1" t="s">
        <v>61</v>
      </c>
      <c r="D30" s="1" t="str">
        <f t="shared" si="1"/>
        <v>Yes</v>
      </c>
      <c r="E30" s="1" t="s">
        <v>15</v>
      </c>
      <c r="F30" s="1" t="s">
        <v>16</v>
      </c>
      <c r="G30" s="1" t="s">
        <v>17</v>
      </c>
      <c r="H30" s="1" t="str">
        <f t="shared" si="2"/>
        <v>No</v>
      </c>
      <c r="I30" s="1"/>
      <c r="J30" s="1">
        <v>19452</v>
      </c>
      <c r="K30" s="1">
        <v>4925</v>
      </c>
      <c r="L30" s="1">
        <v>209</v>
      </c>
      <c r="M30" s="1">
        <f t="shared" si="3"/>
        <v>180</v>
      </c>
      <c r="N30" s="1">
        <v>180</v>
      </c>
      <c r="O30" s="1">
        <f t="shared" si="4"/>
        <v>0</v>
      </c>
      <c r="P30" s="1">
        <v>0</v>
      </c>
      <c r="Q30" s="1" t="s">
        <v>30</v>
      </c>
      <c r="R30" s="1" t="s">
        <v>26</v>
      </c>
    </row>
    <row r="31" spans="1:18" x14ac:dyDescent="0.35">
      <c r="A31" s="1" t="s">
        <v>62</v>
      </c>
      <c r="B31" s="1" t="str">
        <f t="shared" si="0"/>
        <v>Unknown</v>
      </c>
      <c r="C31" s="1"/>
      <c r="D31" s="1" t="str">
        <f t="shared" si="1"/>
        <v>No</v>
      </c>
      <c r="E31" s="1" t="s">
        <v>36</v>
      </c>
      <c r="F31" s="1" t="s">
        <v>16</v>
      </c>
      <c r="G31" s="1" t="s">
        <v>17</v>
      </c>
      <c r="H31" s="1" t="str">
        <f t="shared" si="2"/>
        <v>Yes</v>
      </c>
      <c r="I31" s="1" t="s">
        <v>24</v>
      </c>
      <c r="J31" s="1">
        <v>13457</v>
      </c>
      <c r="K31" s="1">
        <v>7151</v>
      </c>
      <c r="L31" s="1">
        <v>613</v>
      </c>
      <c r="M31" s="1">
        <f t="shared" si="3"/>
        <v>360</v>
      </c>
      <c r="N31" s="1"/>
      <c r="O31" s="1">
        <f t="shared" si="4"/>
        <v>1</v>
      </c>
      <c r="P31" s="1">
        <v>1</v>
      </c>
      <c r="Q31" s="1" t="s">
        <v>30</v>
      </c>
      <c r="R31" s="1" t="s">
        <v>26</v>
      </c>
    </row>
    <row r="32" spans="1:18" x14ac:dyDescent="0.35">
      <c r="A32" s="1" t="s">
        <v>63</v>
      </c>
      <c r="B32" s="1" t="str">
        <f t="shared" si="0"/>
        <v>Female</v>
      </c>
      <c r="C32" s="1" t="s">
        <v>28</v>
      </c>
      <c r="D32" s="1" t="str">
        <f t="shared" si="1"/>
        <v>Yes</v>
      </c>
      <c r="E32" s="1" t="s">
        <v>15</v>
      </c>
      <c r="F32" s="1">
        <v>1</v>
      </c>
      <c r="G32" s="1" t="s">
        <v>17</v>
      </c>
      <c r="H32" s="1" t="str">
        <f t="shared" si="2"/>
        <v>No</v>
      </c>
      <c r="I32" s="1"/>
      <c r="J32" s="1">
        <v>10021</v>
      </c>
      <c r="K32" s="1">
        <v>4440</v>
      </c>
      <c r="L32" s="1">
        <v>186</v>
      </c>
      <c r="M32" s="1">
        <f t="shared" si="3"/>
        <v>180</v>
      </c>
      <c r="N32" s="1">
        <v>180</v>
      </c>
      <c r="O32" s="1">
        <f t="shared" si="4"/>
        <v>1</v>
      </c>
      <c r="P32" s="1">
        <v>1</v>
      </c>
      <c r="Q32" s="1" t="s">
        <v>30</v>
      </c>
      <c r="R32" s="1" t="s">
        <v>26</v>
      </c>
    </row>
    <row r="33" spans="1:18" x14ac:dyDescent="0.35">
      <c r="A33" s="1" t="s">
        <v>64</v>
      </c>
      <c r="B33" s="1" t="str">
        <f t="shared" si="0"/>
        <v>Male</v>
      </c>
      <c r="C33" s="1" t="s">
        <v>33</v>
      </c>
      <c r="D33" s="1" t="str">
        <f t="shared" si="1"/>
        <v>No</v>
      </c>
      <c r="E33" s="1"/>
      <c r="F33" s="1">
        <v>1</v>
      </c>
      <c r="G33" s="1" t="s">
        <v>17</v>
      </c>
      <c r="H33" s="1" t="str">
        <f t="shared" si="2"/>
        <v>Yes</v>
      </c>
      <c r="I33" s="1" t="s">
        <v>24</v>
      </c>
      <c r="J33" s="1">
        <v>3342</v>
      </c>
      <c r="K33" s="1">
        <v>1081</v>
      </c>
      <c r="L33" s="1">
        <v>665</v>
      </c>
      <c r="M33" s="1">
        <f t="shared" si="3"/>
        <v>360</v>
      </c>
      <c r="N33" s="1"/>
      <c r="O33" s="1">
        <f t="shared" si="4"/>
        <v>0</v>
      </c>
      <c r="P33" s="1"/>
      <c r="Q33" s="1" t="s">
        <v>19</v>
      </c>
      <c r="R33" s="1" t="s">
        <v>20</v>
      </c>
    </row>
    <row r="34" spans="1:18" x14ac:dyDescent="0.35">
      <c r="A34" s="1" t="s">
        <v>65</v>
      </c>
      <c r="B34" s="1" t="str">
        <f t="shared" si="0"/>
        <v>Female</v>
      </c>
      <c r="C34" s="1" t="s">
        <v>43</v>
      </c>
      <c r="D34" s="1" t="str">
        <f t="shared" si="1"/>
        <v>Yes</v>
      </c>
      <c r="E34" s="1" t="s">
        <v>15</v>
      </c>
      <c r="F34" s="1">
        <v>1</v>
      </c>
      <c r="G34" s="1" t="s">
        <v>25</v>
      </c>
      <c r="H34" s="1" t="str">
        <f t="shared" si="2"/>
        <v>No</v>
      </c>
      <c r="I34" s="1" t="s">
        <v>22</v>
      </c>
      <c r="J34" s="1">
        <v>6132</v>
      </c>
      <c r="K34" s="1">
        <v>3793</v>
      </c>
      <c r="L34" s="1">
        <v>133</v>
      </c>
      <c r="M34" s="1">
        <f t="shared" si="3"/>
        <v>360</v>
      </c>
      <c r="N34" s="1">
        <v>360</v>
      </c>
      <c r="O34" s="1">
        <f t="shared" si="4"/>
        <v>1</v>
      </c>
      <c r="P34" s="1">
        <v>1</v>
      </c>
      <c r="Q34" s="1" t="s">
        <v>41</v>
      </c>
      <c r="R34" s="1" t="s">
        <v>26</v>
      </c>
    </row>
    <row r="35" spans="1:18" x14ac:dyDescent="0.35">
      <c r="A35" s="1" t="s">
        <v>66</v>
      </c>
      <c r="B35" s="1" t="str">
        <f t="shared" si="0"/>
        <v>Female</v>
      </c>
      <c r="C35" s="1" t="s">
        <v>28</v>
      </c>
      <c r="D35" s="1" t="str">
        <f t="shared" si="1"/>
        <v>No</v>
      </c>
      <c r="E35" s="1"/>
      <c r="F35" s="1">
        <v>2</v>
      </c>
      <c r="G35" s="1" t="s">
        <v>17</v>
      </c>
      <c r="H35" s="1" t="str">
        <f t="shared" si="2"/>
        <v>No</v>
      </c>
      <c r="I35" s="1" t="s">
        <v>22</v>
      </c>
      <c r="J35" s="1">
        <v>15503</v>
      </c>
      <c r="K35" s="1">
        <v>3603</v>
      </c>
      <c r="L35" s="1">
        <v>83</v>
      </c>
      <c r="M35" s="1">
        <f t="shared" si="3"/>
        <v>180</v>
      </c>
      <c r="N35" s="1">
        <v>180</v>
      </c>
      <c r="O35" s="1">
        <f t="shared" si="4"/>
        <v>0</v>
      </c>
      <c r="P35" s="1"/>
      <c r="Q35" s="1" t="s">
        <v>19</v>
      </c>
      <c r="R35" s="1" t="s">
        <v>26</v>
      </c>
    </row>
    <row r="36" spans="1:18" x14ac:dyDescent="0.35">
      <c r="A36" s="1" t="s">
        <v>67</v>
      </c>
      <c r="B36" s="1" t="str">
        <f t="shared" si="0"/>
        <v>Female</v>
      </c>
      <c r="C36" s="1" t="s">
        <v>43</v>
      </c>
      <c r="D36" s="1" t="str">
        <f t="shared" si="1"/>
        <v>Yes</v>
      </c>
      <c r="E36" s="1" t="s">
        <v>24</v>
      </c>
      <c r="F36" s="1">
        <v>0</v>
      </c>
      <c r="G36" s="1" t="s">
        <v>25</v>
      </c>
      <c r="H36" s="1" t="str">
        <f t="shared" si="2"/>
        <v>No</v>
      </c>
      <c r="I36" s="1" t="s">
        <v>18</v>
      </c>
      <c r="J36" s="1">
        <v>6460</v>
      </c>
      <c r="K36" s="1">
        <v>3341</v>
      </c>
      <c r="L36" s="1">
        <v>116</v>
      </c>
      <c r="M36" s="1">
        <f t="shared" si="3"/>
        <v>360</v>
      </c>
      <c r="N36" s="1"/>
      <c r="O36" s="1">
        <f t="shared" si="4"/>
        <v>1</v>
      </c>
      <c r="P36" s="1">
        <v>1</v>
      </c>
      <c r="Q36" s="1" t="s">
        <v>30</v>
      </c>
      <c r="R36" s="1" t="s">
        <v>26</v>
      </c>
    </row>
    <row r="37" spans="1:18" x14ac:dyDescent="0.35">
      <c r="A37" s="1" t="s">
        <v>68</v>
      </c>
      <c r="B37" s="1" t="str">
        <f t="shared" si="0"/>
        <v>Unknown</v>
      </c>
      <c r="C37" s="1"/>
      <c r="D37" s="1" t="str">
        <f t="shared" si="1"/>
        <v>Yes</v>
      </c>
      <c r="E37" s="1" t="s">
        <v>24</v>
      </c>
      <c r="F37" s="1">
        <v>2</v>
      </c>
      <c r="G37" s="1" t="s">
        <v>17</v>
      </c>
      <c r="H37" s="1" t="str">
        <f t="shared" si="2"/>
        <v>No</v>
      </c>
      <c r="I37" s="1" t="s">
        <v>18</v>
      </c>
      <c r="J37" s="1">
        <v>17702</v>
      </c>
      <c r="K37" s="1">
        <v>8789</v>
      </c>
      <c r="L37" s="1">
        <v>671</v>
      </c>
      <c r="M37" s="1">
        <f t="shared" si="3"/>
        <v>360</v>
      </c>
      <c r="N37" s="1"/>
      <c r="O37" s="1">
        <f t="shared" si="4"/>
        <v>0</v>
      </c>
      <c r="P37" s="1">
        <v>0</v>
      </c>
      <c r="Q37" s="1" t="s">
        <v>41</v>
      </c>
      <c r="R37" s="1" t="s">
        <v>26</v>
      </c>
    </row>
    <row r="38" spans="1:18" x14ac:dyDescent="0.35">
      <c r="A38" s="1" t="s">
        <v>69</v>
      </c>
      <c r="B38" s="1" t="str">
        <f t="shared" si="0"/>
        <v>Female</v>
      </c>
      <c r="C38" s="1" t="s">
        <v>43</v>
      </c>
      <c r="D38" s="1" t="str">
        <f t="shared" si="1"/>
        <v>Yes</v>
      </c>
      <c r="E38" s="1" t="s">
        <v>24</v>
      </c>
      <c r="F38" s="1">
        <v>2</v>
      </c>
      <c r="G38" s="1" t="s">
        <v>17</v>
      </c>
      <c r="H38" s="1" t="str">
        <f t="shared" si="2"/>
        <v>No</v>
      </c>
      <c r="I38" s="1"/>
      <c r="J38" s="1">
        <v>7290</v>
      </c>
      <c r="K38" s="1">
        <v>2503</v>
      </c>
      <c r="L38" s="1">
        <v>614</v>
      </c>
      <c r="M38" s="1">
        <f t="shared" si="3"/>
        <v>180</v>
      </c>
      <c r="N38" s="1">
        <v>180</v>
      </c>
      <c r="O38" s="1">
        <f t="shared" si="4"/>
        <v>0</v>
      </c>
      <c r="P38" s="1">
        <v>0</v>
      </c>
      <c r="Q38" s="1" t="s">
        <v>19</v>
      </c>
      <c r="R38" s="1" t="s">
        <v>26</v>
      </c>
    </row>
    <row r="39" spans="1:18" x14ac:dyDescent="0.35">
      <c r="A39" s="1" t="s">
        <v>70</v>
      </c>
      <c r="B39" s="1" t="str">
        <f t="shared" si="0"/>
        <v>Female</v>
      </c>
      <c r="C39" s="1" t="s">
        <v>61</v>
      </c>
      <c r="D39" s="1" t="str">
        <f t="shared" si="1"/>
        <v>No</v>
      </c>
      <c r="E39" s="1" t="s">
        <v>36</v>
      </c>
      <c r="F39" s="1">
        <v>0</v>
      </c>
      <c r="G39" s="1" t="s">
        <v>25</v>
      </c>
      <c r="H39" s="1" t="str">
        <f t="shared" si="2"/>
        <v>Yes</v>
      </c>
      <c r="I39" s="1" t="s">
        <v>24</v>
      </c>
      <c r="J39" s="1">
        <v>6857</v>
      </c>
      <c r="K39" s="1">
        <v>8833</v>
      </c>
      <c r="L39" s="1">
        <v>540</v>
      </c>
      <c r="M39" s="1">
        <f t="shared" si="3"/>
        <v>360</v>
      </c>
      <c r="N39" s="1"/>
      <c r="O39" s="1">
        <f t="shared" si="4"/>
        <v>0</v>
      </c>
      <c r="P39" s="1"/>
      <c r="Q39" s="1" t="s">
        <v>30</v>
      </c>
      <c r="R39" s="1" t="s">
        <v>26</v>
      </c>
    </row>
    <row r="40" spans="1:18" x14ac:dyDescent="0.35">
      <c r="A40" s="1" t="s">
        <v>71</v>
      </c>
      <c r="B40" s="1" t="str">
        <f t="shared" si="0"/>
        <v>Female</v>
      </c>
      <c r="C40" s="1" t="s">
        <v>61</v>
      </c>
      <c r="D40" s="1" t="str">
        <f t="shared" si="1"/>
        <v>No</v>
      </c>
      <c r="E40" s="1"/>
      <c r="F40" s="1">
        <v>0</v>
      </c>
      <c r="G40" s="1" t="s">
        <v>25</v>
      </c>
      <c r="H40" s="1" t="str">
        <f t="shared" si="2"/>
        <v>No</v>
      </c>
      <c r="I40" s="1" t="s">
        <v>22</v>
      </c>
      <c r="J40" s="1">
        <v>5887</v>
      </c>
      <c r="K40" s="1">
        <v>478</v>
      </c>
      <c r="L40" s="1">
        <v>318</v>
      </c>
      <c r="M40" s="1">
        <f t="shared" si="3"/>
        <v>360</v>
      </c>
      <c r="N40" s="1"/>
      <c r="O40" s="1">
        <f t="shared" si="4"/>
        <v>0</v>
      </c>
      <c r="P40" s="1">
        <v>0</v>
      </c>
      <c r="Q40" s="1" t="s">
        <v>19</v>
      </c>
      <c r="R40" s="1" t="s">
        <v>26</v>
      </c>
    </row>
    <row r="41" spans="1:18" x14ac:dyDescent="0.35">
      <c r="A41" s="1" t="s">
        <v>72</v>
      </c>
      <c r="B41" s="1" t="str">
        <f t="shared" si="0"/>
        <v>Male</v>
      </c>
      <c r="C41" s="1" t="s">
        <v>33</v>
      </c>
      <c r="D41" s="1" t="str">
        <f t="shared" si="1"/>
        <v>No</v>
      </c>
      <c r="E41" s="1" t="s">
        <v>36</v>
      </c>
      <c r="F41" s="1">
        <v>1</v>
      </c>
      <c r="G41" s="1" t="s">
        <v>25</v>
      </c>
      <c r="H41" s="1" t="str">
        <f t="shared" si="2"/>
        <v>No</v>
      </c>
      <c r="I41" s="1"/>
      <c r="J41" s="1">
        <v>6407</v>
      </c>
      <c r="K41" s="1">
        <v>7475</v>
      </c>
      <c r="L41" s="1">
        <v>55</v>
      </c>
      <c r="M41" s="1">
        <f t="shared" si="3"/>
        <v>180</v>
      </c>
      <c r="N41" s="1">
        <v>180</v>
      </c>
      <c r="O41" s="1">
        <f t="shared" si="4"/>
        <v>0</v>
      </c>
      <c r="P41" s="1"/>
      <c r="Q41" s="1" t="s">
        <v>30</v>
      </c>
      <c r="R41" s="1" t="s">
        <v>20</v>
      </c>
    </row>
    <row r="42" spans="1:18" x14ac:dyDescent="0.35">
      <c r="A42" s="1" t="s">
        <v>73</v>
      </c>
      <c r="B42" s="1" t="str">
        <f t="shared" si="0"/>
        <v>Male</v>
      </c>
      <c r="C42" s="1" t="s">
        <v>33</v>
      </c>
      <c r="D42" s="1" t="str">
        <f t="shared" si="1"/>
        <v>No</v>
      </c>
      <c r="E42" s="1"/>
      <c r="F42" s="1">
        <v>1</v>
      </c>
      <c r="G42" s="1" t="s">
        <v>17</v>
      </c>
      <c r="H42" s="1" t="str">
        <f t="shared" si="2"/>
        <v>Yes</v>
      </c>
      <c r="I42" s="1" t="s">
        <v>29</v>
      </c>
      <c r="J42" s="1">
        <v>11645</v>
      </c>
      <c r="K42" s="1">
        <v>964</v>
      </c>
      <c r="L42" s="1">
        <v>309</v>
      </c>
      <c r="M42" s="1">
        <f t="shared" si="3"/>
        <v>360</v>
      </c>
      <c r="N42" s="1">
        <v>360</v>
      </c>
      <c r="O42" s="1">
        <f t="shared" si="4"/>
        <v>0</v>
      </c>
      <c r="P42" s="1">
        <v>0</v>
      </c>
      <c r="Q42" s="1" t="s">
        <v>41</v>
      </c>
      <c r="R42" s="1" t="s">
        <v>20</v>
      </c>
    </row>
    <row r="43" spans="1:18" x14ac:dyDescent="0.35">
      <c r="A43" s="1" t="s">
        <v>74</v>
      </c>
      <c r="B43" s="1" t="str">
        <f t="shared" si="0"/>
        <v>Male</v>
      </c>
      <c r="C43" s="1" t="s">
        <v>52</v>
      </c>
      <c r="D43" s="1" t="str">
        <f t="shared" si="1"/>
        <v>No</v>
      </c>
      <c r="E43" s="1" t="s">
        <v>18</v>
      </c>
      <c r="F43" s="1">
        <v>1</v>
      </c>
      <c r="G43" s="1" t="s">
        <v>25</v>
      </c>
      <c r="H43" s="1" t="str">
        <f t="shared" si="2"/>
        <v>No</v>
      </c>
      <c r="I43" s="1" t="s">
        <v>36</v>
      </c>
      <c r="J43" s="1">
        <v>11026</v>
      </c>
      <c r="K43" s="1">
        <v>9618</v>
      </c>
      <c r="L43" s="1">
        <v>274</v>
      </c>
      <c r="M43" s="1">
        <f t="shared" si="3"/>
        <v>180</v>
      </c>
      <c r="N43" s="1">
        <v>180</v>
      </c>
      <c r="O43" s="1">
        <f t="shared" si="4"/>
        <v>0</v>
      </c>
      <c r="P43" s="1"/>
      <c r="Q43" s="1" t="s">
        <v>41</v>
      </c>
      <c r="R43" s="1" t="s">
        <v>26</v>
      </c>
    </row>
    <row r="44" spans="1:18" x14ac:dyDescent="0.35">
      <c r="A44" s="1" t="s">
        <v>75</v>
      </c>
      <c r="B44" s="1" t="str">
        <f t="shared" si="0"/>
        <v>Female</v>
      </c>
      <c r="C44" s="1" t="s">
        <v>28</v>
      </c>
      <c r="D44" s="1" t="str">
        <f t="shared" si="1"/>
        <v>No</v>
      </c>
      <c r="E44" s="1" t="s">
        <v>36</v>
      </c>
      <c r="F44" s="1" t="s">
        <v>16</v>
      </c>
      <c r="G44" s="1" t="s">
        <v>25</v>
      </c>
      <c r="H44" s="1" t="str">
        <f t="shared" si="2"/>
        <v>No</v>
      </c>
      <c r="I44" s="1"/>
      <c r="J44" s="1">
        <v>5531</v>
      </c>
      <c r="K44" s="1">
        <v>2701</v>
      </c>
      <c r="L44" s="1">
        <v>463</v>
      </c>
      <c r="M44" s="1">
        <f t="shared" si="3"/>
        <v>120</v>
      </c>
      <c r="N44" s="1">
        <v>120</v>
      </c>
      <c r="O44" s="1">
        <f t="shared" si="4"/>
        <v>1</v>
      </c>
      <c r="P44" s="1">
        <v>1</v>
      </c>
      <c r="Q44" s="1" t="s">
        <v>30</v>
      </c>
      <c r="R44" s="1" t="s">
        <v>26</v>
      </c>
    </row>
    <row r="45" spans="1:18" x14ac:dyDescent="0.35">
      <c r="A45" s="1" t="s">
        <v>76</v>
      </c>
      <c r="B45" s="1" t="str">
        <f t="shared" si="0"/>
        <v>Female</v>
      </c>
      <c r="C45" s="1" t="s">
        <v>43</v>
      </c>
      <c r="D45" s="1" t="str">
        <f t="shared" si="1"/>
        <v>Yes</v>
      </c>
      <c r="E45" s="1" t="s">
        <v>29</v>
      </c>
      <c r="F45" s="1">
        <v>0</v>
      </c>
      <c r="G45" s="1" t="s">
        <v>17</v>
      </c>
      <c r="H45" s="1" t="str">
        <f t="shared" si="2"/>
        <v>No</v>
      </c>
      <c r="I45" s="1" t="s">
        <v>18</v>
      </c>
      <c r="J45" s="1">
        <v>11974</v>
      </c>
      <c r="K45" s="1">
        <v>5499</v>
      </c>
      <c r="L45" s="1">
        <v>269</v>
      </c>
      <c r="M45" s="1">
        <f t="shared" si="3"/>
        <v>360</v>
      </c>
      <c r="N45" s="1"/>
      <c r="O45" s="1">
        <f t="shared" si="4"/>
        <v>0</v>
      </c>
      <c r="P45" s="1"/>
      <c r="Q45" s="1" t="s">
        <v>30</v>
      </c>
      <c r="R45" s="1" t="s">
        <v>20</v>
      </c>
    </row>
    <row r="46" spans="1:18" x14ac:dyDescent="0.35">
      <c r="A46" s="1" t="s">
        <v>77</v>
      </c>
      <c r="B46" s="1" t="str">
        <f t="shared" si="0"/>
        <v>Unknown</v>
      </c>
      <c r="C46" s="1"/>
      <c r="D46" s="1" t="str">
        <f t="shared" si="1"/>
        <v>No</v>
      </c>
      <c r="E46" s="1"/>
      <c r="F46" s="1">
        <v>2</v>
      </c>
      <c r="G46" s="1" t="s">
        <v>17</v>
      </c>
      <c r="H46" s="1" t="str">
        <f t="shared" si="2"/>
        <v>No</v>
      </c>
      <c r="I46" s="1"/>
      <c r="J46" s="1">
        <v>4069</v>
      </c>
      <c r="K46" s="1">
        <v>7868</v>
      </c>
      <c r="L46" s="1">
        <v>301</v>
      </c>
      <c r="M46" s="1">
        <f t="shared" si="3"/>
        <v>180</v>
      </c>
      <c r="N46" s="1">
        <v>180</v>
      </c>
      <c r="O46" s="1">
        <f t="shared" si="4"/>
        <v>0</v>
      </c>
      <c r="P46" s="1">
        <v>0</v>
      </c>
      <c r="Q46" s="1" t="s">
        <v>41</v>
      </c>
      <c r="R46" s="1" t="s">
        <v>26</v>
      </c>
    </row>
    <row r="47" spans="1:18" x14ac:dyDescent="0.35">
      <c r="A47" s="1" t="s">
        <v>78</v>
      </c>
      <c r="B47" s="1" t="str">
        <f t="shared" si="0"/>
        <v>Unknown</v>
      </c>
      <c r="C47" s="1"/>
      <c r="D47" s="1" t="str">
        <f t="shared" si="1"/>
        <v>Yes</v>
      </c>
      <c r="E47" s="1" t="s">
        <v>24</v>
      </c>
      <c r="F47" s="1">
        <v>2</v>
      </c>
      <c r="G47" s="1" t="s">
        <v>25</v>
      </c>
      <c r="H47" s="1" t="str">
        <f t="shared" si="2"/>
        <v>No</v>
      </c>
      <c r="I47" s="1"/>
      <c r="J47" s="1">
        <v>12899</v>
      </c>
      <c r="K47" s="1">
        <v>588</v>
      </c>
      <c r="L47" s="1">
        <v>273</v>
      </c>
      <c r="M47" s="1">
        <f t="shared" si="3"/>
        <v>360</v>
      </c>
      <c r="N47" s="1"/>
      <c r="O47" s="1">
        <f t="shared" si="4"/>
        <v>0</v>
      </c>
      <c r="P47" s="1"/>
      <c r="Q47" s="1" t="s">
        <v>30</v>
      </c>
      <c r="R47" s="1" t="s">
        <v>26</v>
      </c>
    </row>
    <row r="48" spans="1:18" x14ac:dyDescent="0.35">
      <c r="A48" s="1" t="s">
        <v>79</v>
      </c>
      <c r="B48" s="1" t="str">
        <f t="shared" si="0"/>
        <v>Unknown</v>
      </c>
      <c r="C48" s="1"/>
      <c r="D48" s="1" t="str">
        <f t="shared" si="1"/>
        <v>No</v>
      </c>
      <c r="E48" s="1" t="s">
        <v>22</v>
      </c>
      <c r="F48" s="1">
        <v>1</v>
      </c>
      <c r="G48" s="1" t="s">
        <v>25</v>
      </c>
      <c r="H48" s="1" t="str">
        <f t="shared" si="2"/>
        <v>No</v>
      </c>
      <c r="I48" s="1" t="s">
        <v>36</v>
      </c>
      <c r="J48" s="1">
        <v>6959</v>
      </c>
      <c r="K48" s="1">
        <v>7510</v>
      </c>
      <c r="L48" s="1">
        <v>497</v>
      </c>
      <c r="M48" s="1">
        <f t="shared" si="3"/>
        <v>120</v>
      </c>
      <c r="N48" s="1">
        <v>120</v>
      </c>
      <c r="O48" s="1">
        <f t="shared" si="4"/>
        <v>0</v>
      </c>
      <c r="P48" s="1"/>
      <c r="Q48" s="1" t="s">
        <v>19</v>
      </c>
      <c r="R48" s="1" t="s">
        <v>26</v>
      </c>
    </row>
    <row r="49" spans="1:18" x14ac:dyDescent="0.35">
      <c r="A49" s="1" t="s">
        <v>80</v>
      </c>
      <c r="B49" s="1" t="str">
        <f t="shared" si="0"/>
        <v>Unknown</v>
      </c>
      <c r="C49" s="1"/>
      <c r="D49" s="1" t="str">
        <f t="shared" si="1"/>
        <v>Yes</v>
      </c>
      <c r="E49" s="1" t="s">
        <v>29</v>
      </c>
      <c r="F49" s="1">
        <v>1</v>
      </c>
      <c r="G49" s="1" t="s">
        <v>17</v>
      </c>
      <c r="H49" s="1" t="str">
        <f t="shared" si="2"/>
        <v>Yes</v>
      </c>
      <c r="I49" s="1" t="s">
        <v>29</v>
      </c>
      <c r="J49" s="1">
        <v>16147</v>
      </c>
      <c r="K49" s="1">
        <v>4332</v>
      </c>
      <c r="L49" s="1">
        <v>517</v>
      </c>
      <c r="M49" s="1">
        <f t="shared" si="3"/>
        <v>180</v>
      </c>
      <c r="N49" s="1">
        <v>180</v>
      </c>
      <c r="O49" s="1">
        <f t="shared" si="4"/>
        <v>1</v>
      </c>
      <c r="P49" s="1">
        <v>1</v>
      </c>
      <c r="Q49" s="1" t="s">
        <v>19</v>
      </c>
      <c r="R49" s="1" t="s">
        <v>20</v>
      </c>
    </row>
    <row r="50" spans="1:18" x14ac:dyDescent="0.35">
      <c r="A50" s="1" t="s">
        <v>81</v>
      </c>
      <c r="B50" s="1" t="str">
        <f t="shared" si="0"/>
        <v>Unknown</v>
      </c>
      <c r="C50" s="1"/>
      <c r="D50" s="1" t="str">
        <f t="shared" si="1"/>
        <v>No</v>
      </c>
      <c r="E50" s="1" t="s">
        <v>22</v>
      </c>
      <c r="F50" s="1">
        <v>2</v>
      </c>
      <c r="G50" s="1" t="s">
        <v>17</v>
      </c>
      <c r="H50" s="1" t="str">
        <f t="shared" si="2"/>
        <v>No</v>
      </c>
      <c r="I50" s="1" t="s">
        <v>36</v>
      </c>
      <c r="J50" s="1">
        <v>13257</v>
      </c>
      <c r="K50" s="1">
        <v>8030</v>
      </c>
      <c r="L50" s="1">
        <v>376</v>
      </c>
      <c r="M50" s="1">
        <f t="shared" si="3"/>
        <v>360</v>
      </c>
      <c r="N50" s="1">
        <v>360</v>
      </c>
      <c r="O50" s="1">
        <f t="shared" si="4"/>
        <v>0</v>
      </c>
      <c r="P50" s="1">
        <v>0</v>
      </c>
      <c r="Q50" s="1" t="s">
        <v>30</v>
      </c>
      <c r="R50" s="1" t="s">
        <v>20</v>
      </c>
    </row>
    <row r="51" spans="1:18" x14ac:dyDescent="0.35">
      <c r="A51" s="1" t="s">
        <v>82</v>
      </c>
      <c r="B51" s="1" t="str">
        <f t="shared" si="0"/>
        <v>Male</v>
      </c>
      <c r="C51" s="1" t="s">
        <v>14</v>
      </c>
      <c r="D51" s="1" t="str">
        <f t="shared" si="1"/>
        <v>Yes</v>
      </c>
      <c r="E51" s="1" t="s">
        <v>15</v>
      </c>
      <c r="F51" s="1">
        <v>2</v>
      </c>
      <c r="G51" s="1" t="s">
        <v>17</v>
      </c>
      <c r="H51" s="1" t="str">
        <f t="shared" si="2"/>
        <v>No</v>
      </c>
      <c r="I51" s="1" t="s">
        <v>22</v>
      </c>
      <c r="J51" s="1">
        <v>2903</v>
      </c>
      <c r="K51" s="1">
        <v>3262</v>
      </c>
      <c r="L51" s="1">
        <v>116</v>
      </c>
      <c r="M51" s="1">
        <f t="shared" si="3"/>
        <v>360</v>
      </c>
      <c r="N51" s="1"/>
      <c r="O51" s="1">
        <f t="shared" si="4"/>
        <v>1</v>
      </c>
      <c r="P51" s="1">
        <v>1</v>
      </c>
      <c r="Q51" s="1" t="s">
        <v>19</v>
      </c>
      <c r="R51" s="1" t="s">
        <v>26</v>
      </c>
    </row>
    <row r="52" spans="1:18" x14ac:dyDescent="0.35">
      <c r="A52" s="1" t="s">
        <v>83</v>
      </c>
      <c r="B52" s="1" t="str">
        <f t="shared" si="0"/>
        <v>Unknown</v>
      </c>
      <c r="C52" s="1"/>
      <c r="D52" s="1" t="str">
        <f t="shared" si="1"/>
        <v>No</v>
      </c>
      <c r="E52" s="1" t="s">
        <v>36</v>
      </c>
      <c r="F52" s="1">
        <v>1</v>
      </c>
      <c r="G52" s="1" t="s">
        <v>17</v>
      </c>
      <c r="H52" s="1" t="str">
        <f t="shared" si="2"/>
        <v>Yes</v>
      </c>
      <c r="I52" s="1" t="s">
        <v>29</v>
      </c>
      <c r="J52" s="1">
        <v>17171</v>
      </c>
      <c r="K52" s="1">
        <v>9872</v>
      </c>
      <c r="L52" s="1">
        <v>651</v>
      </c>
      <c r="M52" s="1">
        <f t="shared" si="3"/>
        <v>360</v>
      </c>
      <c r="N52" s="1">
        <v>360</v>
      </c>
      <c r="O52" s="1">
        <f t="shared" si="4"/>
        <v>0</v>
      </c>
      <c r="P52" s="1"/>
      <c r="Q52" s="1" t="s">
        <v>41</v>
      </c>
      <c r="R52" s="1" t="s">
        <v>26</v>
      </c>
    </row>
    <row r="53" spans="1:18" x14ac:dyDescent="0.35">
      <c r="A53" s="1" t="s">
        <v>84</v>
      </c>
      <c r="B53" s="1" t="str">
        <f t="shared" si="0"/>
        <v>Female</v>
      </c>
      <c r="C53" s="1" t="s">
        <v>61</v>
      </c>
      <c r="D53" s="1" t="str">
        <f t="shared" si="1"/>
        <v>No</v>
      </c>
      <c r="E53" s="1" t="s">
        <v>18</v>
      </c>
      <c r="F53" s="1">
        <v>0</v>
      </c>
      <c r="G53" s="1" t="s">
        <v>25</v>
      </c>
      <c r="H53" s="1" t="str">
        <f t="shared" si="2"/>
        <v>No</v>
      </c>
      <c r="I53" s="1"/>
      <c r="J53" s="1">
        <v>5276</v>
      </c>
      <c r="K53" s="1">
        <v>5607</v>
      </c>
      <c r="L53" s="1">
        <v>85</v>
      </c>
      <c r="M53" s="1">
        <f t="shared" si="3"/>
        <v>360</v>
      </c>
      <c r="N53" s="1"/>
      <c r="O53" s="1">
        <f t="shared" si="4"/>
        <v>0</v>
      </c>
      <c r="P53" s="1">
        <v>0</v>
      </c>
      <c r="Q53" s="1" t="s">
        <v>30</v>
      </c>
      <c r="R53" s="1" t="s">
        <v>20</v>
      </c>
    </row>
    <row r="54" spans="1:18" x14ac:dyDescent="0.35">
      <c r="A54" s="1" t="s">
        <v>85</v>
      </c>
      <c r="B54" s="1" t="str">
        <f t="shared" si="0"/>
        <v>Female</v>
      </c>
      <c r="C54" s="1" t="s">
        <v>28</v>
      </c>
      <c r="D54" s="1" t="str">
        <f t="shared" si="1"/>
        <v>No</v>
      </c>
      <c r="E54" s="1"/>
      <c r="F54" s="1">
        <v>0</v>
      </c>
      <c r="G54" s="1" t="s">
        <v>17</v>
      </c>
      <c r="H54" s="1" t="str">
        <f t="shared" si="2"/>
        <v>Yes</v>
      </c>
      <c r="I54" s="1" t="s">
        <v>29</v>
      </c>
      <c r="J54" s="1">
        <v>19013</v>
      </c>
      <c r="K54" s="1">
        <v>8916</v>
      </c>
      <c r="L54" s="1">
        <v>442</v>
      </c>
      <c r="M54" s="1">
        <f t="shared" si="3"/>
        <v>360</v>
      </c>
      <c r="N54" s="1"/>
      <c r="O54" s="1">
        <f t="shared" si="4"/>
        <v>1</v>
      </c>
      <c r="P54" s="1">
        <v>1</v>
      </c>
      <c r="Q54" s="1" t="s">
        <v>41</v>
      </c>
      <c r="R54" s="1" t="s">
        <v>26</v>
      </c>
    </row>
    <row r="55" spans="1:18" x14ac:dyDescent="0.35">
      <c r="A55" s="1" t="s">
        <v>86</v>
      </c>
      <c r="B55" s="1" t="str">
        <f t="shared" si="0"/>
        <v>Unknown</v>
      </c>
      <c r="C55" s="1"/>
      <c r="D55" s="1" t="str">
        <f t="shared" si="1"/>
        <v>No</v>
      </c>
      <c r="E55" s="1" t="s">
        <v>36</v>
      </c>
      <c r="F55" s="1" t="s">
        <v>16</v>
      </c>
      <c r="G55" s="1" t="s">
        <v>25</v>
      </c>
      <c r="H55" s="1" t="str">
        <f t="shared" si="2"/>
        <v>No</v>
      </c>
      <c r="I55" s="1" t="s">
        <v>36</v>
      </c>
      <c r="J55" s="1">
        <v>9989</v>
      </c>
      <c r="K55" s="1">
        <v>5013</v>
      </c>
      <c r="L55" s="1">
        <v>310</v>
      </c>
      <c r="M55" s="1">
        <f t="shared" si="3"/>
        <v>180</v>
      </c>
      <c r="N55" s="1">
        <v>180</v>
      </c>
      <c r="O55" s="1">
        <f t="shared" si="4"/>
        <v>0</v>
      </c>
      <c r="P55" s="1"/>
      <c r="Q55" s="1" t="s">
        <v>19</v>
      </c>
      <c r="R55" s="1" t="s">
        <v>20</v>
      </c>
    </row>
    <row r="56" spans="1:18" x14ac:dyDescent="0.35">
      <c r="A56" s="1" t="s">
        <v>87</v>
      </c>
      <c r="B56" s="1" t="str">
        <f t="shared" si="0"/>
        <v>Male</v>
      </c>
      <c r="C56" s="1" t="s">
        <v>14</v>
      </c>
      <c r="D56" s="1" t="str">
        <f t="shared" si="1"/>
        <v>No</v>
      </c>
      <c r="E56" s="1"/>
      <c r="F56" s="1">
        <v>0</v>
      </c>
      <c r="G56" s="1" t="s">
        <v>25</v>
      </c>
      <c r="H56" s="1" t="str">
        <f t="shared" si="2"/>
        <v>Yes</v>
      </c>
      <c r="I56" s="1" t="s">
        <v>29</v>
      </c>
      <c r="J56" s="1">
        <v>18167</v>
      </c>
      <c r="K56" s="1">
        <v>6725</v>
      </c>
      <c r="L56" s="1">
        <v>412</v>
      </c>
      <c r="M56" s="1">
        <f t="shared" si="3"/>
        <v>360</v>
      </c>
      <c r="N56" s="1"/>
      <c r="O56" s="1">
        <f t="shared" si="4"/>
        <v>0</v>
      </c>
      <c r="P56" s="1"/>
      <c r="Q56" s="1" t="s">
        <v>30</v>
      </c>
      <c r="R56" s="1" t="s">
        <v>26</v>
      </c>
    </row>
    <row r="57" spans="1:18" x14ac:dyDescent="0.35">
      <c r="A57" s="1" t="s">
        <v>88</v>
      </c>
      <c r="B57" s="1" t="str">
        <f t="shared" si="0"/>
        <v>Unknown</v>
      </c>
      <c r="C57" s="1"/>
      <c r="D57" s="1" t="str">
        <f t="shared" si="1"/>
        <v>Yes</v>
      </c>
      <c r="E57" s="1" t="s">
        <v>24</v>
      </c>
      <c r="F57" s="1">
        <v>1</v>
      </c>
      <c r="G57" s="1" t="s">
        <v>25</v>
      </c>
      <c r="H57" s="1" t="str">
        <f t="shared" si="2"/>
        <v>No</v>
      </c>
      <c r="I57" s="1"/>
      <c r="J57" s="1">
        <v>7971</v>
      </c>
      <c r="K57" s="1">
        <v>2090</v>
      </c>
      <c r="L57" s="1">
        <v>583</v>
      </c>
      <c r="M57" s="1">
        <f t="shared" si="3"/>
        <v>120</v>
      </c>
      <c r="N57" s="1">
        <v>120</v>
      </c>
      <c r="O57" s="1">
        <f t="shared" si="4"/>
        <v>1</v>
      </c>
      <c r="P57" s="1">
        <v>1</v>
      </c>
      <c r="Q57" s="1" t="s">
        <v>30</v>
      </c>
      <c r="R57" s="1" t="s">
        <v>26</v>
      </c>
    </row>
    <row r="58" spans="1:18" x14ac:dyDescent="0.35">
      <c r="A58" s="1" t="s">
        <v>89</v>
      </c>
      <c r="B58" s="1" t="str">
        <f t="shared" si="0"/>
        <v>Male</v>
      </c>
      <c r="C58" s="1" t="s">
        <v>52</v>
      </c>
      <c r="D58" s="1" t="str">
        <f t="shared" si="1"/>
        <v>No</v>
      </c>
      <c r="E58" s="1" t="s">
        <v>22</v>
      </c>
      <c r="F58" s="1" t="s">
        <v>16</v>
      </c>
      <c r="G58" s="1" t="s">
        <v>17</v>
      </c>
      <c r="H58" s="1" t="str">
        <f t="shared" si="2"/>
        <v>Yes</v>
      </c>
      <c r="I58" s="1" t="s">
        <v>29</v>
      </c>
      <c r="J58" s="1">
        <v>4763</v>
      </c>
      <c r="K58" s="1">
        <v>7638</v>
      </c>
      <c r="L58" s="1">
        <v>382</v>
      </c>
      <c r="M58" s="1">
        <f t="shared" si="3"/>
        <v>360</v>
      </c>
      <c r="N58" s="1"/>
      <c r="O58" s="1">
        <f t="shared" si="4"/>
        <v>1</v>
      </c>
      <c r="P58" s="1">
        <v>1</v>
      </c>
      <c r="Q58" s="1" t="s">
        <v>30</v>
      </c>
      <c r="R58" s="1" t="s">
        <v>20</v>
      </c>
    </row>
    <row r="59" spans="1:18" x14ac:dyDescent="0.35">
      <c r="A59" s="1" t="s">
        <v>90</v>
      </c>
      <c r="B59" s="1" t="str">
        <f t="shared" si="0"/>
        <v>Unknown</v>
      </c>
      <c r="C59" s="1"/>
      <c r="D59" s="1" t="str">
        <f t="shared" si="1"/>
        <v>No</v>
      </c>
      <c r="E59" s="1"/>
      <c r="F59" s="1">
        <v>1</v>
      </c>
      <c r="G59" s="1" t="s">
        <v>17</v>
      </c>
      <c r="H59" s="1" t="str">
        <f t="shared" si="2"/>
        <v>No</v>
      </c>
      <c r="I59" s="1"/>
      <c r="J59" s="1">
        <v>9137</v>
      </c>
      <c r="K59" s="1">
        <v>297</v>
      </c>
      <c r="L59" s="1">
        <v>114</v>
      </c>
      <c r="M59" s="1">
        <f t="shared" si="3"/>
        <v>360</v>
      </c>
      <c r="N59" s="1">
        <v>360</v>
      </c>
      <c r="O59" s="1">
        <f t="shared" si="4"/>
        <v>1</v>
      </c>
      <c r="P59" s="1">
        <v>1</v>
      </c>
      <c r="Q59" s="1" t="s">
        <v>41</v>
      </c>
      <c r="R59" s="1" t="s">
        <v>26</v>
      </c>
    </row>
    <row r="60" spans="1:18" x14ac:dyDescent="0.35">
      <c r="A60" s="1" t="s">
        <v>91</v>
      </c>
      <c r="B60" s="1" t="str">
        <f t="shared" si="0"/>
        <v>Female</v>
      </c>
      <c r="C60" s="1" t="s">
        <v>28</v>
      </c>
      <c r="D60" s="1" t="str">
        <f t="shared" si="1"/>
        <v>No</v>
      </c>
      <c r="E60" s="1" t="s">
        <v>36</v>
      </c>
      <c r="F60" s="1">
        <v>0</v>
      </c>
      <c r="G60" s="1" t="s">
        <v>17</v>
      </c>
      <c r="H60" s="1" t="str">
        <f t="shared" si="2"/>
        <v>Yes</v>
      </c>
      <c r="I60" s="1" t="s">
        <v>29</v>
      </c>
      <c r="J60" s="1">
        <v>17606</v>
      </c>
      <c r="K60" s="1">
        <v>2844</v>
      </c>
      <c r="L60" s="1">
        <v>110</v>
      </c>
      <c r="M60" s="1">
        <f t="shared" si="3"/>
        <v>180</v>
      </c>
      <c r="N60" s="1">
        <v>180</v>
      </c>
      <c r="O60" s="1">
        <f t="shared" si="4"/>
        <v>1</v>
      </c>
      <c r="P60" s="1">
        <v>1</v>
      </c>
      <c r="Q60" s="1" t="s">
        <v>30</v>
      </c>
      <c r="R60" s="1" t="s">
        <v>26</v>
      </c>
    </row>
    <row r="61" spans="1:18" x14ac:dyDescent="0.35">
      <c r="A61" s="1" t="s">
        <v>92</v>
      </c>
      <c r="B61" s="1" t="str">
        <f t="shared" si="0"/>
        <v>Unknown</v>
      </c>
      <c r="C61" s="1"/>
      <c r="D61" s="1" t="str">
        <f t="shared" si="1"/>
        <v>Yes</v>
      </c>
      <c r="E61" s="1" t="s">
        <v>24</v>
      </c>
      <c r="F61" s="1">
        <v>0</v>
      </c>
      <c r="G61" s="1" t="s">
        <v>17</v>
      </c>
      <c r="H61" s="1" t="str">
        <f t="shared" si="2"/>
        <v>No</v>
      </c>
      <c r="I61" s="1" t="s">
        <v>22</v>
      </c>
      <c r="J61" s="1">
        <v>16987</v>
      </c>
      <c r="K61" s="1">
        <v>511</v>
      </c>
      <c r="L61" s="1">
        <v>622</v>
      </c>
      <c r="M61" s="1">
        <f t="shared" si="3"/>
        <v>180</v>
      </c>
      <c r="N61" s="1">
        <v>180</v>
      </c>
      <c r="O61" s="1">
        <f t="shared" si="4"/>
        <v>0</v>
      </c>
      <c r="P61" s="1">
        <v>0</v>
      </c>
      <c r="Q61" s="1" t="s">
        <v>41</v>
      </c>
      <c r="R61" s="1" t="s">
        <v>26</v>
      </c>
    </row>
    <row r="62" spans="1:18" x14ac:dyDescent="0.35">
      <c r="A62" s="1" t="s">
        <v>93</v>
      </c>
      <c r="B62" s="1" t="str">
        <f t="shared" si="0"/>
        <v>Female</v>
      </c>
      <c r="C62" s="1" t="s">
        <v>61</v>
      </c>
      <c r="D62" s="1" t="str">
        <f t="shared" si="1"/>
        <v>No</v>
      </c>
      <c r="E62" s="1" t="s">
        <v>36</v>
      </c>
      <c r="F62" s="1">
        <v>2</v>
      </c>
      <c r="G62" s="1" t="s">
        <v>17</v>
      </c>
      <c r="H62" s="1" t="str">
        <f t="shared" si="2"/>
        <v>No</v>
      </c>
      <c r="I62" s="1"/>
      <c r="J62" s="1">
        <v>3940</v>
      </c>
      <c r="K62" s="1">
        <v>5419</v>
      </c>
      <c r="L62" s="1">
        <v>262</v>
      </c>
      <c r="M62" s="1">
        <f t="shared" si="3"/>
        <v>360</v>
      </c>
      <c r="N62" s="1"/>
      <c r="O62" s="1">
        <f t="shared" si="4"/>
        <v>1</v>
      </c>
      <c r="P62" s="1">
        <v>1</v>
      </c>
      <c r="Q62" s="1" t="s">
        <v>19</v>
      </c>
      <c r="R62" s="1" t="s">
        <v>20</v>
      </c>
    </row>
    <row r="63" spans="1:18" x14ac:dyDescent="0.35">
      <c r="A63" s="1" t="s">
        <v>94</v>
      </c>
      <c r="B63" s="1" t="str">
        <f t="shared" si="0"/>
        <v>Unknown</v>
      </c>
      <c r="C63" s="1"/>
      <c r="D63" s="1" t="str">
        <f t="shared" si="1"/>
        <v>No</v>
      </c>
      <c r="E63" s="1" t="s">
        <v>22</v>
      </c>
      <c r="F63" s="1">
        <v>1</v>
      </c>
      <c r="G63" s="1" t="s">
        <v>17</v>
      </c>
      <c r="H63" s="1" t="str">
        <f t="shared" si="2"/>
        <v>No</v>
      </c>
      <c r="I63" s="1" t="s">
        <v>22</v>
      </c>
      <c r="J63" s="1">
        <v>1726</v>
      </c>
      <c r="K63" s="1">
        <v>4865</v>
      </c>
      <c r="L63" s="1">
        <v>149</v>
      </c>
      <c r="M63" s="1">
        <f t="shared" si="3"/>
        <v>360</v>
      </c>
      <c r="N63" s="1">
        <v>360</v>
      </c>
      <c r="O63" s="1">
        <f t="shared" si="4"/>
        <v>0</v>
      </c>
      <c r="P63" s="1"/>
      <c r="Q63" s="1" t="s">
        <v>19</v>
      </c>
      <c r="R63" s="1" t="s">
        <v>26</v>
      </c>
    </row>
    <row r="64" spans="1:18" x14ac:dyDescent="0.35">
      <c r="A64" s="1" t="s">
        <v>95</v>
      </c>
      <c r="B64" s="1" t="str">
        <f t="shared" si="0"/>
        <v>Male</v>
      </c>
      <c r="C64" s="1" t="s">
        <v>52</v>
      </c>
      <c r="D64" s="1" t="str">
        <f t="shared" si="1"/>
        <v>Yes</v>
      </c>
      <c r="E64" s="1" t="s">
        <v>15</v>
      </c>
      <c r="F64" s="1">
        <v>0</v>
      </c>
      <c r="G64" s="1" t="s">
        <v>17</v>
      </c>
      <c r="H64" s="1" t="str">
        <f t="shared" si="2"/>
        <v>No</v>
      </c>
      <c r="I64" s="1" t="s">
        <v>22</v>
      </c>
      <c r="J64" s="1">
        <v>14368</v>
      </c>
      <c r="K64" s="1">
        <v>7824</v>
      </c>
      <c r="L64" s="1">
        <v>632</v>
      </c>
      <c r="M64" s="1">
        <f t="shared" si="3"/>
        <v>180</v>
      </c>
      <c r="N64" s="1">
        <v>180</v>
      </c>
      <c r="O64" s="1">
        <f t="shared" si="4"/>
        <v>1</v>
      </c>
      <c r="P64" s="1">
        <v>1</v>
      </c>
      <c r="Q64" s="1" t="s">
        <v>19</v>
      </c>
      <c r="R64" s="1" t="s">
        <v>26</v>
      </c>
    </row>
    <row r="65" spans="1:18" x14ac:dyDescent="0.35">
      <c r="A65" s="1" t="s">
        <v>96</v>
      </c>
      <c r="B65" s="1" t="str">
        <f t="shared" si="0"/>
        <v>Female</v>
      </c>
      <c r="C65" s="1" t="s">
        <v>43</v>
      </c>
      <c r="D65" s="1" t="str">
        <f t="shared" si="1"/>
        <v>No</v>
      </c>
      <c r="E65" s="1" t="s">
        <v>18</v>
      </c>
      <c r="F65" s="1">
        <v>2</v>
      </c>
      <c r="G65" s="1" t="s">
        <v>25</v>
      </c>
      <c r="H65" s="1" t="str">
        <f t="shared" si="2"/>
        <v>Yes</v>
      </c>
      <c r="I65" s="1" t="s">
        <v>15</v>
      </c>
      <c r="J65" s="1">
        <v>16400</v>
      </c>
      <c r="K65" s="1">
        <v>965</v>
      </c>
      <c r="L65" s="1">
        <v>601</v>
      </c>
      <c r="M65" s="1">
        <f t="shared" si="3"/>
        <v>120</v>
      </c>
      <c r="N65" s="1">
        <v>120</v>
      </c>
      <c r="O65" s="1">
        <f t="shared" si="4"/>
        <v>0</v>
      </c>
      <c r="P65" s="1">
        <v>0</v>
      </c>
      <c r="Q65" s="1" t="s">
        <v>30</v>
      </c>
      <c r="R65" s="1" t="s">
        <v>26</v>
      </c>
    </row>
    <row r="66" spans="1:18" x14ac:dyDescent="0.35">
      <c r="A66" s="1" t="s">
        <v>97</v>
      </c>
      <c r="B66" s="1" t="str">
        <f t="shared" ref="B66:B129" si="5">IF(ISBLANK(C66),"Unknown", IF(LOWER(TRIM(C66))="male","Male","Female"))</f>
        <v>Female</v>
      </c>
      <c r="C66" s="1" t="s">
        <v>43</v>
      </c>
      <c r="D66" s="1" t="str">
        <f t="shared" ref="D66:D129" si="6">IF(ISBLANK(E66),"No",PROPER(TRIM(E66)))</f>
        <v>No</v>
      </c>
      <c r="E66" s="1"/>
      <c r="F66" s="1">
        <v>1</v>
      </c>
      <c r="G66" s="1" t="s">
        <v>17</v>
      </c>
      <c r="H66" s="1" t="str">
        <f t="shared" ref="H66:H129" si="7">IF(ISBLANK(I66),"No",PROPER(TRIM(I66)))</f>
        <v>No</v>
      </c>
      <c r="I66" s="1"/>
      <c r="J66" s="1">
        <v>15110</v>
      </c>
      <c r="K66" s="1">
        <v>1468</v>
      </c>
      <c r="L66" s="1">
        <v>249</v>
      </c>
      <c r="M66" s="1">
        <f t="shared" ref="M66:M129" si="8">IF(ISBLANK(N66),360,N66)</f>
        <v>180</v>
      </c>
      <c r="N66" s="1">
        <v>180</v>
      </c>
      <c r="O66" s="1">
        <f t="shared" ref="O66:O129" si="9">IF(ISBLANK(P66),0,P66)</f>
        <v>0</v>
      </c>
      <c r="P66" s="1"/>
      <c r="Q66" s="1" t="s">
        <v>30</v>
      </c>
      <c r="R66" s="1" t="s">
        <v>26</v>
      </c>
    </row>
    <row r="67" spans="1:18" x14ac:dyDescent="0.35">
      <c r="A67" s="1" t="s">
        <v>98</v>
      </c>
      <c r="B67" s="1" t="str">
        <f t="shared" si="5"/>
        <v>Female</v>
      </c>
      <c r="C67" s="1" t="s">
        <v>43</v>
      </c>
      <c r="D67" s="1" t="str">
        <f t="shared" si="6"/>
        <v>No</v>
      </c>
      <c r="E67" s="1" t="s">
        <v>22</v>
      </c>
      <c r="F67" s="1">
        <v>1</v>
      </c>
      <c r="G67" s="1" t="s">
        <v>25</v>
      </c>
      <c r="H67" s="1" t="str">
        <f t="shared" si="7"/>
        <v>No</v>
      </c>
      <c r="I67" s="1"/>
      <c r="J67" s="1">
        <v>15688</v>
      </c>
      <c r="K67" s="1">
        <v>4198</v>
      </c>
      <c r="L67" s="1">
        <v>349</v>
      </c>
      <c r="M67" s="1">
        <f t="shared" si="8"/>
        <v>120</v>
      </c>
      <c r="N67" s="1">
        <v>120</v>
      </c>
      <c r="O67" s="1">
        <f t="shared" si="9"/>
        <v>1</v>
      </c>
      <c r="P67" s="1">
        <v>1</v>
      </c>
      <c r="Q67" s="1" t="s">
        <v>30</v>
      </c>
      <c r="R67" s="1" t="s">
        <v>20</v>
      </c>
    </row>
    <row r="68" spans="1:18" x14ac:dyDescent="0.35">
      <c r="A68" s="1" t="s">
        <v>99</v>
      </c>
      <c r="B68" s="1" t="str">
        <f t="shared" si="5"/>
        <v>Male</v>
      </c>
      <c r="C68" s="1" t="s">
        <v>52</v>
      </c>
      <c r="D68" s="1" t="str">
        <f t="shared" si="6"/>
        <v>Yes</v>
      </c>
      <c r="E68" s="1" t="s">
        <v>29</v>
      </c>
      <c r="F68" s="1">
        <v>2</v>
      </c>
      <c r="G68" s="1" t="s">
        <v>25</v>
      </c>
      <c r="H68" s="1" t="str">
        <f t="shared" si="7"/>
        <v>Yes</v>
      </c>
      <c r="I68" s="1" t="s">
        <v>29</v>
      </c>
      <c r="J68" s="1">
        <v>11585</v>
      </c>
      <c r="K68" s="1">
        <v>565</v>
      </c>
      <c r="L68" s="1">
        <v>305</v>
      </c>
      <c r="M68" s="1">
        <f t="shared" si="8"/>
        <v>120</v>
      </c>
      <c r="N68" s="1">
        <v>120</v>
      </c>
      <c r="O68" s="1">
        <f t="shared" si="9"/>
        <v>0</v>
      </c>
      <c r="P68" s="1"/>
      <c r="Q68" s="1" t="s">
        <v>41</v>
      </c>
      <c r="R68" s="1" t="s">
        <v>26</v>
      </c>
    </row>
    <row r="69" spans="1:18" x14ac:dyDescent="0.35">
      <c r="A69" s="1" t="s">
        <v>100</v>
      </c>
      <c r="B69" s="1" t="str">
        <f t="shared" si="5"/>
        <v>Male</v>
      </c>
      <c r="C69" s="1" t="s">
        <v>14</v>
      </c>
      <c r="D69" s="1" t="str">
        <f t="shared" si="6"/>
        <v>No</v>
      </c>
      <c r="E69" s="1"/>
      <c r="F69" s="1" t="s">
        <v>16</v>
      </c>
      <c r="G69" s="1" t="s">
        <v>17</v>
      </c>
      <c r="H69" s="1" t="str">
        <f t="shared" si="7"/>
        <v>Yes</v>
      </c>
      <c r="I69" s="1" t="s">
        <v>15</v>
      </c>
      <c r="J69" s="1">
        <v>8281</v>
      </c>
      <c r="K69" s="1">
        <v>912</v>
      </c>
      <c r="L69" s="1">
        <v>421</v>
      </c>
      <c r="M69" s="1">
        <f t="shared" si="8"/>
        <v>120</v>
      </c>
      <c r="N69" s="1">
        <v>120</v>
      </c>
      <c r="O69" s="1">
        <f t="shared" si="9"/>
        <v>0</v>
      </c>
      <c r="P69" s="1"/>
      <c r="Q69" s="1" t="s">
        <v>30</v>
      </c>
      <c r="R69" s="1" t="s">
        <v>20</v>
      </c>
    </row>
    <row r="70" spans="1:18" x14ac:dyDescent="0.35">
      <c r="A70" s="1" t="s">
        <v>101</v>
      </c>
      <c r="B70" s="1" t="str">
        <f t="shared" si="5"/>
        <v>Male</v>
      </c>
      <c r="C70" s="1" t="s">
        <v>14</v>
      </c>
      <c r="D70" s="1" t="str">
        <f t="shared" si="6"/>
        <v>Yes</v>
      </c>
      <c r="E70" s="1" t="s">
        <v>29</v>
      </c>
      <c r="F70" s="1">
        <v>2</v>
      </c>
      <c r="G70" s="1" t="s">
        <v>17</v>
      </c>
      <c r="H70" s="1" t="str">
        <f t="shared" si="7"/>
        <v>No</v>
      </c>
      <c r="I70" s="1"/>
      <c r="J70" s="1">
        <v>13971</v>
      </c>
      <c r="K70" s="1">
        <v>9008</v>
      </c>
      <c r="L70" s="1">
        <v>601</v>
      </c>
      <c r="M70" s="1">
        <f t="shared" si="8"/>
        <v>360</v>
      </c>
      <c r="N70" s="1"/>
      <c r="O70" s="1">
        <f t="shared" si="9"/>
        <v>1</v>
      </c>
      <c r="P70" s="1">
        <v>1</v>
      </c>
      <c r="Q70" s="1" t="s">
        <v>19</v>
      </c>
      <c r="R70" s="1" t="s">
        <v>26</v>
      </c>
    </row>
    <row r="71" spans="1:18" x14ac:dyDescent="0.35">
      <c r="A71" s="1" t="s">
        <v>102</v>
      </c>
      <c r="B71" s="1" t="str">
        <f t="shared" si="5"/>
        <v>Male</v>
      </c>
      <c r="C71" s="1" t="s">
        <v>14</v>
      </c>
      <c r="D71" s="1" t="str">
        <f t="shared" si="6"/>
        <v>No</v>
      </c>
      <c r="E71" s="1"/>
      <c r="F71" s="1">
        <v>0</v>
      </c>
      <c r="G71" s="1" t="s">
        <v>25</v>
      </c>
      <c r="H71" s="1" t="str">
        <f t="shared" si="7"/>
        <v>Yes</v>
      </c>
      <c r="I71" s="1" t="s">
        <v>24</v>
      </c>
      <c r="J71" s="1">
        <v>11242</v>
      </c>
      <c r="K71" s="1">
        <v>887</v>
      </c>
      <c r="L71" s="1">
        <v>301</v>
      </c>
      <c r="M71" s="1">
        <f t="shared" si="8"/>
        <v>180</v>
      </c>
      <c r="N71" s="1">
        <v>180</v>
      </c>
      <c r="O71" s="1">
        <f t="shared" si="9"/>
        <v>0</v>
      </c>
      <c r="P71" s="1"/>
      <c r="Q71" s="1" t="s">
        <v>30</v>
      </c>
      <c r="R71" s="1" t="s">
        <v>20</v>
      </c>
    </row>
    <row r="72" spans="1:18" x14ac:dyDescent="0.35">
      <c r="A72" s="1" t="s">
        <v>103</v>
      </c>
      <c r="B72" s="1" t="str">
        <f t="shared" si="5"/>
        <v>Male</v>
      </c>
      <c r="C72" s="1" t="s">
        <v>33</v>
      </c>
      <c r="D72" s="1" t="str">
        <f t="shared" si="6"/>
        <v>Yes</v>
      </c>
      <c r="E72" s="1" t="s">
        <v>24</v>
      </c>
      <c r="F72" s="1">
        <v>0</v>
      </c>
      <c r="G72" s="1" t="s">
        <v>25</v>
      </c>
      <c r="H72" s="1" t="str">
        <f t="shared" si="7"/>
        <v>Yes</v>
      </c>
      <c r="I72" s="1" t="s">
        <v>24</v>
      </c>
      <c r="J72" s="1">
        <v>10911</v>
      </c>
      <c r="K72" s="1">
        <v>4892</v>
      </c>
      <c r="L72" s="1">
        <v>122</v>
      </c>
      <c r="M72" s="1">
        <f t="shared" si="8"/>
        <v>360</v>
      </c>
      <c r="N72" s="1"/>
      <c r="O72" s="1">
        <f t="shared" si="9"/>
        <v>0</v>
      </c>
      <c r="P72" s="1"/>
      <c r="Q72" s="1" t="s">
        <v>41</v>
      </c>
      <c r="R72" s="1" t="s">
        <v>26</v>
      </c>
    </row>
    <row r="73" spans="1:18" x14ac:dyDescent="0.35">
      <c r="A73" s="1" t="s">
        <v>104</v>
      </c>
      <c r="B73" s="1" t="str">
        <f t="shared" si="5"/>
        <v>Unknown</v>
      </c>
      <c r="C73" s="1"/>
      <c r="D73" s="1" t="str">
        <f t="shared" si="6"/>
        <v>No</v>
      </c>
      <c r="E73" s="1" t="s">
        <v>18</v>
      </c>
      <c r="F73" s="1">
        <v>0</v>
      </c>
      <c r="G73" s="1" t="s">
        <v>17</v>
      </c>
      <c r="H73" s="1" t="str">
        <f t="shared" si="7"/>
        <v>No</v>
      </c>
      <c r="I73" s="1"/>
      <c r="J73" s="1">
        <v>18768</v>
      </c>
      <c r="K73" s="1">
        <v>1158</v>
      </c>
      <c r="L73" s="1">
        <v>649</v>
      </c>
      <c r="M73" s="1">
        <f t="shared" si="8"/>
        <v>360</v>
      </c>
      <c r="N73" s="1">
        <v>360</v>
      </c>
      <c r="O73" s="1">
        <f t="shared" si="9"/>
        <v>1</v>
      </c>
      <c r="P73" s="1">
        <v>1</v>
      </c>
      <c r="Q73" s="1" t="s">
        <v>19</v>
      </c>
      <c r="R73" s="1" t="s">
        <v>20</v>
      </c>
    </row>
    <row r="74" spans="1:18" x14ac:dyDescent="0.35">
      <c r="A74" s="1" t="s">
        <v>105</v>
      </c>
      <c r="B74" s="1" t="str">
        <f t="shared" si="5"/>
        <v>Unknown</v>
      </c>
      <c r="C74" s="1"/>
      <c r="D74" s="1" t="str">
        <f t="shared" si="6"/>
        <v>Yes</v>
      </c>
      <c r="E74" s="1" t="s">
        <v>29</v>
      </c>
      <c r="F74" s="1">
        <v>1</v>
      </c>
      <c r="G74" s="1" t="s">
        <v>17</v>
      </c>
      <c r="H74" s="1" t="str">
        <f t="shared" si="7"/>
        <v>No</v>
      </c>
      <c r="I74" s="1"/>
      <c r="J74" s="1">
        <v>17454</v>
      </c>
      <c r="K74" s="1">
        <v>9143</v>
      </c>
      <c r="L74" s="1">
        <v>568</v>
      </c>
      <c r="M74" s="1">
        <f t="shared" si="8"/>
        <v>120</v>
      </c>
      <c r="N74" s="1">
        <v>120</v>
      </c>
      <c r="O74" s="1">
        <f t="shared" si="9"/>
        <v>0</v>
      </c>
      <c r="P74" s="1">
        <v>0</v>
      </c>
      <c r="Q74" s="1" t="s">
        <v>30</v>
      </c>
      <c r="R74" s="1" t="s">
        <v>26</v>
      </c>
    </row>
    <row r="75" spans="1:18" x14ac:dyDescent="0.35">
      <c r="A75" s="1" t="s">
        <v>106</v>
      </c>
      <c r="B75" s="1" t="str">
        <f t="shared" si="5"/>
        <v>Unknown</v>
      </c>
      <c r="C75" s="1"/>
      <c r="D75" s="1" t="str">
        <f t="shared" si="6"/>
        <v>No</v>
      </c>
      <c r="E75" s="1" t="s">
        <v>18</v>
      </c>
      <c r="F75" s="1">
        <v>1</v>
      </c>
      <c r="G75" s="1" t="s">
        <v>17</v>
      </c>
      <c r="H75" s="1" t="str">
        <f t="shared" si="7"/>
        <v>No</v>
      </c>
      <c r="I75" s="1"/>
      <c r="J75" s="1">
        <v>3536</v>
      </c>
      <c r="K75" s="1">
        <v>7526</v>
      </c>
      <c r="L75" s="1">
        <v>89</v>
      </c>
      <c r="M75" s="1">
        <f t="shared" si="8"/>
        <v>120</v>
      </c>
      <c r="N75" s="1">
        <v>120</v>
      </c>
      <c r="O75" s="1">
        <f t="shared" si="9"/>
        <v>0</v>
      </c>
      <c r="P75" s="1">
        <v>0</v>
      </c>
      <c r="Q75" s="1" t="s">
        <v>41</v>
      </c>
      <c r="R75" s="1" t="s">
        <v>20</v>
      </c>
    </row>
    <row r="76" spans="1:18" x14ac:dyDescent="0.35">
      <c r="A76" s="1" t="s">
        <v>107</v>
      </c>
      <c r="B76" s="1" t="str">
        <f t="shared" si="5"/>
        <v>Unknown</v>
      </c>
      <c r="C76" s="1"/>
      <c r="D76" s="1" t="str">
        <f t="shared" si="6"/>
        <v>No</v>
      </c>
      <c r="E76" s="1" t="s">
        <v>18</v>
      </c>
      <c r="F76" s="1" t="s">
        <v>16</v>
      </c>
      <c r="G76" s="1" t="s">
        <v>17</v>
      </c>
      <c r="H76" s="1" t="str">
        <f t="shared" si="7"/>
        <v>No</v>
      </c>
      <c r="I76" s="1"/>
      <c r="J76" s="1">
        <v>10537</v>
      </c>
      <c r="K76" s="1">
        <v>7032</v>
      </c>
      <c r="L76" s="1">
        <v>273</v>
      </c>
      <c r="M76" s="1">
        <f t="shared" si="8"/>
        <v>360</v>
      </c>
      <c r="N76" s="1"/>
      <c r="O76" s="1">
        <f t="shared" si="9"/>
        <v>0</v>
      </c>
      <c r="P76" s="1">
        <v>0</v>
      </c>
      <c r="Q76" s="1" t="s">
        <v>30</v>
      </c>
      <c r="R76" s="1" t="s">
        <v>26</v>
      </c>
    </row>
    <row r="77" spans="1:18" x14ac:dyDescent="0.35">
      <c r="A77" s="1" t="s">
        <v>108</v>
      </c>
      <c r="B77" s="1" t="str">
        <f t="shared" si="5"/>
        <v>Female</v>
      </c>
      <c r="C77" s="1" t="s">
        <v>61</v>
      </c>
      <c r="D77" s="1" t="str">
        <f t="shared" si="6"/>
        <v>No</v>
      </c>
      <c r="E77" s="1"/>
      <c r="F77" s="1">
        <v>2</v>
      </c>
      <c r="G77" s="1" t="s">
        <v>17</v>
      </c>
      <c r="H77" s="1" t="str">
        <f t="shared" si="7"/>
        <v>No</v>
      </c>
      <c r="I77" s="1" t="s">
        <v>22</v>
      </c>
      <c r="J77" s="1">
        <v>9903</v>
      </c>
      <c r="K77" s="1">
        <v>1705</v>
      </c>
      <c r="L77" s="1">
        <v>490</v>
      </c>
      <c r="M77" s="1">
        <f t="shared" si="8"/>
        <v>360</v>
      </c>
      <c r="N77" s="1">
        <v>360</v>
      </c>
      <c r="O77" s="1">
        <f t="shared" si="9"/>
        <v>1</v>
      </c>
      <c r="P77" s="1">
        <v>1</v>
      </c>
      <c r="Q77" s="1" t="s">
        <v>19</v>
      </c>
      <c r="R77" s="1" t="s">
        <v>20</v>
      </c>
    </row>
    <row r="78" spans="1:18" x14ac:dyDescent="0.35">
      <c r="A78" s="1" t="s">
        <v>109</v>
      </c>
      <c r="B78" s="1" t="str">
        <f t="shared" si="5"/>
        <v>Unknown</v>
      </c>
      <c r="C78" s="1"/>
      <c r="D78" s="1" t="str">
        <f t="shared" si="6"/>
        <v>Yes</v>
      </c>
      <c r="E78" s="1" t="s">
        <v>29</v>
      </c>
      <c r="F78" s="1">
        <v>0</v>
      </c>
      <c r="G78" s="1" t="s">
        <v>17</v>
      </c>
      <c r="H78" s="1" t="str">
        <f t="shared" si="7"/>
        <v>No</v>
      </c>
      <c r="I78" s="1"/>
      <c r="J78" s="1">
        <v>14557</v>
      </c>
      <c r="K78" s="1">
        <v>5045</v>
      </c>
      <c r="L78" s="1">
        <v>96</v>
      </c>
      <c r="M78" s="1">
        <f t="shared" si="8"/>
        <v>180</v>
      </c>
      <c r="N78" s="1">
        <v>180</v>
      </c>
      <c r="O78" s="1">
        <f t="shared" si="9"/>
        <v>0</v>
      </c>
      <c r="P78" s="1">
        <v>0</v>
      </c>
      <c r="Q78" s="1" t="s">
        <v>41</v>
      </c>
      <c r="R78" s="1" t="s">
        <v>26</v>
      </c>
    </row>
    <row r="79" spans="1:18" x14ac:dyDescent="0.35">
      <c r="A79" s="1" t="s">
        <v>110</v>
      </c>
      <c r="B79" s="1" t="str">
        <f t="shared" si="5"/>
        <v>Male</v>
      </c>
      <c r="C79" s="1" t="s">
        <v>52</v>
      </c>
      <c r="D79" s="1" t="str">
        <f t="shared" si="6"/>
        <v>No</v>
      </c>
      <c r="E79" s="1" t="s">
        <v>18</v>
      </c>
      <c r="F79" s="1">
        <v>2</v>
      </c>
      <c r="G79" s="1" t="s">
        <v>17</v>
      </c>
      <c r="H79" s="1" t="str">
        <f t="shared" si="7"/>
        <v>No</v>
      </c>
      <c r="I79" s="1" t="s">
        <v>36</v>
      </c>
      <c r="J79" s="1">
        <v>16905</v>
      </c>
      <c r="K79" s="1">
        <v>18</v>
      </c>
      <c r="L79" s="1">
        <v>632</v>
      </c>
      <c r="M79" s="1">
        <f t="shared" si="8"/>
        <v>120</v>
      </c>
      <c r="N79" s="1">
        <v>120</v>
      </c>
      <c r="O79" s="1">
        <f t="shared" si="9"/>
        <v>1</v>
      </c>
      <c r="P79" s="1">
        <v>1</v>
      </c>
      <c r="Q79" s="1" t="s">
        <v>30</v>
      </c>
      <c r="R79" s="1" t="s">
        <v>26</v>
      </c>
    </row>
    <row r="80" spans="1:18" x14ac:dyDescent="0.35">
      <c r="A80" s="1" t="s">
        <v>111</v>
      </c>
      <c r="B80" s="1" t="str">
        <f t="shared" si="5"/>
        <v>Female</v>
      </c>
      <c r="C80" s="1" t="s">
        <v>43</v>
      </c>
      <c r="D80" s="1" t="str">
        <f t="shared" si="6"/>
        <v>Yes</v>
      </c>
      <c r="E80" s="1" t="s">
        <v>29</v>
      </c>
      <c r="F80" s="1" t="s">
        <v>16</v>
      </c>
      <c r="G80" s="1" t="s">
        <v>25</v>
      </c>
      <c r="H80" s="1" t="str">
        <f t="shared" si="7"/>
        <v>No</v>
      </c>
      <c r="I80" s="1" t="s">
        <v>22</v>
      </c>
      <c r="J80" s="1">
        <v>17517</v>
      </c>
      <c r="K80" s="1">
        <v>1640</v>
      </c>
      <c r="L80" s="1">
        <v>127</v>
      </c>
      <c r="M80" s="1">
        <f t="shared" si="8"/>
        <v>360</v>
      </c>
      <c r="N80" s="1">
        <v>360</v>
      </c>
      <c r="O80" s="1">
        <f t="shared" si="9"/>
        <v>0</v>
      </c>
      <c r="P80" s="1"/>
      <c r="Q80" s="1" t="s">
        <v>41</v>
      </c>
      <c r="R80" s="1" t="s">
        <v>26</v>
      </c>
    </row>
    <row r="81" spans="1:18" x14ac:dyDescent="0.35">
      <c r="A81" s="1" t="s">
        <v>112</v>
      </c>
      <c r="B81" s="1" t="str">
        <f t="shared" si="5"/>
        <v>Unknown</v>
      </c>
      <c r="C81" s="1"/>
      <c r="D81" s="1" t="str">
        <f t="shared" si="6"/>
        <v>No</v>
      </c>
      <c r="E81" s="1" t="s">
        <v>36</v>
      </c>
      <c r="F81" s="1">
        <v>2</v>
      </c>
      <c r="G81" s="1" t="s">
        <v>25</v>
      </c>
      <c r="H81" s="1" t="str">
        <f t="shared" si="7"/>
        <v>Yes</v>
      </c>
      <c r="I81" s="1" t="s">
        <v>29</v>
      </c>
      <c r="J81" s="1">
        <v>18393</v>
      </c>
      <c r="K81" s="1">
        <v>2385</v>
      </c>
      <c r="L81" s="1">
        <v>144</v>
      </c>
      <c r="M81" s="1">
        <f t="shared" si="8"/>
        <v>360</v>
      </c>
      <c r="N81" s="1"/>
      <c r="O81" s="1">
        <f t="shared" si="9"/>
        <v>1</v>
      </c>
      <c r="P81" s="1">
        <v>1</v>
      </c>
      <c r="Q81" s="1" t="s">
        <v>30</v>
      </c>
      <c r="R81" s="1" t="s">
        <v>26</v>
      </c>
    </row>
    <row r="82" spans="1:18" x14ac:dyDescent="0.35">
      <c r="A82" s="1" t="s">
        <v>113</v>
      </c>
      <c r="B82" s="1" t="str">
        <f t="shared" si="5"/>
        <v>Male</v>
      </c>
      <c r="C82" s="1" t="s">
        <v>14</v>
      </c>
      <c r="D82" s="1" t="str">
        <f t="shared" si="6"/>
        <v>Yes</v>
      </c>
      <c r="E82" s="1" t="s">
        <v>24</v>
      </c>
      <c r="F82" s="1">
        <v>1</v>
      </c>
      <c r="G82" s="1" t="s">
        <v>17</v>
      </c>
      <c r="H82" s="1" t="str">
        <f t="shared" si="7"/>
        <v>No</v>
      </c>
      <c r="I82" s="1"/>
      <c r="J82" s="1">
        <v>11548</v>
      </c>
      <c r="K82" s="1">
        <v>9487</v>
      </c>
      <c r="L82" s="1">
        <v>435</v>
      </c>
      <c r="M82" s="1">
        <f t="shared" si="8"/>
        <v>180</v>
      </c>
      <c r="N82" s="1">
        <v>180</v>
      </c>
      <c r="O82" s="1">
        <f t="shared" si="9"/>
        <v>0</v>
      </c>
      <c r="P82" s="1">
        <v>0</v>
      </c>
      <c r="Q82" s="1" t="s">
        <v>30</v>
      </c>
      <c r="R82" s="1" t="s">
        <v>26</v>
      </c>
    </row>
    <row r="83" spans="1:18" x14ac:dyDescent="0.35">
      <c r="A83" s="1" t="s">
        <v>114</v>
      </c>
      <c r="B83" s="1" t="str">
        <f t="shared" si="5"/>
        <v>Unknown</v>
      </c>
      <c r="C83" s="1"/>
      <c r="D83" s="1" t="str">
        <f t="shared" si="6"/>
        <v>No</v>
      </c>
      <c r="E83" s="1" t="s">
        <v>18</v>
      </c>
      <c r="F83" s="1" t="s">
        <v>16</v>
      </c>
      <c r="G83" s="1" t="s">
        <v>17</v>
      </c>
      <c r="H83" s="1" t="str">
        <f t="shared" si="7"/>
        <v>No</v>
      </c>
      <c r="I83" s="1"/>
      <c r="J83" s="1">
        <v>17474</v>
      </c>
      <c r="K83" s="1">
        <v>475</v>
      </c>
      <c r="L83" s="1">
        <v>395</v>
      </c>
      <c r="M83" s="1">
        <f t="shared" si="8"/>
        <v>180</v>
      </c>
      <c r="N83" s="1">
        <v>180</v>
      </c>
      <c r="O83" s="1">
        <f t="shared" si="9"/>
        <v>0</v>
      </c>
      <c r="P83" s="1">
        <v>0</v>
      </c>
      <c r="Q83" s="1" t="s">
        <v>30</v>
      </c>
      <c r="R83" s="1" t="s">
        <v>26</v>
      </c>
    </row>
    <row r="84" spans="1:18" x14ac:dyDescent="0.35">
      <c r="A84" s="1" t="s">
        <v>115</v>
      </c>
      <c r="B84" s="1" t="str">
        <f t="shared" si="5"/>
        <v>Unknown</v>
      </c>
      <c r="C84" s="1"/>
      <c r="D84" s="1" t="str">
        <f t="shared" si="6"/>
        <v>No</v>
      </c>
      <c r="E84" s="1"/>
      <c r="F84" s="1">
        <v>2</v>
      </c>
      <c r="G84" s="1" t="s">
        <v>25</v>
      </c>
      <c r="H84" s="1" t="str">
        <f t="shared" si="7"/>
        <v>No</v>
      </c>
      <c r="I84" s="1"/>
      <c r="J84" s="1">
        <v>15138</v>
      </c>
      <c r="K84" s="1">
        <v>5402</v>
      </c>
      <c r="L84" s="1">
        <v>673</v>
      </c>
      <c r="M84" s="1">
        <f t="shared" si="8"/>
        <v>180</v>
      </c>
      <c r="N84" s="1">
        <v>180</v>
      </c>
      <c r="O84" s="1">
        <f t="shared" si="9"/>
        <v>0</v>
      </c>
      <c r="P84" s="1"/>
      <c r="Q84" s="1" t="s">
        <v>19</v>
      </c>
      <c r="R84" s="1" t="s">
        <v>26</v>
      </c>
    </row>
    <row r="85" spans="1:18" x14ac:dyDescent="0.35">
      <c r="A85" s="1" t="s">
        <v>116</v>
      </c>
      <c r="B85" s="1" t="str">
        <f t="shared" si="5"/>
        <v>Male</v>
      </c>
      <c r="C85" s="1" t="s">
        <v>33</v>
      </c>
      <c r="D85" s="1" t="str">
        <f t="shared" si="6"/>
        <v>No</v>
      </c>
      <c r="E85" s="1"/>
      <c r="F85" s="1">
        <v>2</v>
      </c>
      <c r="G85" s="1" t="s">
        <v>25</v>
      </c>
      <c r="H85" s="1" t="str">
        <f t="shared" si="7"/>
        <v>Yes</v>
      </c>
      <c r="I85" s="1" t="s">
        <v>24</v>
      </c>
      <c r="J85" s="1">
        <v>18189</v>
      </c>
      <c r="K85" s="1">
        <v>6462</v>
      </c>
      <c r="L85" s="1">
        <v>552</v>
      </c>
      <c r="M85" s="1">
        <f t="shared" si="8"/>
        <v>180</v>
      </c>
      <c r="N85" s="1">
        <v>180</v>
      </c>
      <c r="O85" s="1">
        <f t="shared" si="9"/>
        <v>0</v>
      </c>
      <c r="P85" s="1"/>
      <c r="Q85" s="1" t="s">
        <v>41</v>
      </c>
      <c r="R85" s="1" t="s">
        <v>20</v>
      </c>
    </row>
    <row r="86" spans="1:18" x14ac:dyDescent="0.35">
      <c r="A86" s="1" t="s">
        <v>117</v>
      </c>
      <c r="B86" s="1" t="str">
        <f t="shared" si="5"/>
        <v>Male</v>
      </c>
      <c r="C86" s="1" t="s">
        <v>33</v>
      </c>
      <c r="D86" s="1" t="str">
        <f t="shared" si="6"/>
        <v>No</v>
      </c>
      <c r="E86" s="1"/>
      <c r="F86" s="1">
        <v>1</v>
      </c>
      <c r="G86" s="1" t="s">
        <v>25</v>
      </c>
      <c r="H86" s="1" t="str">
        <f t="shared" si="7"/>
        <v>Yes</v>
      </c>
      <c r="I86" s="1" t="s">
        <v>29</v>
      </c>
      <c r="J86" s="1">
        <v>17798</v>
      </c>
      <c r="K86" s="1">
        <v>4189</v>
      </c>
      <c r="L86" s="1">
        <v>494</v>
      </c>
      <c r="M86" s="1">
        <f t="shared" si="8"/>
        <v>360</v>
      </c>
      <c r="N86" s="1"/>
      <c r="O86" s="1">
        <f t="shared" si="9"/>
        <v>0</v>
      </c>
      <c r="P86" s="1"/>
      <c r="Q86" s="1" t="s">
        <v>30</v>
      </c>
      <c r="R86" s="1" t="s">
        <v>26</v>
      </c>
    </row>
    <row r="87" spans="1:18" x14ac:dyDescent="0.35">
      <c r="A87" s="1" t="s">
        <v>118</v>
      </c>
      <c r="B87" s="1" t="str">
        <f t="shared" si="5"/>
        <v>Male</v>
      </c>
      <c r="C87" s="1" t="s">
        <v>33</v>
      </c>
      <c r="D87" s="1" t="str">
        <f t="shared" si="6"/>
        <v>No</v>
      </c>
      <c r="E87" s="1"/>
      <c r="F87" s="1" t="s">
        <v>16</v>
      </c>
      <c r="G87" s="1" t="s">
        <v>17</v>
      </c>
      <c r="H87" s="1" t="str">
        <f t="shared" si="7"/>
        <v>Yes</v>
      </c>
      <c r="I87" s="1" t="s">
        <v>29</v>
      </c>
      <c r="J87" s="1">
        <v>3423</v>
      </c>
      <c r="K87" s="1">
        <v>9414</v>
      </c>
      <c r="L87" s="1">
        <v>685</v>
      </c>
      <c r="M87" s="1">
        <f t="shared" si="8"/>
        <v>360</v>
      </c>
      <c r="N87" s="1"/>
      <c r="O87" s="1">
        <f t="shared" si="9"/>
        <v>0</v>
      </c>
      <c r="P87" s="1">
        <v>0</v>
      </c>
      <c r="Q87" s="1" t="s">
        <v>41</v>
      </c>
      <c r="R87" s="1" t="s">
        <v>26</v>
      </c>
    </row>
    <row r="88" spans="1:18" x14ac:dyDescent="0.35">
      <c r="A88" s="1" t="s">
        <v>119</v>
      </c>
      <c r="B88" s="1" t="str">
        <f t="shared" si="5"/>
        <v>Unknown</v>
      </c>
      <c r="C88" s="1"/>
      <c r="D88" s="1" t="str">
        <f t="shared" si="6"/>
        <v>Yes</v>
      </c>
      <c r="E88" s="1" t="s">
        <v>24</v>
      </c>
      <c r="F88" s="1">
        <v>2</v>
      </c>
      <c r="G88" s="1" t="s">
        <v>25</v>
      </c>
      <c r="H88" s="1" t="str">
        <f t="shared" si="7"/>
        <v>No</v>
      </c>
      <c r="I88" s="1" t="s">
        <v>18</v>
      </c>
      <c r="J88" s="1">
        <v>2121</v>
      </c>
      <c r="K88" s="1">
        <v>1225</v>
      </c>
      <c r="L88" s="1">
        <v>364</v>
      </c>
      <c r="M88" s="1">
        <f t="shared" si="8"/>
        <v>360</v>
      </c>
      <c r="N88" s="1">
        <v>360</v>
      </c>
      <c r="O88" s="1">
        <f t="shared" si="9"/>
        <v>0</v>
      </c>
      <c r="P88" s="1"/>
      <c r="Q88" s="1" t="s">
        <v>30</v>
      </c>
      <c r="R88" s="1" t="s">
        <v>26</v>
      </c>
    </row>
    <row r="89" spans="1:18" x14ac:dyDescent="0.35">
      <c r="A89" s="1" t="s">
        <v>120</v>
      </c>
      <c r="B89" s="1" t="str">
        <f t="shared" si="5"/>
        <v>Unknown</v>
      </c>
      <c r="C89" s="1"/>
      <c r="D89" s="1" t="str">
        <f t="shared" si="6"/>
        <v>Yes</v>
      </c>
      <c r="E89" s="1" t="s">
        <v>29</v>
      </c>
      <c r="F89" s="1">
        <v>0</v>
      </c>
      <c r="G89" s="1" t="s">
        <v>17</v>
      </c>
      <c r="H89" s="1" t="str">
        <f t="shared" si="7"/>
        <v>No</v>
      </c>
      <c r="I89" s="1" t="s">
        <v>18</v>
      </c>
      <c r="J89" s="1">
        <v>17974</v>
      </c>
      <c r="K89" s="1">
        <v>5038</v>
      </c>
      <c r="L89" s="1">
        <v>327</v>
      </c>
      <c r="M89" s="1">
        <f t="shared" si="8"/>
        <v>120</v>
      </c>
      <c r="N89" s="1">
        <v>120</v>
      </c>
      <c r="O89" s="1">
        <f t="shared" si="9"/>
        <v>0</v>
      </c>
      <c r="P89" s="1"/>
      <c r="Q89" s="1" t="s">
        <v>41</v>
      </c>
      <c r="R89" s="1" t="s">
        <v>26</v>
      </c>
    </row>
    <row r="90" spans="1:18" x14ac:dyDescent="0.35">
      <c r="A90" s="1" t="s">
        <v>121</v>
      </c>
      <c r="B90" s="1" t="str">
        <f t="shared" si="5"/>
        <v>Unknown</v>
      </c>
      <c r="C90" s="1"/>
      <c r="D90" s="1" t="str">
        <f t="shared" si="6"/>
        <v>No</v>
      </c>
      <c r="E90" s="1"/>
      <c r="F90" s="1" t="s">
        <v>16</v>
      </c>
      <c r="G90" s="1" t="s">
        <v>17</v>
      </c>
      <c r="H90" s="1" t="str">
        <f t="shared" si="7"/>
        <v>No</v>
      </c>
      <c r="I90" s="1"/>
      <c r="J90" s="1">
        <v>12503</v>
      </c>
      <c r="K90" s="1">
        <v>864</v>
      </c>
      <c r="L90" s="1">
        <v>627</v>
      </c>
      <c r="M90" s="1">
        <f t="shared" si="8"/>
        <v>180</v>
      </c>
      <c r="N90" s="1">
        <v>180</v>
      </c>
      <c r="O90" s="1">
        <f t="shared" si="9"/>
        <v>0</v>
      </c>
      <c r="P90" s="1"/>
      <c r="Q90" s="1" t="s">
        <v>19</v>
      </c>
      <c r="R90" s="1" t="s">
        <v>20</v>
      </c>
    </row>
    <row r="91" spans="1:18" x14ac:dyDescent="0.35">
      <c r="A91" s="1" t="s">
        <v>122</v>
      </c>
      <c r="B91" s="1" t="str">
        <f t="shared" si="5"/>
        <v>Male</v>
      </c>
      <c r="C91" s="1" t="s">
        <v>33</v>
      </c>
      <c r="D91" s="1" t="str">
        <f t="shared" si="6"/>
        <v>Yes</v>
      </c>
      <c r="E91" s="1" t="s">
        <v>15</v>
      </c>
      <c r="F91" s="1">
        <v>1</v>
      </c>
      <c r="G91" s="1" t="s">
        <v>17</v>
      </c>
      <c r="H91" s="1" t="str">
        <f t="shared" si="7"/>
        <v>Yes</v>
      </c>
      <c r="I91" s="1" t="s">
        <v>29</v>
      </c>
      <c r="J91" s="1">
        <v>1991</v>
      </c>
      <c r="K91" s="1">
        <v>5361</v>
      </c>
      <c r="L91" s="1">
        <v>282</v>
      </c>
      <c r="M91" s="1">
        <f t="shared" si="8"/>
        <v>360</v>
      </c>
      <c r="N91" s="1"/>
      <c r="O91" s="1">
        <f t="shared" si="9"/>
        <v>0</v>
      </c>
      <c r="P91" s="1"/>
      <c r="Q91" s="1" t="s">
        <v>19</v>
      </c>
      <c r="R91" s="1" t="s">
        <v>20</v>
      </c>
    </row>
    <row r="92" spans="1:18" x14ac:dyDescent="0.35">
      <c r="A92" s="1" t="s">
        <v>123</v>
      </c>
      <c r="B92" s="1" t="str">
        <f t="shared" si="5"/>
        <v>Unknown</v>
      </c>
      <c r="C92" s="1"/>
      <c r="D92" s="1" t="str">
        <f t="shared" si="6"/>
        <v>No</v>
      </c>
      <c r="E92" s="1" t="s">
        <v>22</v>
      </c>
      <c r="F92" s="1" t="s">
        <v>16</v>
      </c>
      <c r="G92" s="1" t="s">
        <v>25</v>
      </c>
      <c r="H92" s="1" t="str">
        <f t="shared" si="7"/>
        <v>No</v>
      </c>
      <c r="I92" s="1"/>
      <c r="J92" s="1">
        <v>2318</v>
      </c>
      <c r="K92" s="1">
        <v>6905</v>
      </c>
      <c r="L92" s="1">
        <v>371</v>
      </c>
      <c r="M92" s="1">
        <f t="shared" si="8"/>
        <v>360</v>
      </c>
      <c r="N92" s="1"/>
      <c r="O92" s="1">
        <f t="shared" si="9"/>
        <v>0</v>
      </c>
      <c r="P92" s="1"/>
      <c r="Q92" s="1" t="s">
        <v>41</v>
      </c>
      <c r="R92" s="1" t="s">
        <v>20</v>
      </c>
    </row>
    <row r="93" spans="1:18" x14ac:dyDescent="0.35">
      <c r="A93" s="1" t="s">
        <v>124</v>
      </c>
      <c r="B93" s="1" t="str">
        <f t="shared" si="5"/>
        <v>Male</v>
      </c>
      <c r="C93" s="1" t="s">
        <v>52</v>
      </c>
      <c r="D93" s="1" t="str">
        <f t="shared" si="6"/>
        <v>No</v>
      </c>
      <c r="E93" s="1"/>
      <c r="F93" s="1">
        <v>1</v>
      </c>
      <c r="G93" s="1" t="s">
        <v>25</v>
      </c>
      <c r="H93" s="1" t="str">
        <f t="shared" si="7"/>
        <v>No</v>
      </c>
      <c r="I93" s="1"/>
      <c r="J93" s="1">
        <v>19792</v>
      </c>
      <c r="K93" s="1">
        <v>8367</v>
      </c>
      <c r="L93" s="1">
        <v>257</v>
      </c>
      <c r="M93" s="1">
        <f t="shared" si="8"/>
        <v>120</v>
      </c>
      <c r="N93" s="1">
        <v>120</v>
      </c>
      <c r="O93" s="1">
        <f t="shared" si="9"/>
        <v>0</v>
      </c>
      <c r="P93" s="1"/>
      <c r="Q93" s="1" t="s">
        <v>19</v>
      </c>
      <c r="R93" s="1" t="s">
        <v>26</v>
      </c>
    </row>
    <row r="94" spans="1:18" x14ac:dyDescent="0.35">
      <c r="A94" s="1" t="s">
        <v>125</v>
      </c>
      <c r="B94" s="1" t="str">
        <f t="shared" si="5"/>
        <v>Female</v>
      </c>
      <c r="C94" s="1" t="s">
        <v>28</v>
      </c>
      <c r="D94" s="1" t="str">
        <f t="shared" si="6"/>
        <v>No</v>
      </c>
      <c r="E94" s="1" t="s">
        <v>22</v>
      </c>
      <c r="F94" s="1">
        <v>1</v>
      </c>
      <c r="G94" s="1" t="s">
        <v>17</v>
      </c>
      <c r="H94" s="1" t="str">
        <f t="shared" si="7"/>
        <v>No</v>
      </c>
      <c r="I94" s="1"/>
      <c r="J94" s="1">
        <v>9843</v>
      </c>
      <c r="K94" s="1">
        <v>4425</v>
      </c>
      <c r="L94" s="1">
        <v>561</v>
      </c>
      <c r="M94" s="1">
        <f t="shared" si="8"/>
        <v>120</v>
      </c>
      <c r="N94" s="1">
        <v>120</v>
      </c>
      <c r="O94" s="1">
        <f t="shared" si="9"/>
        <v>0</v>
      </c>
      <c r="P94" s="1">
        <v>0</v>
      </c>
      <c r="Q94" s="1" t="s">
        <v>41</v>
      </c>
      <c r="R94" s="1" t="s">
        <v>26</v>
      </c>
    </row>
    <row r="95" spans="1:18" x14ac:dyDescent="0.35">
      <c r="A95" s="1" t="s">
        <v>126</v>
      </c>
      <c r="B95" s="1" t="str">
        <f t="shared" si="5"/>
        <v>Male</v>
      </c>
      <c r="C95" s="1" t="s">
        <v>14</v>
      </c>
      <c r="D95" s="1" t="str">
        <f t="shared" si="6"/>
        <v>Yes</v>
      </c>
      <c r="E95" s="1" t="s">
        <v>29</v>
      </c>
      <c r="F95" s="1">
        <v>1</v>
      </c>
      <c r="G95" s="1" t="s">
        <v>25</v>
      </c>
      <c r="H95" s="1" t="str">
        <f t="shared" si="7"/>
        <v>No</v>
      </c>
      <c r="I95" s="1"/>
      <c r="J95" s="1">
        <v>17821</v>
      </c>
      <c r="K95" s="1">
        <v>1424</v>
      </c>
      <c r="L95" s="1">
        <v>239</v>
      </c>
      <c r="M95" s="1">
        <f t="shared" si="8"/>
        <v>360</v>
      </c>
      <c r="N95" s="1">
        <v>360</v>
      </c>
      <c r="O95" s="1">
        <f t="shared" si="9"/>
        <v>0</v>
      </c>
      <c r="P95" s="1"/>
      <c r="Q95" s="1" t="s">
        <v>19</v>
      </c>
      <c r="R95" s="1" t="s">
        <v>20</v>
      </c>
    </row>
    <row r="96" spans="1:18" x14ac:dyDescent="0.35">
      <c r="A96" s="1" t="s">
        <v>127</v>
      </c>
      <c r="B96" s="1" t="str">
        <f t="shared" si="5"/>
        <v>Male</v>
      </c>
      <c r="C96" s="1" t="s">
        <v>14</v>
      </c>
      <c r="D96" s="1" t="str">
        <f t="shared" si="6"/>
        <v>Yes</v>
      </c>
      <c r="E96" s="1" t="s">
        <v>24</v>
      </c>
      <c r="F96" s="1">
        <v>2</v>
      </c>
      <c r="G96" s="1" t="s">
        <v>25</v>
      </c>
      <c r="H96" s="1" t="str">
        <f t="shared" si="7"/>
        <v>No</v>
      </c>
      <c r="I96" s="1"/>
      <c r="J96" s="1">
        <v>9092</v>
      </c>
      <c r="K96" s="1">
        <v>2389</v>
      </c>
      <c r="L96" s="1">
        <v>488</v>
      </c>
      <c r="M96" s="1">
        <f t="shared" si="8"/>
        <v>180</v>
      </c>
      <c r="N96" s="1">
        <v>180</v>
      </c>
      <c r="O96" s="1">
        <f t="shared" si="9"/>
        <v>0</v>
      </c>
      <c r="P96" s="1"/>
      <c r="Q96" s="1" t="s">
        <v>41</v>
      </c>
      <c r="R96" s="1" t="s">
        <v>20</v>
      </c>
    </row>
    <row r="97" spans="1:18" x14ac:dyDescent="0.35">
      <c r="A97" s="1" t="s">
        <v>128</v>
      </c>
      <c r="B97" s="1" t="str">
        <f t="shared" si="5"/>
        <v>Female</v>
      </c>
      <c r="C97" s="1" t="s">
        <v>28</v>
      </c>
      <c r="D97" s="1" t="str">
        <f t="shared" si="6"/>
        <v>No</v>
      </c>
      <c r="E97" s="1" t="s">
        <v>18</v>
      </c>
      <c r="F97" s="1">
        <v>1</v>
      </c>
      <c r="G97" s="1" t="s">
        <v>25</v>
      </c>
      <c r="H97" s="1" t="str">
        <f t="shared" si="7"/>
        <v>Yes</v>
      </c>
      <c r="I97" s="1" t="s">
        <v>24</v>
      </c>
      <c r="J97" s="1">
        <v>12342</v>
      </c>
      <c r="K97" s="1">
        <v>1591</v>
      </c>
      <c r="L97" s="1">
        <v>478</v>
      </c>
      <c r="M97" s="1">
        <f t="shared" si="8"/>
        <v>360</v>
      </c>
      <c r="N97" s="1">
        <v>360</v>
      </c>
      <c r="O97" s="1">
        <f t="shared" si="9"/>
        <v>0</v>
      </c>
      <c r="P97" s="1">
        <v>0</v>
      </c>
      <c r="Q97" s="1" t="s">
        <v>19</v>
      </c>
      <c r="R97" s="1" t="s">
        <v>26</v>
      </c>
    </row>
    <row r="98" spans="1:18" x14ac:dyDescent="0.35">
      <c r="A98" s="1" t="s">
        <v>129</v>
      </c>
      <c r="B98" s="1" t="str">
        <f t="shared" si="5"/>
        <v>Female</v>
      </c>
      <c r="C98" s="1" t="s">
        <v>61</v>
      </c>
      <c r="D98" s="1" t="str">
        <f t="shared" si="6"/>
        <v>No</v>
      </c>
      <c r="E98" s="1"/>
      <c r="F98" s="1">
        <v>1</v>
      </c>
      <c r="G98" s="1" t="s">
        <v>25</v>
      </c>
      <c r="H98" s="1" t="str">
        <f t="shared" si="7"/>
        <v>No</v>
      </c>
      <c r="I98" s="1"/>
      <c r="J98" s="1">
        <v>15020</v>
      </c>
      <c r="K98" s="1">
        <v>6481</v>
      </c>
      <c r="L98" s="1">
        <v>388</v>
      </c>
      <c r="M98" s="1">
        <f t="shared" si="8"/>
        <v>120</v>
      </c>
      <c r="N98" s="1">
        <v>120</v>
      </c>
      <c r="O98" s="1">
        <f t="shared" si="9"/>
        <v>0</v>
      </c>
      <c r="P98" s="1">
        <v>0</v>
      </c>
      <c r="Q98" s="1" t="s">
        <v>19</v>
      </c>
      <c r="R98" s="1" t="s">
        <v>26</v>
      </c>
    </row>
    <row r="99" spans="1:18" x14ac:dyDescent="0.35">
      <c r="A99" s="1" t="s">
        <v>130</v>
      </c>
      <c r="B99" s="1" t="str">
        <f t="shared" si="5"/>
        <v>Male</v>
      </c>
      <c r="C99" s="1" t="s">
        <v>52</v>
      </c>
      <c r="D99" s="1" t="str">
        <f t="shared" si="6"/>
        <v>No</v>
      </c>
      <c r="E99" s="1"/>
      <c r="F99" s="1" t="s">
        <v>16</v>
      </c>
      <c r="G99" s="1" t="s">
        <v>25</v>
      </c>
      <c r="H99" s="1" t="str">
        <f t="shared" si="7"/>
        <v>No</v>
      </c>
      <c r="I99" s="1" t="s">
        <v>22</v>
      </c>
      <c r="J99" s="1">
        <v>3160</v>
      </c>
      <c r="K99" s="1">
        <v>502</v>
      </c>
      <c r="L99" s="1">
        <v>242</v>
      </c>
      <c r="M99" s="1">
        <f t="shared" si="8"/>
        <v>360</v>
      </c>
      <c r="N99" s="1"/>
      <c r="O99" s="1">
        <f t="shared" si="9"/>
        <v>0</v>
      </c>
      <c r="P99" s="1"/>
      <c r="Q99" s="1" t="s">
        <v>41</v>
      </c>
      <c r="R99" s="1" t="s">
        <v>20</v>
      </c>
    </row>
    <row r="100" spans="1:18" x14ac:dyDescent="0.35">
      <c r="A100" s="1" t="s">
        <v>131</v>
      </c>
      <c r="B100" s="1" t="str">
        <f t="shared" si="5"/>
        <v>Male</v>
      </c>
      <c r="C100" s="1" t="s">
        <v>14</v>
      </c>
      <c r="D100" s="1" t="str">
        <f t="shared" si="6"/>
        <v>No</v>
      </c>
      <c r="E100" s="1"/>
      <c r="F100" s="1">
        <v>1</v>
      </c>
      <c r="G100" s="1" t="s">
        <v>25</v>
      </c>
      <c r="H100" s="1" t="str">
        <f t="shared" si="7"/>
        <v>Yes</v>
      </c>
      <c r="I100" s="1" t="s">
        <v>29</v>
      </c>
      <c r="J100" s="1">
        <v>7436</v>
      </c>
      <c r="K100" s="1">
        <v>9912</v>
      </c>
      <c r="L100" s="1">
        <v>526</v>
      </c>
      <c r="M100" s="1">
        <f t="shared" si="8"/>
        <v>120</v>
      </c>
      <c r="N100" s="1">
        <v>120</v>
      </c>
      <c r="O100" s="1">
        <f t="shared" si="9"/>
        <v>1</v>
      </c>
      <c r="P100" s="1">
        <v>1</v>
      </c>
      <c r="Q100" s="1" t="s">
        <v>19</v>
      </c>
      <c r="R100" s="1" t="s">
        <v>26</v>
      </c>
    </row>
    <row r="101" spans="1:18" x14ac:dyDescent="0.35">
      <c r="A101" s="1" t="s">
        <v>132</v>
      </c>
      <c r="B101" s="1" t="str">
        <f t="shared" si="5"/>
        <v>Male</v>
      </c>
      <c r="C101" s="1" t="s">
        <v>33</v>
      </c>
      <c r="D101" s="1" t="str">
        <f t="shared" si="6"/>
        <v>No</v>
      </c>
      <c r="E101" s="1" t="s">
        <v>18</v>
      </c>
      <c r="F101" s="1">
        <v>1</v>
      </c>
      <c r="G101" s="1" t="s">
        <v>17</v>
      </c>
      <c r="H101" s="1" t="str">
        <f t="shared" si="7"/>
        <v>No</v>
      </c>
      <c r="I101" s="1" t="s">
        <v>18</v>
      </c>
      <c r="J101" s="1">
        <v>10116</v>
      </c>
      <c r="K101" s="1">
        <v>9601</v>
      </c>
      <c r="L101" s="1">
        <v>332</v>
      </c>
      <c r="M101" s="1">
        <f t="shared" si="8"/>
        <v>120</v>
      </c>
      <c r="N101" s="1">
        <v>120</v>
      </c>
      <c r="O101" s="1">
        <f t="shared" si="9"/>
        <v>0</v>
      </c>
      <c r="P101" s="1"/>
      <c r="Q101" s="1" t="s">
        <v>19</v>
      </c>
      <c r="R101" s="1" t="s">
        <v>26</v>
      </c>
    </row>
    <row r="102" spans="1:18" x14ac:dyDescent="0.35">
      <c r="A102" s="1" t="s">
        <v>133</v>
      </c>
      <c r="B102" s="1" t="str">
        <f t="shared" si="5"/>
        <v>Male</v>
      </c>
      <c r="C102" s="1" t="s">
        <v>52</v>
      </c>
      <c r="D102" s="1" t="str">
        <f t="shared" si="6"/>
        <v>Yes</v>
      </c>
      <c r="E102" s="1" t="s">
        <v>29</v>
      </c>
      <c r="F102" s="1">
        <v>1</v>
      </c>
      <c r="G102" s="1" t="s">
        <v>17</v>
      </c>
      <c r="H102" s="1" t="str">
        <f t="shared" si="7"/>
        <v>Yes</v>
      </c>
      <c r="I102" s="1" t="s">
        <v>15</v>
      </c>
      <c r="J102" s="1">
        <v>19757</v>
      </c>
      <c r="K102" s="1">
        <v>3121</v>
      </c>
      <c r="L102" s="1">
        <v>637</v>
      </c>
      <c r="M102" s="1">
        <f t="shared" si="8"/>
        <v>180</v>
      </c>
      <c r="N102" s="1">
        <v>180</v>
      </c>
      <c r="O102" s="1">
        <f t="shared" si="9"/>
        <v>0</v>
      </c>
      <c r="P102" s="1">
        <v>0</v>
      </c>
      <c r="Q102" s="1" t="s">
        <v>19</v>
      </c>
      <c r="R102" s="1" t="s">
        <v>26</v>
      </c>
    </row>
    <row r="103" spans="1:18" x14ac:dyDescent="0.35">
      <c r="A103" s="1" t="s">
        <v>134</v>
      </c>
      <c r="B103" s="1" t="str">
        <f t="shared" si="5"/>
        <v>Male</v>
      </c>
      <c r="C103" s="1" t="s">
        <v>52</v>
      </c>
      <c r="D103" s="1" t="str">
        <f t="shared" si="6"/>
        <v>No</v>
      </c>
      <c r="E103" s="1"/>
      <c r="F103" s="1">
        <v>1</v>
      </c>
      <c r="G103" s="1" t="s">
        <v>25</v>
      </c>
      <c r="H103" s="1" t="str">
        <f t="shared" si="7"/>
        <v>No</v>
      </c>
      <c r="I103" s="1"/>
      <c r="J103" s="1">
        <v>8345</v>
      </c>
      <c r="K103" s="1">
        <v>8815</v>
      </c>
      <c r="L103" s="1">
        <v>422</v>
      </c>
      <c r="M103" s="1">
        <f t="shared" si="8"/>
        <v>180</v>
      </c>
      <c r="N103" s="1">
        <v>180</v>
      </c>
      <c r="O103" s="1">
        <f t="shared" si="9"/>
        <v>1</v>
      </c>
      <c r="P103" s="1">
        <v>1</v>
      </c>
      <c r="Q103" s="1" t="s">
        <v>19</v>
      </c>
      <c r="R103" s="1" t="s">
        <v>20</v>
      </c>
    </row>
    <row r="104" spans="1:18" x14ac:dyDescent="0.35">
      <c r="A104" s="1" t="s">
        <v>135</v>
      </c>
      <c r="B104" s="1" t="str">
        <f t="shared" si="5"/>
        <v>Male</v>
      </c>
      <c r="C104" s="1" t="s">
        <v>33</v>
      </c>
      <c r="D104" s="1" t="str">
        <f t="shared" si="6"/>
        <v>No</v>
      </c>
      <c r="E104" s="1"/>
      <c r="F104" s="1">
        <v>0</v>
      </c>
      <c r="G104" s="1" t="s">
        <v>25</v>
      </c>
      <c r="H104" s="1" t="str">
        <f t="shared" si="7"/>
        <v>No</v>
      </c>
      <c r="I104" s="1"/>
      <c r="J104" s="1">
        <v>15065</v>
      </c>
      <c r="K104" s="1">
        <v>662</v>
      </c>
      <c r="L104" s="1">
        <v>115</v>
      </c>
      <c r="M104" s="1">
        <f t="shared" si="8"/>
        <v>180</v>
      </c>
      <c r="N104" s="1">
        <v>180</v>
      </c>
      <c r="O104" s="1">
        <f t="shared" si="9"/>
        <v>1</v>
      </c>
      <c r="P104" s="1">
        <v>1</v>
      </c>
      <c r="Q104" s="1" t="s">
        <v>30</v>
      </c>
      <c r="R104" s="1" t="s">
        <v>26</v>
      </c>
    </row>
    <row r="105" spans="1:18" x14ac:dyDescent="0.35">
      <c r="A105" s="1" t="s">
        <v>136</v>
      </c>
      <c r="B105" s="1" t="str">
        <f t="shared" si="5"/>
        <v>Female</v>
      </c>
      <c r="C105" s="1" t="s">
        <v>43</v>
      </c>
      <c r="D105" s="1" t="str">
        <f t="shared" si="6"/>
        <v>Yes</v>
      </c>
      <c r="E105" s="1" t="s">
        <v>29</v>
      </c>
      <c r="F105" s="1">
        <v>2</v>
      </c>
      <c r="G105" s="1" t="s">
        <v>25</v>
      </c>
      <c r="H105" s="1" t="str">
        <f t="shared" si="7"/>
        <v>No</v>
      </c>
      <c r="I105" s="1"/>
      <c r="J105" s="1">
        <v>18815</v>
      </c>
      <c r="K105" s="1">
        <v>4439</v>
      </c>
      <c r="L105" s="1">
        <v>534</v>
      </c>
      <c r="M105" s="1">
        <f t="shared" si="8"/>
        <v>360</v>
      </c>
      <c r="N105" s="1">
        <v>360</v>
      </c>
      <c r="O105" s="1">
        <f t="shared" si="9"/>
        <v>1</v>
      </c>
      <c r="P105" s="1">
        <v>1</v>
      </c>
      <c r="Q105" s="1" t="s">
        <v>41</v>
      </c>
      <c r="R105" s="1" t="s">
        <v>26</v>
      </c>
    </row>
    <row r="106" spans="1:18" x14ac:dyDescent="0.35">
      <c r="A106" s="1" t="s">
        <v>137</v>
      </c>
      <c r="B106" s="1" t="str">
        <f t="shared" si="5"/>
        <v>Male</v>
      </c>
      <c r="C106" s="1" t="s">
        <v>14</v>
      </c>
      <c r="D106" s="1" t="str">
        <f t="shared" si="6"/>
        <v>No</v>
      </c>
      <c r="E106" s="1" t="s">
        <v>36</v>
      </c>
      <c r="F106" s="1" t="s">
        <v>16</v>
      </c>
      <c r="G106" s="1" t="s">
        <v>17</v>
      </c>
      <c r="H106" s="1" t="str">
        <f t="shared" si="7"/>
        <v>Yes</v>
      </c>
      <c r="I106" s="1" t="s">
        <v>15</v>
      </c>
      <c r="J106" s="1">
        <v>15687</v>
      </c>
      <c r="K106" s="1">
        <v>99</v>
      </c>
      <c r="L106" s="1">
        <v>377</v>
      </c>
      <c r="M106" s="1">
        <f t="shared" si="8"/>
        <v>120</v>
      </c>
      <c r="N106" s="1">
        <v>120</v>
      </c>
      <c r="O106" s="1">
        <f t="shared" si="9"/>
        <v>0</v>
      </c>
      <c r="P106" s="1"/>
      <c r="Q106" s="1" t="s">
        <v>19</v>
      </c>
      <c r="R106" s="1" t="s">
        <v>20</v>
      </c>
    </row>
    <row r="107" spans="1:18" x14ac:dyDescent="0.35">
      <c r="A107" s="1" t="s">
        <v>138</v>
      </c>
      <c r="B107" s="1" t="str">
        <f t="shared" si="5"/>
        <v>Male</v>
      </c>
      <c r="C107" s="1" t="s">
        <v>52</v>
      </c>
      <c r="D107" s="1" t="str">
        <f t="shared" si="6"/>
        <v>Yes</v>
      </c>
      <c r="E107" s="1" t="s">
        <v>24</v>
      </c>
      <c r="F107" s="1">
        <v>1</v>
      </c>
      <c r="G107" s="1" t="s">
        <v>25</v>
      </c>
      <c r="H107" s="1" t="str">
        <f t="shared" si="7"/>
        <v>No</v>
      </c>
      <c r="I107" s="1"/>
      <c r="J107" s="1">
        <v>11692</v>
      </c>
      <c r="K107" s="1">
        <v>9572</v>
      </c>
      <c r="L107" s="1">
        <v>312</v>
      </c>
      <c r="M107" s="1">
        <f t="shared" si="8"/>
        <v>360</v>
      </c>
      <c r="N107" s="1">
        <v>360</v>
      </c>
      <c r="O107" s="1">
        <f t="shared" si="9"/>
        <v>0</v>
      </c>
      <c r="P107" s="1">
        <v>0</v>
      </c>
      <c r="Q107" s="1" t="s">
        <v>30</v>
      </c>
      <c r="R107" s="1" t="s">
        <v>26</v>
      </c>
    </row>
    <row r="108" spans="1:18" x14ac:dyDescent="0.35">
      <c r="A108" s="1" t="s">
        <v>139</v>
      </c>
      <c r="B108" s="1" t="str">
        <f t="shared" si="5"/>
        <v>Unknown</v>
      </c>
      <c r="C108" s="1"/>
      <c r="D108" s="1" t="str">
        <f t="shared" si="6"/>
        <v>No</v>
      </c>
      <c r="E108" s="1" t="s">
        <v>22</v>
      </c>
      <c r="F108" s="1">
        <v>0</v>
      </c>
      <c r="G108" s="1" t="s">
        <v>17</v>
      </c>
      <c r="H108" s="1" t="str">
        <f t="shared" si="7"/>
        <v>No</v>
      </c>
      <c r="I108" s="1"/>
      <c r="J108" s="1">
        <v>15000</v>
      </c>
      <c r="K108" s="1">
        <v>4739</v>
      </c>
      <c r="L108" s="1">
        <v>582</v>
      </c>
      <c r="M108" s="1">
        <f t="shared" si="8"/>
        <v>360</v>
      </c>
      <c r="N108" s="1">
        <v>360</v>
      </c>
      <c r="O108" s="1">
        <f t="shared" si="9"/>
        <v>1</v>
      </c>
      <c r="P108" s="1">
        <v>1</v>
      </c>
      <c r="Q108" s="1" t="s">
        <v>41</v>
      </c>
      <c r="R108" s="1" t="s">
        <v>20</v>
      </c>
    </row>
    <row r="109" spans="1:18" x14ac:dyDescent="0.35">
      <c r="A109" s="1" t="s">
        <v>140</v>
      </c>
      <c r="B109" s="1" t="str">
        <f t="shared" si="5"/>
        <v>Unknown</v>
      </c>
      <c r="C109" s="1"/>
      <c r="D109" s="1" t="str">
        <f t="shared" si="6"/>
        <v>Yes</v>
      </c>
      <c r="E109" s="1" t="s">
        <v>24</v>
      </c>
      <c r="F109" s="1">
        <v>2</v>
      </c>
      <c r="G109" s="1" t="s">
        <v>25</v>
      </c>
      <c r="H109" s="1" t="str">
        <f t="shared" si="7"/>
        <v>Yes</v>
      </c>
      <c r="I109" s="1" t="s">
        <v>24</v>
      </c>
      <c r="J109" s="1">
        <v>14573</v>
      </c>
      <c r="K109" s="1">
        <v>1499</v>
      </c>
      <c r="L109" s="1">
        <v>625</v>
      </c>
      <c r="M109" s="1">
        <f t="shared" si="8"/>
        <v>360</v>
      </c>
      <c r="N109" s="1">
        <v>360</v>
      </c>
      <c r="O109" s="1">
        <f t="shared" si="9"/>
        <v>0</v>
      </c>
      <c r="P109" s="1"/>
      <c r="Q109" s="1" t="s">
        <v>41</v>
      </c>
      <c r="R109" s="1" t="s">
        <v>26</v>
      </c>
    </row>
    <row r="110" spans="1:18" x14ac:dyDescent="0.35">
      <c r="A110" s="1" t="s">
        <v>141</v>
      </c>
      <c r="B110" s="1" t="str">
        <f t="shared" si="5"/>
        <v>Unknown</v>
      </c>
      <c r="C110" s="1"/>
      <c r="D110" s="1" t="str">
        <f t="shared" si="6"/>
        <v>No</v>
      </c>
      <c r="E110" s="1"/>
      <c r="F110" s="1">
        <v>0</v>
      </c>
      <c r="G110" s="1" t="s">
        <v>25</v>
      </c>
      <c r="H110" s="1" t="str">
        <f t="shared" si="7"/>
        <v>Yes</v>
      </c>
      <c r="I110" s="1" t="s">
        <v>24</v>
      </c>
      <c r="J110" s="1">
        <v>10631</v>
      </c>
      <c r="K110" s="1">
        <v>2904</v>
      </c>
      <c r="L110" s="1">
        <v>159</v>
      </c>
      <c r="M110" s="1">
        <f t="shared" si="8"/>
        <v>120</v>
      </c>
      <c r="N110" s="1">
        <v>120</v>
      </c>
      <c r="O110" s="1">
        <f t="shared" si="9"/>
        <v>0</v>
      </c>
      <c r="P110" s="1">
        <v>0</v>
      </c>
      <c r="Q110" s="1" t="s">
        <v>41</v>
      </c>
      <c r="R110" s="1" t="s">
        <v>20</v>
      </c>
    </row>
    <row r="111" spans="1:18" x14ac:dyDescent="0.35">
      <c r="A111" s="1" t="s">
        <v>142</v>
      </c>
      <c r="B111" s="1" t="str">
        <f t="shared" si="5"/>
        <v>Male</v>
      </c>
      <c r="C111" s="1" t="s">
        <v>14</v>
      </c>
      <c r="D111" s="1" t="str">
        <f t="shared" si="6"/>
        <v>No</v>
      </c>
      <c r="E111" s="1" t="s">
        <v>22</v>
      </c>
      <c r="F111" s="1">
        <v>2</v>
      </c>
      <c r="G111" s="1" t="s">
        <v>17</v>
      </c>
      <c r="H111" s="1" t="str">
        <f t="shared" si="7"/>
        <v>No</v>
      </c>
      <c r="I111" s="1" t="s">
        <v>36</v>
      </c>
      <c r="J111" s="1">
        <v>3094</v>
      </c>
      <c r="K111" s="1">
        <v>511</v>
      </c>
      <c r="L111" s="1">
        <v>519</v>
      </c>
      <c r="M111" s="1">
        <f t="shared" si="8"/>
        <v>180</v>
      </c>
      <c r="N111" s="1">
        <v>180</v>
      </c>
      <c r="O111" s="1">
        <f t="shared" si="9"/>
        <v>0</v>
      </c>
      <c r="P111" s="1"/>
      <c r="Q111" s="1" t="s">
        <v>41</v>
      </c>
      <c r="R111" s="1" t="s">
        <v>20</v>
      </c>
    </row>
    <row r="112" spans="1:18" x14ac:dyDescent="0.35">
      <c r="A112" s="1" t="s">
        <v>143</v>
      </c>
      <c r="B112" s="1" t="str">
        <f t="shared" si="5"/>
        <v>Female</v>
      </c>
      <c r="C112" s="1" t="s">
        <v>61</v>
      </c>
      <c r="D112" s="1" t="str">
        <f t="shared" si="6"/>
        <v>No</v>
      </c>
      <c r="E112" s="1" t="s">
        <v>36</v>
      </c>
      <c r="F112" s="1">
        <v>1</v>
      </c>
      <c r="G112" s="1" t="s">
        <v>17</v>
      </c>
      <c r="H112" s="1" t="str">
        <f t="shared" si="7"/>
        <v>No</v>
      </c>
      <c r="I112" s="1" t="s">
        <v>18</v>
      </c>
      <c r="J112" s="1">
        <v>12111</v>
      </c>
      <c r="K112" s="1">
        <v>3110</v>
      </c>
      <c r="L112" s="1">
        <v>569</v>
      </c>
      <c r="M112" s="1">
        <f t="shared" si="8"/>
        <v>120</v>
      </c>
      <c r="N112" s="1">
        <v>120</v>
      </c>
      <c r="O112" s="1">
        <f t="shared" si="9"/>
        <v>0</v>
      </c>
      <c r="P112" s="1">
        <v>0</v>
      </c>
      <c r="Q112" s="1" t="s">
        <v>19</v>
      </c>
      <c r="R112" s="1" t="s">
        <v>26</v>
      </c>
    </row>
    <row r="113" spans="1:18" x14ac:dyDescent="0.35">
      <c r="A113" s="1" t="s">
        <v>144</v>
      </c>
      <c r="B113" s="1" t="str">
        <f t="shared" si="5"/>
        <v>Female</v>
      </c>
      <c r="C113" s="1" t="s">
        <v>43</v>
      </c>
      <c r="D113" s="1" t="str">
        <f t="shared" si="6"/>
        <v>No</v>
      </c>
      <c r="E113" s="1"/>
      <c r="F113" s="1" t="s">
        <v>16</v>
      </c>
      <c r="G113" s="1" t="s">
        <v>25</v>
      </c>
      <c r="H113" s="1" t="str">
        <f t="shared" si="7"/>
        <v>No</v>
      </c>
      <c r="I113" s="1" t="s">
        <v>36</v>
      </c>
      <c r="J113" s="1">
        <v>8026</v>
      </c>
      <c r="K113" s="1">
        <v>7352</v>
      </c>
      <c r="L113" s="1">
        <v>344</v>
      </c>
      <c r="M113" s="1">
        <f t="shared" si="8"/>
        <v>360</v>
      </c>
      <c r="N113" s="1"/>
      <c r="O113" s="1">
        <f t="shared" si="9"/>
        <v>0</v>
      </c>
      <c r="P113" s="1"/>
      <c r="Q113" s="1" t="s">
        <v>30</v>
      </c>
      <c r="R113" s="1" t="s">
        <v>20</v>
      </c>
    </row>
    <row r="114" spans="1:18" x14ac:dyDescent="0.35">
      <c r="A114" s="1" t="s">
        <v>145</v>
      </c>
      <c r="B114" s="1" t="str">
        <f t="shared" si="5"/>
        <v>Male</v>
      </c>
      <c r="C114" s="1" t="s">
        <v>52</v>
      </c>
      <c r="D114" s="1" t="str">
        <f t="shared" si="6"/>
        <v>No</v>
      </c>
      <c r="E114" s="1" t="s">
        <v>22</v>
      </c>
      <c r="F114" s="1">
        <v>2</v>
      </c>
      <c r="G114" s="1" t="s">
        <v>25</v>
      </c>
      <c r="H114" s="1" t="str">
        <f t="shared" si="7"/>
        <v>No</v>
      </c>
      <c r="I114" s="1"/>
      <c r="J114" s="1">
        <v>2164</v>
      </c>
      <c r="K114" s="1">
        <v>8965</v>
      </c>
      <c r="L114" s="1">
        <v>670</v>
      </c>
      <c r="M114" s="1">
        <f t="shared" si="8"/>
        <v>180</v>
      </c>
      <c r="N114" s="1">
        <v>180</v>
      </c>
      <c r="O114" s="1">
        <f t="shared" si="9"/>
        <v>0</v>
      </c>
      <c r="P114" s="1">
        <v>0</v>
      </c>
      <c r="Q114" s="1" t="s">
        <v>41</v>
      </c>
      <c r="R114" s="1" t="s">
        <v>26</v>
      </c>
    </row>
    <row r="115" spans="1:18" x14ac:dyDescent="0.35">
      <c r="A115" s="1" t="s">
        <v>146</v>
      </c>
      <c r="B115" s="1" t="str">
        <f t="shared" si="5"/>
        <v>Female</v>
      </c>
      <c r="C115" s="1" t="s">
        <v>61</v>
      </c>
      <c r="D115" s="1" t="str">
        <f t="shared" si="6"/>
        <v>No</v>
      </c>
      <c r="E115" s="1"/>
      <c r="F115" s="1">
        <v>0</v>
      </c>
      <c r="G115" s="1" t="s">
        <v>25</v>
      </c>
      <c r="H115" s="1" t="str">
        <f t="shared" si="7"/>
        <v>No</v>
      </c>
      <c r="I115" s="1" t="s">
        <v>36</v>
      </c>
      <c r="J115" s="1">
        <v>9025</v>
      </c>
      <c r="K115" s="1">
        <v>7009</v>
      </c>
      <c r="L115" s="1">
        <v>236</v>
      </c>
      <c r="M115" s="1">
        <f t="shared" si="8"/>
        <v>360</v>
      </c>
      <c r="N115" s="1"/>
      <c r="O115" s="1">
        <f t="shared" si="9"/>
        <v>1</v>
      </c>
      <c r="P115" s="1">
        <v>1</v>
      </c>
      <c r="Q115" s="1" t="s">
        <v>41</v>
      </c>
      <c r="R115" s="1" t="s">
        <v>26</v>
      </c>
    </row>
    <row r="116" spans="1:18" x14ac:dyDescent="0.35">
      <c r="A116" s="1" t="s">
        <v>147</v>
      </c>
      <c r="B116" s="1" t="str">
        <f t="shared" si="5"/>
        <v>Unknown</v>
      </c>
      <c r="C116" s="1"/>
      <c r="D116" s="1" t="str">
        <f t="shared" si="6"/>
        <v>No</v>
      </c>
      <c r="E116" s="1"/>
      <c r="F116" s="1" t="s">
        <v>16</v>
      </c>
      <c r="G116" s="1" t="s">
        <v>25</v>
      </c>
      <c r="H116" s="1" t="str">
        <f t="shared" si="7"/>
        <v>Yes</v>
      </c>
      <c r="I116" s="1" t="s">
        <v>29</v>
      </c>
      <c r="J116" s="1">
        <v>15261</v>
      </c>
      <c r="K116" s="1">
        <v>6225</v>
      </c>
      <c r="L116" s="1">
        <v>499</v>
      </c>
      <c r="M116" s="1">
        <f t="shared" si="8"/>
        <v>360</v>
      </c>
      <c r="N116" s="1">
        <v>360</v>
      </c>
      <c r="O116" s="1">
        <f t="shared" si="9"/>
        <v>0</v>
      </c>
      <c r="P116" s="1">
        <v>0</v>
      </c>
      <c r="Q116" s="1" t="s">
        <v>19</v>
      </c>
      <c r="R116" s="1" t="s">
        <v>20</v>
      </c>
    </row>
    <row r="117" spans="1:18" x14ac:dyDescent="0.35">
      <c r="A117" s="1" t="s">
        <v>148</v>
      </c>
      <c r="B117" s="1" t="str">
        <f t="shared" si="5"/>
        <v>Male</v>
      </c>
      <c r="C117" s="1" t="s">
        <v>52</v>
      </c>
      <c r="D117" s="1" t="str">
        <f t="shared" si="6"/>
        <v>Yes</v>
      </c>
      <c r="E117" s="1" t="s">
        <v>15</v>
      </c>
      <c r="F117" s="1" t="s">
        <v>16</v>
      </c>
      <c r="G117" s="1" t="s">
        <v>17</v>
      </c>
      <c r="H117" s="1" t="str">
        <f t="shared" si="7"/>
        <v>Yes</v>
      </c>
      <c r="I117" s="1" t="s">
        <v>29</v>
      </c>
      <c r="J117" s="1">
        <v>15126</v>
      </c>
      <c r="K117" s="1">
        <v>7643</v>
      </c>
      <c r="L117" s="1">
        <v>350</v>
      </c>
      <c r="M117" s="1">
        <f t="shared" si="8"/>
        <v>360</v>
      </c>
      <c r="N117" s="1">
        <v>360</v>
      </c>
      <c r="O117" s="1">
        <f t="shared" si="9"/>
        <v>0</v>
      </c>
      <c r="P117" s="1">
        <v>0</v>
      </c>
      <c r="Q117" s="1" t="s">
        <v>41</v>
      </c>
      <c r="R117" s="1" t="s">
        <v>20</v>
      </c>
    </row>
    <row r="118" spans="1:18" x14ac:dyDescent="0.35">
      <c r="A118" s="1" t="s">
        <v>149</v>
      </c>
      <c r="B118" s="1" t="str">
        <f t="shared" si="5"/>
        <v>Male</v>
      </c>
      <c r="C118" s="1" t="s">
        <v>52</v>
      </c>
      <c r="D118" s="1" t="str">
        <f t="shared" si="6"/>
        <v>Yes</v>
      </c>
      <c r="E118" s="1" t="s">
        <v>24</v>
      </c>
      <c r="F118" s="1">
        <v>0</v>
      </c>
      <c r="G118" s="1" t="s">
        <v>25</v>
      </c>
      <c r="H118" s="1" t="str">
        <f t="shared" si="7"/>
        <v>No</v>
      </c>
      <c r="I118" s="1" t="s">
        <v>36</v>
      </c>
      <c r="J118" s="1">
        <v>15578</v>
      </c>
      <c r="K118" s="1">
        <v>5851</v>
      </c>
      <c r="L118" s="1">
        <v>578</v>
      </c>
      <c r="M118" s="1">
        <f t="shared" si="8"/>
        <v>180</v>
      </c>
      <c r="N118" s="1">
        <v>180</v>
      </c>
      <c r="O118" s="1">
        <f t="shared" si="9"/>
        <v>1</v>
      </c>
      <c r="P118" s="1">
        <v>1</v>
      </c>
      <c r="Q118" s="1" t="s">
        <v>41</v>
      </c>
      <c r="R118" s="1" t="s">
        <v>20</v>
      </c>
    </row>
    <row r="119" spans="1:18" x14ac:dyDescent="0.35">
      <c r="A119" s="1" t="s">
        <v>150</v>
      </c>
      <c r="B119" s="1" t="str">
        <f t="shared" si="5"/>
        <v>Female</v>
      </c>
      <c r="C119" s="1" t="s">
        <v>28</v>
      </c>
      <c r="D119" s="1" t="str">
        <f t="shared" si="6"/>
        <v>No</v>
      </c>
      <c r="E119" s="1"/>
      <c r="F119" s="1" t="s">
        <v>16</v>
      </c>
      <c r="G119" s="1" t="s">
        <v>17</v>
      </c>
      <c r="H119" s="1" t="str">
        <f t="shared" si="7"/>
        <v>No</v>
      </c>
      <c r="I119" s="1" t="s">
        <v>36</v>
      </c>
      <c r="J119" s="1">
        <v>13267</v>
      </c>
      <c r="K119" s="1">
        <v>4588</v>
      </c>
      <c r="L119" s="1">
        <v>460</v>
      </c>
      <c r="M119" s="1">
        <f t="shared" si="8"/>
        <v>180</v>
      </c>
      <c r="N119" s="1">
        <v>180</v>
      </c>
      <c r="O119" s="1">
        <f t="shared" si="9"/>
        <v>0</v>
      </c>
      <c r="P119" s="1"/>
      <c r="Q119" s="1" t="s">
        <v>19</v>
      </c>
      <c r="R119" s="1" t="s">
        <v>26</v>
      </c>
    </row>
    <row r="120" spans="1:18" x14ac:dyDescent="0.35">
      <c r="A120" s="1" t="s">
        <v>151</v>
      </c>
      <c r="B120" s="1" t="str">
        <f t="shared" si="5"/>
        <v>Female</v>
      </c>
      <c r="C120" s="1" t="s">
        <v>28</v>
      </c>
      <c r="D120" s="1" t="str">
        <f t="shared" si="6"/>
        <v>No</v>
      </c>
      <c r="E120" s="1" t="s">
        <v>18</v>
      </c>
      <c r="F120" s="1">
        <v>0</v>
      </c>
      <c r="G120" s="1" t="s">
        <v>17</v>
      </c>
      <c r="H120" s="1" t="str">
        <f t="shared" si="7"/>
        <v>Yes</v>
      </c>
      <c r="I120" s="1" t="s">
        <v>15</v>
      </c>
      <c r="J120" s="1">
        <v>18217</v>
      </c>
      <c r="K120" s="1">
        <v>5493</v>
      </c>
      <c r="L120" s="1">
        <v>272</v>
      </c>
      <c r="M120" s="1">
        <f t="shared" si="8"/>
        <v>360</v>
      </c>
      <c r="N120" s="1"/>
      <c r="O120" s="1">
        <f t="shared" si="9"/>
        <v>0</v>
      </c>
      <c r="P120" s="1">
        <v>0</v>
      </c>
      <c r="Q120" s="1" t="s">
        <v>41</v>
      </c>
      <c r="R120" s="1" t="s">
        <v>20</v>
      </c>
    </row>
    <row r="121" spans="1:18" x14ac:dyDescent="0.35">
      <c r="A121" s="1" t="s">
        <v>152</v>
      </c>
      <c r="B121" s="1" t="str">
        <f t="shared" si="5"/>
        <v>Male</v>
      </c>
      <c r="C121" s="1" t="s">
        <v>33</v>
      </c>
      <c r="D121" s="1" t="str">
        <f t="shared" si="6"/>
        <v>No</v>
      </c>
      <c r="E121" s="1"/>
      <c r="F121" s="1">
        <v>2</v>
      </c>
      <c r="G121" s="1" t="s">
        <v>25</v>
      </c>
      <c r="H121" s="1" t="str">
        <f t="shared" si="7"/>
        <v>Yes</v>
      </c>
      <c r="I121" s="1" t="s">
        <v>24</v>
      </c>
      <c r="J121" s="1">
        <v>14093</v>
      </c>
      <c r="K121" s="1">
        <v>2923</v>
      </c>
      <c r="L121" s="1">
        <v>477</v>
      </c>
      <c r="M121" s="1">
        <f t="shared" si="8"/>
        <v>360</v>
      </c>
      <c r="N121" s="1"/>
      <c r="O121" s="1">
        <f t="shared" si="9"/>
        <v>1</v>
      </c>
      <c r="P121" s="1">
        <v>1</v>
      </c>
      <c r="Q121" s="1" t="s">
        <v>30</v>
      </c>
      <c r="R121" s="1" t="s">
        <v>26</v>
      </c>
    </row>
    <row r="122" spans="1:18" x14ac:dyDescent="0.35">
      <c r="A122" s="1" t="s">
        <v>153</v>
      </c>
      <c r="B122" s="1" t="str">
        <f t="shared" si="5"/>
        <v>Male</v>
      </c>
      <c r="C122" s="1" t="s">
        <v>52</v>
      </c>
      <c r="D122" s="1" t="str">
        <f t="shared" si="6"/>
        <v>No</v>
      </c>
      <c r="E122" s="1" t="s">
        <v>22</v>
      </c>
      <c r="F122" s="1" t="s">
        <v>16</v>
      </c>
      <c r="G122" s="1" t="s">
        <v>17</v>
      </c>
      <c r="H122" s="1" t="str">
        <f t="shared" si="7"/>
        <v>Yes</v>
      </c>
      <c r="I122" s="1" t="s">
        <v>24</v>
      </c>
      <c r="J122" s="1">
        <v>14386</v>
      </c>
      <c r="K122" s="1">
        <v>8132</v>
      </c>
      <c r="L122" s="1">
        <v>629</v>
      </c>
      <c r="M122" s="1">
        <f t="shared" si="8"/>
        <v>120</v>
      </c>
      <c r="N122" s="1">
        <v>120</v>
      </c>
      <c r="O122" s="1">
        <f t="shared" si="9"/>
        <v>0</v>
      </c>
      <c r="P122" s="1">
        <v>0</v>
      </c>
      <c r="Q122" s="1" t="s">
        <v>19</v>
      </c>
      <c r="R122" s="1" t="s">
        <v>20</v>
      </c>
    </row>
    <row r="123" spans="1:18" x14ac:dyDescent="0.35">
      <c r="A123" s="1" t="s">
        <v>154</v>
      </c>
      <c r="B123" s="1" t="str">
        <f t="shared" si="5"/>
        <v>Male</v>
      </c>
      <c r="C123" s="1" t="s">
        <v>52</v>
      </c>
      <c r="D123" s="1" t="str">
        <f t="shared" si="6"/>
        <v>No</v>
      </c>
      <c r="E123" s="1"/>
      <c r="F123" s="1">
        <v>1</v>
      </c>
      <c r="G123" s="1" t="s">
        <v>25</v>
      </c>
      <c r="H123" s="1" t="str">
        <f t="shared" si="7"/>
        <v>No</v>
      </c>
      <c r="I123" s="1" t="s">
        <v>22</v>
      </c>
      <c r="J123" s="1">
        <v>14474</v>
      </c>
      <c r="K123" s="1">
        <v>9451</v>
      </c>
      <c r="L123" s="1">
        <v>415</v>
      </c>
      <c r="M123" s="1">
        <f t="shared" si="8"/>
        <v>360</v>
      </c>
      <c r="N123" s="1"/>
      <c r="O123" s="1">
        <f t="shared" si="9"/>
        <v>0</v>
      </c>
      <c r="P123" s="1"/>
      <c r="Q123" s="1" t="s">
        <v>19</v>
      </c>
      <c r="R123" s="1" t="s">
        <v>20</v>
      </c>
    </row>
    <row r="124" spans="1:18" x14ac:dyDescent="0.35">
      <c r="A124" s="1" t="s">
        <v>155</v>
      </c>
      <c r="B124" s="1" t="str">
        <f t="shared" si="5"/>
        <v>Female</v>
      </c>
      <c r="C124" s="1" t="s">
        <v>28</v>
      </c>
      <c r="D124" s="1" t="str">
        <f t="shared" si="6"/>
        <v>Yes</v>
      </c>
      <c r="E124" s="1" t="s">
        <v>15</v>
      </c>
      <c r="F124" s="1" t="s">
        <v>16</v>
      </c>
      <c r="G124" s="1" t="s">
        <v>25</v>
      </c>
      <c r="H124" s="1" t="str">
        <f t="shared" si="7"/>
        <v>Yes</v>
      </c>
      <c r="I124" s="1" t="s">
        <v>24</v>
      </c>
      <c r="J124" s="1">
        <v>10032</v>
      </c>
      <c r="K124" s="1">
        <v>1758</v>
      </c>
      <c r="L124" s="1">
        <v>209</v>
      </c>
      <c r="M124" s="1">
        <f t="shared" si="8"/>
        <v>360</v>
      </c>
      <c r="N124" s="1">
        <v>360</v>
      </c>
      <c r="O124" s="1">
        <f t="shared" si="9"/>
        <v>0</v>
      </c>
      <c r="P124" s="1"/>
      <c r="Q124" s="1" t="s">
        <v>19</v>
      </c>
      <c r="R124" s="1" t="s">
        <v>26</v>
      </c>
    </row>
    <row r="125" spans="1:18" x14ac:dyDescent="0.35">
      <c r="A125" s="1" t="s">
        <v>156</v>
      </c>
      <c r="B125" s="1" t="str">
        <f t="shared" si="5"/>
        <v>Female</v>
      </c>
      <c r="C125" s="1" t="s">
        <v>28</v>
      </c>
      <c r="D125" s="1" t="str">
        <f t="shared" si="6"/>
        <v>Yes</v>
      </c>
      <c r="E125" s="1" t="s">
        <v>29</v>
      </c>
      <c r="F125" s="1">
        <v>2</v>
      </c>
      <c r="G125" s="1" t="s">
        <v>17</v>
      </c>
      <c r="H125" s="1" t="str">
        <f t="shared" si="7"/>
        <v>No</v>
      </c>
      <c r="I125" s="1" t="s">
        <v>22</v>
      </c>
      <c r="J125" s="1">
        <v>9197</v>
      </c>
      <c r="K125" s="1">
        <v>8614</v>
      </c>
      <c r="L125" s="1">
        <v>462</v>
      </c>
      <c r="M125" s="1">
        <f t="shared" si="8"/>
        <v>360</v>
      </c>
      <c r="N125" s="1">
        <v>360</v>
      </c>
      <c r="O125" s="1">
        <f t="shared" si="9"/>
        <v>0</v>
      </c>
      <c r="P125" s="1">
        <v>0</v>
      </c>
      <c r="Q125" s="1" t="s">
        <v>41</v>
      </c>
      <c r="R125" s="1" t="s">
        <v>20</v>
      </c>
    </row>
    <row r="126" spans="1:18" x14ac:dyDescent="0.35">
      <c r="A126" s="1" t="s">
        <v>157</v>
      </c>
      <c r="B126" s="1" t="str">
        <f t="shared" si="5"/>
        <v>Male</v>
      </c>
      <c r="C126" s="1" t="s">
        <v>52</v>
      </c>
      <c r="D126" s="1" t="str">
        <f t="shared" si="6"/>
        <v>No</v>
      </c>
      <c r="E126" s="1" t="s">
        <v>18</v>
      </c>
      <c r="F126" s="1" t="s">
        <v>16</v>
      </c>
      <c r="G126" s="1" t="s">
        <v>25</v>
      </c>
      <c r="H126" s="1" t="str">
        <f t="shared" si="7"/>
        <v>No</v>
      </c>
      <c r="I126" s="1" t="s">
        <v>36</v>
      </c>
      <c r="J126" s="1">
        <v>11471</v>
      </c>
      <c r="K126" s="1">
        <v>5166</v>
      </c>
      <c r="L126" s="1">
        <v>480</v>
      </c>
      <c r="M126" s="1">
        <f t="shared" si="8"/>
        <v>180</v>
      </c>
      <c r="N126" s="1">
        <v>180</v>
      </c>
      <c r="O126" s="1">
        <f t="shared" si="9"/>
        <v>0</v>
      </c>
      <c r="P126" s="1"/>
      <c r="Q126" s="1" t="s">
        <v>19</v>
      </c>
      <c r="R126" s="1" t="s">
        <v>26</v>
      </c>
    </row>
    <row r="127" spans="1:18" x14ac:dyDescent="0.35">
      <c r="A127" s="1" t="s">
        <v>158</v>
      </c>
      <c r="B127" s="1" t="str">
        <f t="shared" si="5"/>
        <v>Female</v>
      </c>
      <c r="C127" s="1" t="s">
        <v>28</v>
      </c>
      <c r="D127" s="1" t="str">
        <f t="shared" si="6"/>
        <v>Yes</v>
      </c>
      <c r="E127" s="1" t="s">
        <v>15</v>
      </c>
      <c r="F127" s="1" t="s">
        <v>16</v>
      </c>
      <c r="G127" s="1" t="s">
        <v>17</v>
      </c>
      <c r="H127" s="1" t="str">
        <f t="shared" si="7"/>
        <v>No</v>
      </c>
      <c r="I127" s="1" t="s">
        <v>22</v>
      </c>
      <c r="J127" s="1">
        <v>5172</v>
      </c>
      <c r="K127" s="1">
        <v>3854</v>
      </c>
      <c r="L127" s="1">
        <v>460</v>
      </c>
      <c r="M127" s="1">
        <f t="shared" si="8"/>
        <v>180</v>
      </c>
      <c r="N127" s="1">
        <v>180</v>
      </c>
      <c r="O127" s="1">
        <f t="shared" si="9"/>
        <v>0</v>
      </c>
      <c r="P127" s="1"/>
      <c r="Q127" s="1" t="s">
        <v>30</v>
      </c>
      <c r="R127" s="1" t="s">
        <v>26</v>
      </c>
    </row>
    <row r="128" spans="1:18" x14ac:dyDescent="0.35">
      <c r="A128" s="1" t="s">
        <v>159</v>
      </c>
      <c r="B128" s="1" t="str">
        <f t="shared" si="5"/>
        <v>Male</v>
      </c>
      <c r="C128" s="1" t="s">
        <v>14</v>
      </c>
      <c r="D128" s="1" t="str">
        <f t="shared" si="6"/>
        <v>No</v>
      </c>
      <c r="E128" s="1"/>
      <c r="F128" s="1" t="s">
        <v>16</v>
      </c>
      <c r="G128" s="1" t="s">
        <v>25</v>
      </c>
      <c r="H128" s="1" t="str">
        <f t="shared" si="7"/>
        <v>No</v>
      </c>
      <c r="I128" s="1" t="s">
        <v>22</v>
      </c>
      <c r="J128" s="1">
        <v>8183</v>
      </c>
      <c r="K128" s="1">
        <v>2817</v>
      </c>
      <c r="L128" s="1">
        <v>592</v>
      </c>
      <c r="M128" s="1">
        <f t="shared" si="8"/>
        <v>360</v>
      </c>
      <c r="N128" s="1"/>
      <c r="O128" s="1">
        <f t="shared" si="9"/>
        <v>1</v>
      </c>
      <c r="P128" s="1">
        <v>1</v>
      </c>
      <c r="Q128" s="1" t="s">
        <v>19</v>
      </c>
      <c r="R128" s="1" t="s">
        <v>20</v>
      </c>
    </row>
    <row r="129" spans="1:18" x14ac:dyDescent="0.35">
      <c r="A129" s="1" t="s">
        <v>160</v>
      </c>
      <c r="B129" s="1" t="str">
        <f t="shared" si="5"/>
        <v>Unknown</v>
      </c>
      <c r="C129" s="1"/>
      <c r="D129" s="1" t="str">
        <f t="shared" si="6"/>
        <v>Yes</v>
      </c>
      <c r="E129" s="1" t="s">
        <v>29</v>
      </c>
      <c r="F129" s="1">
        <v>0</v>
      </c>
      <c r="G129" s="1" t="s">
        <v>17</v>
      </c>
      <c r="H129" s="1" t="str">
        <f t="shared" si="7"/>
        <v>No</v>
      </c>
      <c r="I129" s="1"/>
      <c r="J129" s="1">
        <v>16983</v>
      </c>
      <c r="K129" s="1">
        <v>1738</v>
      </c>
      <c r="L129" s="1">
        <v>649</v>
      </c>
      <c r="M129" s="1">
        <f t="shared" si="8"/>
        <v>360</v>
      </c>
      <c r="N129" s="1">
        <v>360</v>
      </c>
      <c r="O129" s="1">
        <f t="shared" si="9"/>
        <v>0</v>
      </c>
      <c r="P129" s="1"/>
      <c r="Q129" s="1" t="s">
        <v>41</v>
      </c>
      <c r="R129" s="1" t="s">
        <v>26</v>
      </c>
    </row>
    <row r="130" spans="1:18" x14ac:dyDescent="0.35">
      <c r="A130" s="1" t="s">
        <v>161</v>
      </c>
      <c r="B130" s="1" t="str">
        <f t="shared" ref="B130:B193" si="10">IF(ISBLANK(C130),"Unknown", IF(LOWER(TRIM(C130))="male","Male","Female"))</f>
        <v>Unknown</v>
      </c>
      <c r="C130" s="1"/>
      <c r="D130" s="1" t="str">
        <f t="shared" ref="D130:D193" si="11">IF(ISBLANK(E130),"No",PROPER(TRIM(E130)))</f>
        <v>No</v>
      </c>
      <c r="E130" s="1" t="s">
        <v>18</v>
      </c>
      <c r="F130" s="1">
        <v>1</v>
      </c>
      <c r="G130" s="1" t="s">
        <v>17</v>
      </c>
      <c r="H130" s="1" t="str">
        <f t="shared" ref="H130:H193" si="12">IF(ISBLANK(I130),"No",PROPER(TRIM(I130)))</f>
        <v>No</v>
      </c>
      <c r="I130" s="1" t="s">
        <v>36</v>
      </c>
      <c r="J130" s="1">
        <v>11719</v>
      </c>
      <c r="K130" s="1">
        <v>1478</v>
      </c>
      <c r="L130" s="1">
        <v>326</v>
      </c>
      <c r="M130" s="1">
        <f t="shared" ref="M130:M193" si="13">IF(ISBLANK(N130),360,N130)</f>
        <v>180</v>
      </c>
      <c r="N130" s="1">
        <v>180</v>
      </c>
      <c r="O130" s="1">
        <f t="shared" ref="O130:O193" si="14">IF(ISBLANK(P130),0,P130)</f>
        <v>0</v>
      </c>
      <c r="P130" s="1">
        <v>0</v>
      </c>
      <c r="Q130" s="1" t="s">
        <v>19</v>
      </c>
      <c r="R130" s="1" t="s">
        <v>20</v>
      </c>
    </row>
    <row r="131" spans="1:18" x14ac:dyDescent="0.35">
      <c r="A131" s="1" t="s">
        <v>162</v>
      </c>
      <c r="B131" s="1" t="str">
        <f t="shared" si="10"/>
        <v>Female</v>
      </c>
      <c r="C131" s="1" t="s">
        <v>28</v>
      </c>
      <c r="D131" s="1" t="str">
        <f t="shared" si="11"/>
        <v>Yes</v>
      </c>
      <c r="E131" s="1" t="s">
        <v>15</v>
      </c>
      <c r="F131" s="1">
        <v>2</v>
      </c>
      <c r="G131" s="1" t="s">
        <v>17</v>
      </c>
      <c r="H131" s="1" t="str">
        <f t="shared" si="12"/>
        <v>No</v>
      </c>
      <c r="I131" s="1"/>
      <c r="J131" s="1">
        <v>2898</v>
      </c>
      <c r="K131" s="1">
        <v>8456</v>
      </c>
      <c r="L131" s="1">
        <v>232</v>
      </c>
      <c r="M131" s="1">
        <f t="shared" si="13"/>
        <v>360</v>
      </c>
      <c r="N131" s="1">
        <v>360</v>
      </c>
      <c r="O131" s="1">
        <f t="shared" si="14"/>
        <v>0</v>
      </c>
      <c r="P131" s="1">
        <v>0</v>
      </c>
      <c r="Q131" s="1" t="s">
        <v>41</v>
      </c>
      <c r="R131" s="1" t="s">
        <v>20</v>
      </c>
    </row>
    <row r="132" spans="1:18" x14ac:dyDescent="0.35">
      <c r="A132" s="1" t="s">
        <v>163</v>
      </c>
      <c r="B132" s="1" t="str">
        <f t="shared" si="10"/>
        <v>Unknown</v>
      </c>
      <c r="C132" s="1"/>
      <c r="D132" s="1" t="str">
        <f t="shared" si="11"/>
        <v>Yes</v>
      </c>
      <c r="E132" s="1" t="s">
        <v>29</v>
      </c>
      <c r="F132" s="1">
        <v>0</v>
      </c>
      <c r="G132" s="1" t="s">
        <v>17</v>
      </c>
      <c r="H132" s="1" t="str">
        <f t="shared" si="12"/>
        <v>Yes</v>
      </c>
      <c r="I132" s="1" t="s">
        <v>29</v>
      </c>
      <c r="J132" s="1">
        <v>19213</v>
      </c>
      <c r="K132" s="1">
        <v>269</v>
      </c>
      <c r="L132" s="1">
        <v>253</v>
      </c>
      <c r="M132" s="1">
        <f t="shared" si="13"/>
        <v>360</v>
      </c>
      <c r="N132" s="1"/>
      <c r="O132" s="1">
        <f t="shared" si="14"/>
        <v>0</v>
      </c>
      <c r="P132" s="1">
        <v>0</v>
      </c>
      <c r="Q132" s="1" t="s">
        <v>19</v>
      </c>
      <c r="R132" s="1" t="s">
        <v>20</v>
      </c>
    </row>
    <row r="133" spans="1:18" x14ac:dyDescent="0.35">
      <c r="A133" s="1" t="s">
        <v>164</v>
      </c>
      <c r="B133" s="1" t="str">
        <f t="shared" si="10"/>
        <v>Male</v>
      </c>
      <c r="C133" s="1" t="s">
        <v>14</v>
      </c>
      <c r="D133" s="1" t="str">
        <f t="shared" si="11"/>
        <v>No</v>
      </c>
      <c r="E133" s="1" t="s">
        <v>36</v>
      </c>
      <c r="F133" s="1">
        <v>1</v>
      </c>
      <c r="G133" s="1" t="s">
        <v>17</v>
      </c>
      <c r="H133" s="1" t="str">
        <f t="shared" si="12"/>
        <v>No</v>
      </c>
      <c r="I133" s="1" t="s">
        <v>18</v>
      </c>
      <c r="J133" s="1">
        <v>13941</v>
      </c>
      <c r="K133" s="1">
        <v>3970</v>
      </c>
      <c r="L133" s="1">
        <v>85</v>
      </c>
      <c r="M133" s="1">
        <f t="shared" si="13"/>
        <v>360</v>
      </c>
      <c r="N133" s="1"/>
      <c r="O133" s="1">
        <f t="shared" si="14"/>
        <v>0</v>
      </c>
      <c r="P133" s="1">
        <v>0</v>
      </c>
      <c r="Q133" s="1" t="s">
        <v>19</v>
      </c>
      <c r="R133" s="1" t="s">
        <v>20</v>
      </c>
    </row>
    <row r="134" spans="1:18" x14ac:dyDescent="0.35">
      <c r="A134" s="1" t="s">
        <v>165</v>
      </c>
      <c r="B134" s="1" t="str">
        <f t="shared" si="10"/>
        <v>Unknown</v>
      </c>
      <c r="C134" s="1"/>
      <c r="D134" s="1" t="str">
        <f t="shared" si="11"/>
        <v>No</v>
      </c>
      <c r="E134" s="1" t="s">
        <v>18</v>
      </c>
      <c r="F134" s="1">
        <v>2</v>
      </c>
      <c r="G134" s="1" t="s">
        <v>17</v>
      </c>
      <c r="H134" s="1" t="str">
        <f t="shared" si="12"/>
        <v>No</v>
      </c>
      <c r="I134" s="1"/>
      <c r="J134" s="1">
        <v>11641</v>
      </c>
      <c r="K134" s="1">
        <v>2714</v>
      </c>
      <c r="L134" s="1">
        <v>487</v>
      </c>
      <c r="M134" s="1">
        <f t="shared" si="13"/>
        <v>360</v>
      </c>
      <c r="N134" s="1">
        <v>360</v>
      </c>
      <c r="O134" s="1">
        <f t="shared" si="14"/>
        <v>0</v>
      </c>
      <c r="P134" s="1"/>
      <c r="Q134" s="1" t="s">
        <v>19</v>
      </c>
      <c r="R134" s="1" t="s">
        <v>20</v>
      </c>
    </row>
    <row r="135" spans="1:18" x14ac:dyDescent="0.35">
      <c r="A135" s="1" t="s">
        <v>166</v>
      </c>
      <c r="B135" s="1" t="str">
        <f t="shared" si="10"/>
        <v>Male</v>
      </c>
      <c r="C135" s="1" t="s">
        <v>52</v>
      </c>
      <c r="D135" s="1" t="str">
        <f t="shared" si="11"/>
        <v>Yes</v>
      </c>
      <c r="E135" s="1" t="s">
        <v>29</v>
      </c>
      <c r="F135" s="1">
        <v>2</v>
      </c>
      <c r="G135" s="1" t="s">
        <v>17</v>
      </c>
      <c r="H135" s="1" t="str">
        <f t="shared" si="12"/>
        <v>Yes</v>
      </c>
      <c r="I135" s="1" t="s">
        <v>15</v>
      </c>
      <c r="J135" s="1">
        <v>12273</v>
      </c>
      <c r="K135" s="1">
        <v>5082</v>
      </c>
      <c r="L135" s="1">
        <v>385</v>
      </c>
      <c r="M135" s="1">
        <f t="shared" si="13"/>
        <v>360</v>
      </c>
      <c r="N135" s="1">
        <v>360</v>
      </c>
      <c r="O135" s="1">
        <f t="shared" si="14"/>
        <v>1</v>
      </c>
      <c r="P135" s="1">
        <v>1</v>
      </c>
      <c r="Q135" s="1" t="s">
        <v>30</v>
      </c>
      <c r="R135" s="1" t="s">
        <v>20</v>
      </c>
    </row>
    <row r="136" spans="1:18" x14ac:dyDescent="0.35">
      <c r="A136" s="1" t="s">
        <v>167</v>
      </c>
      <c r="B136" s="1" t="str">
        <f t="shared" si="10"/>
        <v>Unknown</v>
      </c>
      <c r="C136" s="1"/>
      <c r="D136" s="1" t="str">
        <f t="shared" si="11"/>
        <v>No</v>
      </c>
      <c r="E136" s="1" t="s">
        <v>22</v>
      </c>
      <c r="F136" s="1">
        <v>0</v>
      </c>
      <c r="G136" s="1" t="s">
        <v>25</v>
      </c>
      <c r="H136" s="1" t="str">
        <f t="shared" si="12"/>
        <v>No</v>
      </c>
      <c r="I136" s="1"/>
      <c r="J136" s="1">
        <v>3515</v>
      </c>
      <c r="K136" s="1">
        <v>7537</v>
      </c>
      <c r="L136" s="1">
        <v>116</v>
      </c>
      <c r="M136" s="1">
        <f t="shared" si="13"/>
        <v>120</v>
      </c>
      <c r="N136" s="1">
        <v>120</v>
      </c>
      <c r="O136" s="1">
        <f t="shared" si="14"/>
        <v>0</v>
      </c>
      <c r="P136" s="1"/>
      <c r="Q136" s="1" t="s">
        <v>19</v>
      </c>
      <c r="R136" s="1" t="s">
        <v>20</v>
      </c>
    </row>
    <row r="137" spans="1:18" x14ac:dyDescent="0.35">
      <c r="A137" s="1" t="s">
        <v>168</v>
      </c>
      <c r="B137" s="1" t="str">
        <f t="shared" si="10"/>
        <v>Male</v>
      </c>
      <c r="C137" s="1" t="s">
        <v>52</v>
      </c>
      <c r="D137" s="1" t="str">
        <f t="shared" si="11"/>
        <v>No</v>
      </c>
      <c r="E137" s="1"/>
      <c r="F137" s="1">
        <v>0</v>
      </c>
      <c r="G137" s="1" t="s">
        <v>17</v>
      </c>
      <c r="H137" s="1" t="str">
        <f t="shared" si="12"/>
        <v>No</v>
      </c>
      <c r="I137" s="1"/>
      <c r="J137" s="1">
        <v>12039</v>
      </c>
      <c r="K137" s="1">
        <v>8150</v>
      </c>
      <c r="L137" s="1">
        <v>480</v>
      </c>
      <c r="M137" s="1">
        <f t="shared" si="13"/>
        <v>360</v>
      </c>
      <c r="N137" s="1"/>
      <c r="O137" s="1">
        <f t="shared" si="14"/>
        <v>0</v>
      </c>
      <c r="P137" s="1"/>
      <c r="Q137" s="1" t="s">
        <v>41</v>
      </c>
      <c r="R137" s="1" t="s">
        <v>26</v>
      </c>
    </row>
    <row r="138" spans="1:18" x14ac:dyDescent="0.35">
      <c r="A138" s="1" t="s">
        <v>169</v>
      </c>
      <c r="B138" s="1" t="str">
        <f t="shared" si="10"/>
        <v>Male</v>
      </c>
      <c r="C138" s="1" t="s">
        <v>14</v>
      </c>
      <c r="D138" s="1" t="str">
        <f t="shared" si="11"/>
        <v>No</v>
      </c>
      <c r="E138" s="1" t="s">
        <v>18</v>
      </c>
      <c r="F138" s="1">
        <v>1</v>
      </c>
      <c r="G138" s="1" t="s">
        <v>17</v>
      </c>
      <c r="H138" s="1" t="str">
        <f t="shared" si="12"/>
        <v>Yes</v>
      </c>
      <c r="I138" s="1" t="s">
        <v>24</v>
      </c>
      <c r="J138" s="1">
        <v>4134</v>
      </c>
      <c r="K138" s="1">
        <v>2310</v>
      </c>
      <c r="L138" s="1">
        <v>609</v>
      </c>
      <c r="M138" s="1">
        <f t="shared" si="13"/>
        <v>360</v>
      </c>
      <c r="N138" s="1"/>
      <c r="O138" s="1">
        <f t="shared" si="14"/>
        <v>0</v>
      </c>
      <c r="P138" s="1">
        <v>0</v>
      </c>
      <c r="Q138" s="1" t="s">
        <v>30</v>
      </c>
      <c r="R138" s="1" t="s">
        <v>20</v>
      </c>
    </row>
    <row r="139" spans="1:18" x14ac:dyDescent="0.35">
      <c r="A139" s="1" t="s">
        <v>170</v>
      </c>
      <c r="B139" s="1" t="str">
        <f t="shared" si="10"/>
        <v>Unknown</v>
      </c>
      <c r="C139" s="1"/>
      <c r="D139" s="1" t="str">
        <f t="shared" si="11"/>
        <v>Yes</v>
      </c>
      <c r="E139" s="1" t="s">
        <v>29</v>
      </c>
      <c r="F139" s="1">
        <v>2</v>
      </c>
      <c r="G139" s="1" t="s">
        <v>25</v>
      </c>
      <c r="H139" s="1" t="str">
        <f t="shared" si="12"/>
        <v>No</v>
      </c>
      <c r="I139" s="1" t="s">
        <v>18</v>
      </c>
      <c r="J139" s="1">
        <v>6207</v>
      </c>
      <c r="K139" s="1">
        <v>7515</v>
      </c>
      <c r="L139" s="1">
        <v>60</v>
      </c>
      <c r="M139" s="1">
        <f t="shared" si="13"/>
        <v>360</v>
      </c>
      <c r="N139" s="1">
        <v>360</v>
      </c>
      <c r="O139" s="1">
        <f t="shared" si="14"/>
        <v>1</v>
      </c>
      <c r="P139" s="1">
        <v>1</v>
      </c>
      <c r="Q139" s="1" t="s">
        <v>41</v>
      </c>
      <c r="R139" s="1" t="s">
        <v>26</v>
      </c>
    </row>
    <row r="140" spans="1:18" x14ac:dyDescent="0.35">
      <c r="A140" s="1" t="s">
        <v>171</v>
      </c>
      <c r="B140" s="1" t="str">
        <f t="shared" si="10"/>
        <v>Female</v>
      </c>
      <c r="C140" s="1" t="s">
        <v>28</v>
      </c>
      <c r="D140" s="1" t="str">
        <f t="shared" si="11"/>
        <v>No</v>
      </c>
      <c r="E140" s="1"/>
      <c r="F140" s="1">
        <v>1</v>
      </c>
      <c r="G140" s="1" t="s">
        <v>25</v>
      </c>
      <c r="H140" s="1" t="str">
        <f t="shared" si="12"/>
        <v>No</v>
      </c>
      <c r="I140" s="1" t="s">
        <v>36</v>
      </c>
      <c r="J140" s="1">
        <v>4742</v>
      </c>
      <c r="K140" s="1">
        <v>5300</v>
      </c>
      <c r="L140" s="1">
        <v>392</v>
      </c>
      <c r="M140" s="1">
        <f t="shared" si="13"/>
        <v>120</v>
      </c>
      <c r="N140" s="1">
        <v>120</v>
      </c>
      <c r="O140" s="1">
        <f t="shared" si="14"/>
        <v>1</v>
      </c>
      <c r="P140" s="1">
        <v>1</v>
      </c>
      <c r="Q140" s="1" t="s">
        <v>19</v>
      </c>
      <c r="R140" s="1" t="s">
        <v>20</v>
      </c>
    </row>
    <row r="141" spans="1:18" x14ac:dyDescent="0.35">
      <c r="A141" s="1" t="s">
        <v>172</v>
      </c>
      <c r="B141" s="1" t="str">
        <f t="shared" si="10"/>
        <v>Male</v>
      </c>
      <c r="C141" s="1" t="s">
        <v>14</v>
      </c>
      <c r="D141" s="1" t="str">
        <f t="shared" si="11"/>
        <v>No</v>
      </c>
      <c r="E141" s="1" t="s">
        <v>22</v>
      </c>
      <c r="F141" s="1">
        <v>1</v>
      </c>
      <c r="G141" s="1" t="s">
        <v>17</v>
      </c>
      <c r="H141" s="1" t="str">
        <f t="shared" si="12"/>
        <v>No</v>
      </c>
      <c r="I141" s="1"/>
      <c r="J141" s="1">
        <v>12731</v>
      </c>
      <c r="K141" s="1">
        <v>2130</v>
      </c>
      <c r="L141" s="1">
        <v>560</v>
      </c>
      <c r="M141" s="1">
        <f t="shared" si="13"/>
        <v>360</v>
      </c>
      <c r="N141" s="1"/>
      <c r="O141" s="1">
        <f t="shared" si="14"/>
        <v>0</v>
      </c>
      <c r="P141" s="1">
        <v>0</v>
      </c>
      <c r="Q141" s="1" t="s">
        <v>19</v>
      </c>
      <c r="R141" s="1" t="s">
        <v>26</v>
      </c>
    </row>
    <row r="142" spans="1:18" x14ac:dyDescent="0.35">
      <c r="A142" s="1" t="s">
        <v>173</v>
      </c>
      <c r="B142" s="1" t="str">
        <f t="shared" si="10"/>
        <v>Male</v>
      </c>
      <c r="C142" s="1" t="s">
        <v>33</v>
      </c>
      <c r="D142" s="1" t="str">
        <f t="shared" si="11"/>
        <v>Yes</v>
      </c>
      <c r="E142" s="1" t="s">
        <v>29</v>
      </c>
      <c r="F142" s="1" t="s">
        <v>16</v>
      </c>
      <c r="G142" s="1" t="s">
        <v>17</v>
      </c>
      <c r="H142" s="1" t="str">
        <f t="shared" si="12"/>
        <v>No</v>
      </c>
      <c r="I142" s="1" t="s">
        <v>22</v>
      </c>
      <c r="J142" s="1">
        <v>19477</v>
      </c>
      <c r="K142" s="1">
        <v>5071</v>
      </c>
      <c r="L142" s="1">
        <v>225</v>
      </c>
      <c r="M142" s="1">
        <f t="shared" si="13"/>
        <v>360</v>
      </c>
      <c r="N142" s="1"/>
      <c r="O142" s="1">
        <f t="shared" si="14"/>
        <v>0</v>
      </c>
      <c r="P142" s="1"/>
      <c r="Q142" s="1" t="s">
        <v>30</v>
      </c>
      <c r="R142" s="1" t="s">
        <v>20</v>
      </c>
    </row>
    <row r="143" spans="1:18" x14ac:dyDescent="0.35">
      <c r="A143" s="1" t="s">
        <v>174</v>
      </c>
      <c r="B143" s="1" t="str">
        <f t="shared" si="10"/>
        <v>Male</v>
      </c>
      <c r="C143" s="1" t="s">
        <v>52</v>
      </c>
      <c r="D143" s="1" t="str">
        <f t="shared" si="11"/>
        <v>Yes</v>
      </c>
      <c r="E143" s="1" t="s">
        <v>15</v>
      </c>
      <c r="F143" s="1">
        <v>0</v>
      </c>
      <c r="G143" s="1" t="s">
        <v>17</v>
      </c>
      <c r="H143" s="1" t="str">
        <f t="shared" si="12"/>
        <v>Yes</v>
      </c>
      <c r="I143" s="1" t="s">
        <v>29</v>
      </c>
      <c r="J143" s="1">
        <v>16224</v>
      </c>
      <c r="K143" s="1">
        <v>944</v>
      </c>
      <c r="L143" s="1">
        <v>650</v>
      </c>
      <c r="M143" s="1">
        <f t="shared" si="13"/>
        <v>120</v>
      </c>
      <c r="N143" s="1">
        <v>120</v>
      </c>
      <c r="O143" s="1">
        <f t="shared" si="14"/>
        <v>0</v>
      </c>
      <c r="P143" s="1"/>
      <c r="Q143" s="1" t="s">
        <v>41</v>
      </c>
      <c r="R143" s="1" t="s">
        <v>26</v>
      </c>
    </row>
    <row r="144" spans="1:18" x14ac:dyDescent="0.35">
      <c r="A144" s="1" t="s">
        <v>175</v>
      </c>
      <c r="B144" s="1" t="str">
        <f t="shared" si="10"/>
        <v>Unknown</v>
      </c>
      <c r="C144" s="1"/>
      <c r="D144" s="1" t="str">
        <f t="shared" si="11"/>
        <v>No</v>
      </c>
      <c r="E144" s="1"/>
      <c r="F144" s="1">
        <v>1</v>
      </c>
      <c r="G144" s="1" t="s">
        <v>17</v>
      </c>
      <c r="H144" s="1" t="str">
        <f t="shared" si="12"/>
        <v>Yes</v>
      </c>
      <c r="I144" s="1" t="s">
        <v>15</v>
      </c>
      <c r="J144" s="1">
        <v>5434</v>
      </c>
      <c r="K144" s="1">
        <v>1965</v>
      </c>
      <c r="L144" s="1">
        <v>447</v>
      </c>
      <c r="M144" s="1">
        <f t="shared" si="13"/>
        <v>180</v>
      </c>
      <c r="N144" s="1">
        <v>180</v>
      </c>
      <c r="O144" s="1">
        <f t="shared" si="14"/>
        <v>0</v>
      </c>
      <c r="P144" s="1"/>
      <c r="Q144" s="1" t="s">
        <v>30</v>
      </c>
      <c r="R144" s="1" t="s">
        <v>26</v>
      </c>
    </row>
    <row r="145" spans="1:18" x14ac:dyDescent="0.35">
      <c r="A145" s="1" t="s">
        <v>176</v>
      </c>
      <c r="B145" s="1" t="str">
        <f t="shared" si="10"/>
        <v>Unknown</v>
      </c>
      <c r="C145" s="1"/>
      <c r="D145" s="1" t="str">
        <f t="shared" si="11"/>
        <v>No</v>
      </c>
      <c r="E145" s="1"/>
      <c r="F145" s="1" t="s">
        <v>16</v>
      </c>
      <c r="G145" s="1" t="s">
        <v>25</v>
      </c>
      <c r="H145" s="1" t="str">
        <f t="shared" si="12"/>
        <v>No</v>
      </c>
      <c r="I145" s="1"/>
      <c r="J145" s="1">
        <v>19575</v>
      </c>
      <c r="K145" s="1">
        <v>9971</v>
      </c>
      <c r="L145" s="1">
        <v>380</v>
      </c>
      <c r="M145" s="1">
        <f t="shared" si="13"/>
        <v>180</v>
      </c>
      <c r="N145" s="1">
        <v>180</v>
      </c>
      <c r="O145" s="1">
        <f t="shared" si="14"/>
        <v>0</v>
      </c>
      <c r="P145" s="1"/>
      <c r="Q145" s="1" t="s">
        <v>30</v>
      </c>
      <c r="R145" s="1" t="s">
        <v>20</v>
      </c>
    </row>
    <row r="146" spans="1:18" x14ac:dyDescent="0.35">
      <c r="A146" s="1" t="s">
        <v>177</v>
      </c>
      <c r="B146" s="1" t="str">
        <f t="shared" si="10"/>
        <v>Female</v>
      </c>
      <c r="C146" s="1" t="s">
        <v>43</v>
      </c>
      <c r="D146" s="1" t="str">
        <f t="shared" si="11"/>
        <v>Yes</v>
      </c>
      <c r="E146" s="1" t="s">
        <v>24</v>
      </c>
      <c r="F146" s="1">
        <v>1</v>
      </c>
      <c r="G146" s="1" t="s">
        <v>25</v>
      </c>
      <c r="H146" s="1" t="str">
        <f t="shared" si="12"/>
        <v>No</v>
      </c>
      <c r="I146" s="1" t="s">
        <v>18</v>
      </c>
      <c r="J146" s="1">
        <v>5497</v>
      </c>
      <c r="K146" s="1">
        <v>7058</v>
      </c>
      <c r="L146" s="1">
        <v>444</v>
      </c>
      <c r="M146" s="1">
        <f t="shared" si="13"/>
        <v>360</v>
      </c>
      <c r="N146" s="1">
        <v>360</v>
      </c>
      <c r="O146" s="1">
        <f t="shared" si="14"/>
        <v>0</v>
      </c>
      <c r="P146" s="1"/>
      <c r="Q146" s="1" t="s">
        <v>41</v>
      </c>
      <c r="R146" s="1" t="s">
        <v>20</v>
      </c>
    </row>
    <row r="147" spans="1:18" x14ac:dyDescent="0.35">
      <c r="A147" s="1" t="s">
        <v>178</v>
      </c>
      <c r="B147" s="1" t="str">
        <f t="shared" si="10"/>
        <v>Unknown</v>
      </c>
      <c r="C147" s="1"/>
      <c r="D147" s="1" t="str">
        <f t="shared" si="11"/>
        <v>Yes</v>
      </c>
      <c r="E147" s="1" t="s">
        <v>24</v>
      </c>
      <c r="F147" s="1">
        <v>0</v>
      </c>
      <c r="G147" s="1" t="s">
        <v>25</v>
      </c>
      <c r="H147" s="1" t="str">
        <f t="shared" si="12"/>
        <v>No</v>
      </c>
      <c r="I147" s="1" t="s">
        <v>18</v>
      </c>
      <c r="J147" s="1">
        <v>14559</v>
      </c>
      <c r="K147" s="1">
        <v>9946</v>
      </c>
      <c r="L147" s="1">
        <v>170</v>
      </c>
      <c r="M147" s="1">
        <f t="shared" si="13"/>
        <v>120</v>
      </c>
      <c r="N147" s="1">
        <v>120</v>
      </c>
      <c r="O147" s="1">
        <f t="shared" si="14"/>
        <v>0</v>
      </c>
      <c r="P147" s="1">
        <v>0</v>
      </c>
      <c r="Q147" s="1" t="s">
        <v>41</v>
      </c>
      <c r="R147" s="1" t="s">
        <v>20</v>
      </c>
    </row>
    <row r="148" spans="1:18" x14ac:dyDescent="0.35">
      <c r="A148" s="1" t="s">
        <v>179</v>
      </c>
      <c r="B148" s="1" t="str">
        <f t="shared" si="10"/>
        <v>Unknown</v>
      </c>
      <c r="C148" s="1"/>
      <c r="D148" s="1" t="str">
        <f t="shared" si="11"/>
        <v>No</v>
      </c>
      <c r="E148" s="1"/>
      <c r="F148" s="1">
        <v>1</v>
      </c>
      <c r="G148" s="1" t="s">
        <v>25</v>
      </c>
      <c r="H148" s="1" t="str">
        <f t="shared" si="12"/>
        <v>No</v>
      </c>
      <c r="I148" s="1"/>
      <c r="J148" s="1">
        <v>11411</v>
      </c>
      <c r="K148" s="1">
        <v>3040</v>
      </c>
      <c r="L148" s="1">
        <v>441</v>
      </c>
      <c r="M148" s="1">
        <f t="shared" si="13"/>
        <v>180</v>
      </c>
      <c r="N148" s="1">
        <v>180</v>
      </c>
      <c r="O148" s="1">
        <f t="shared" si="14"/>
        <v>0</v>
      </c>
      <c r="P148" s="1"/>
      <c r="Q148" s="1" t="s">
        <v>41</v>
      </c>
      <c r="R148" s="1" t="s">
        <v>20</v>
      </c>
    </row>
    <row r="149" spans="1:18" x14ac:dyDescent="0.35">
      <c r="A149" s="1" t="s">
        <v>180</v>
      </c>
      <c r="B149" s="1" t="str">
        <f t="shared" si="10"/>
        <v>Female</v>
      </c>
      <c r="C149" s="1" t="s">
        <v>61</v>
      </c>
      <c r="D149" s="1" t="str">
        <f t="shared" si="11"/>
        <v>Yes</v>
      </c>
      <c r="E149" s="1" t="s">
        <v>29</v>
      </c>
      <c r="F149" s="1">
        <v>2</v>
      </c>
      <c r="G149" s="1" t="s">
        <v>17</v>
      </c>
      <c r="H149" s="1" t="str">
        <f t="shared" si="12"/>
        <v>No</v>
      </c>
      <c r="I149" s="1"/>
      <c r="J149" s="1">
        <v>13679</v>
      </c>
      <c r="K149" s="1">
        <v>1014</v>
      </c>
      <c r="L149" s="1">
        <v>674</v>
      </c>
      <c r="M149" s="1">
        <f t="shared" si="13"/>
        <v>120</v>
      </c>
      <c r="N149" s="1">
        <v>120</v>
      </c>
      <c r="O149" s="1">
        <f t="shared" si="14"/>
        <v>0</v>
      </c>
      <c r="P149" s="1"/>
      <c r="Q149" s="1" t="s">
        <v>41</v>
      </c>
      <c r="R149" s="1" t="s">
        <v>20</v>
      </c>
    </row>
    <row r="150" spans="1:18" x14ac:dyDescent="0.35">
      <c r="A150" s="1" t="s">
        <v>181</v>
      </c>
      <c r="B150" s="1" t="str">
        <f t="shared" si="10"/>
        <v>Unknown</v>
      </c>
      <c r="C150" s="1"/>
      <c r="D150" s="1" t="str">
        <f t="shared" si="11"/>
        <v>No</v>
      </c>
      <c r="E150" s="1" t="s">
        <v>36</v>
      </c>
      <c r="F150" s="1">
        <v>2</v>
      </c>
      <c r="G150" s="1" t="s">
        <v>17</v>
      </c>
      <c r="H150" s="1" t="str">
        <f t="shared" si="12"/>
        <v>Yes</v>
      </c>
      <c r="I150" s="1" t="s">
        <v>24</v>
      </c>
      <c r="J150" s="1">
        <v>10912</v>
      </c>
      <c r="K150" s="1">
        <v>1100</v>
      </c>
      <c r="L150" s="1">
        <v>74</v>
      </c>
      <c r="M150" s="1">
        <f t="shared" si="13"/>
        <v>120</v>
      </c>
      <c r="N150" s="1">
        <v>120</v>
      </c>
      <c r="O150" s="1">
        <f t="shared" si="14"/>
        <v>0</v>
      </c>
      <c r="P150" s="1"/>
      <c r="Q150" s="1" t="s">
        <v>19</v>
      </c>
      <c r="R150" s="1" t="s">
        <v>26</v>
      </c>
    </row>
    <row r="151" spans="1:18" x14ac:dyDescent="0.35">
      <c r="A151" s="1" t="s">
        <v>182</v>
      </c>
      <c r="B151" s="1" t="str">
        <f t="shared" si="10"/>
        <v>Unknown</v>
      </c>
      <c r="C151" s="1"/>
      <c r="D151" s="1" t="str">
        <f t="shared" si="11"/>
        <v>Yes</v>
      </c>
      <c r="E151" s="1" t="s">
        <v>24</v>
      </c>
      <c r="F151" s="1" t="s">
        <v>16</v>
      </c>
      <c r="G151" s="1" t="s">
        <v>25</v>
      </c>
      <c r="H151" s="1" t="str">
        <f t="shared" si="12"/>
        <v>No</v>
      </c>
      <c r="I151" s="1"/>
      <c r="J151" s="1">
        <v>18210</v>
      </c>
      <c r="K151" s="1">
        <v>7845</v>
      </c>
      <c r="L151" s="1">
        <v>170</v>
      </c>
      <c r="M151" s="1">
        <f t="shared" si="13"/>
        <v>360</v>
      </c>
      <c r="N151" s="1">
        <v>360</v>
      </c>
      <c r="O151" s="1">
        <f t="shared" si="14"/>
        <v>0</v>
      </c>
      <c r="P151" s="1"/>
      <c r="Q151" s="1" t="s">
        <v>19</v>
      </c>
      <c r="R151" s="1" t="s">
        <v>20</v>
      </c>
    </row>
    <row r="152" spans="1:18" x14ac:dyDescent="0.35">
      <c r="A152" s="1" t="s">
        <v>183</v>
      </c>
      <c r="B152" s="1" t="str">
        <f t="shared" si="10"/>
        <v>Unknown</v>
      </c>
      <c r="C152" s="1"/>
      <c r="D152" s="1" t="str">
        <f t="shared" si="11"/>
        <v>No</v>
      </c>
      <c r="E152" s="1" t="s">
        <v>18</v>
      </c>
      <c r="F152" s="1">
        <v>0</v>
      </c>
      <c r="G152" s="1" t="s">
        <v>17</v>
      </c>
      <c r="H152" s="1" t="str">
        <f t="shared" si="12"/>
        <v>Yes</v>
      </c>
      <c r="I152" s="1" t="s">
        <v>29</v>
      </c>
      <c r="J152" s="1">
        <v>11621</v>
      </c>
      <c r="K152" s="1">
        <v>2729</v>
      </c>
      <c r="L152" s="1">
        <v>413</v>
      </c>
      <c r="M152" s="1">
        <f t="shared" si="13"/>
        <v>360</v>
      </c>
      <c r="N152" s="1">
        <v>360</v>
      </c>
      <c r="O152" s="1">
        <f t="shared" si="14"/>
        <v>0</v>
      </c>
      <c r="P152" s="1"/>
      <c r="Q152" s="1" t="s">
        <v>19</v>
      </c>
      <c r="R152" s="1" t="s">
        <v>26</v>
      </c>
    </row>
    <row r="153" spans="1:18" x14ac:dyDescent="0.35">
      <c r="A153" s="1" t="s">
        <v>184</v>
      </c>
      <c r="B153" s="1" t="str">
        <f t="shared" si="10"/>
        <v>Male</v>
      </c>
      <c r="C153" s="1" t="s">
        <v>52</v>
      </c>
      <c r="D153" s="1" t="str">
        <f t="shared" si="11"/>
        <v>Yes</v>
      </c>
      <c r="E153" s="1" t="s">
        <v>24</v>
      </c>
      <c r="F153" s="1">
        <v>1</v>
      </c>
      <c r="G153" s="1" t="s">
        <v>25</v>
      </c>
      <c r="H153" s="1" t="str">
        <f t="shared" si="12"/>
        <v>Yes</v>
      </c>
      <c r="I153" s="1" t="s">
        <v>29</v>
      </c>
      <c r="J153" s="1">
        <v>19353</v>
      </c>
      <c r="K153" s="1">
        <v>6397</v>
      </c>
      <c r="L153" s="1">
        <v>546</v>
      </c>
      <c r="M153" s="1">
        <f t="shared" si="13"/>
        <v>120</v>
      </c>
      <c r="N153" s="1">
        <v>120</v>
      </c>
      <c r="O153" s="1">
        <f t="shared" si="14"/>
        <v>1</v>
      </c>
      <c r="P153" s="1">
        <v>1</v>
      </c>
      <c r="Q153" s="1" t="s">
        <v>30</v>
      </c>
      <c r="R153" s="1" t="s">
        <v>26</v>
      </c>
    </row>
    <row r="154" spans="1:18" x14ac:dyDescent="0.35">
      <c r="A154" s="1" t="s">
        <v>185</v>
      </c>
      <c r="B154" s="1" t="str">
        <f t="shared" si="10"/>
        <v>Female</v>
      </c>
      <c r="C154" s="1" t="s">
        <v>28</v>
      </c>
      <c r="D154" s="1" t="str">
        <f t="shared" si="11"/>
        <v>No</v>
      </c>
      <c r="E154" s="1"/>
      <c r="F154" s="1">
        <v>0</v>
      </c>
      <c r="G154" s="1" t="s">
        <v>17</v>
      </c>
      <c r="H154" s="1" t="str">
        <f t="shared" si="12"/>
        <v>Yes</v>
      </c>
      <c r="I154" s="1" t="s">
        <v>24</v>
      </c>
      <c r="J154" s="1">
        <v>12005</v>
      </c>
      <c r="K154" s="1">
        <v>8400</v>
      </c>
      <c r="L154" s="1">
        <v>75</v>
      </c>
      <c r="M154" s="1">
        <f t="shared" si="13"/>
        <v>180</v>
      </c>
      <c r="N154" s="1">
        <v>180</v>
      </c>
      <c r="O154" s="1">
        <f t="shared" si="14"/>
        <v>0</v>
      </c>
      <c r="P154" s="1">
        <v>0</v>
      </c>
      <c r="Q154" s="1" t="s">
        <v>19</v>
      </c>
      <c r="R154" s="1" t="s">
        <v>20</v>
      </c>
    </row>
    <row r="155" spans="1:18" x14ac:dyDescent="0.35">
      <c r="A155" s="1" t="s">
        <v>186</v>
      </c>
      <c r="B155" s="1" t="str">
        <f t="shared" si="10"/>
        <v>Unknown</v>
      </c>
      <c r="C155" s="1"/>
      <c r="D155" s="1" t="str">
        <f t="shared" si="11"/>
        <v>Yes</v>
      </c>
      <c r="E155" s="1" t="s">
        <v>24</v>
      </c>
      <c r="F155" s="1">
        <v>2</v>
      </c>
      <c r="G155" s="1" t="s">
        <v>17</v>
      </c>
      <c r="H155" s="1" t="str">
        <f t="shared" si="12"/>
        <v>No</v>
      </c>
      <c r="I155" s="1"/>
      <c r="J155" s="1">
        <v>12025</v>
      </c>
      <c r="K155" s="1">
        <v>5088</v>
      </c>
      <c r="L155" s="1">
        <v>565</v>
      </c>
      <c r="M155" s="1">
        <f t="shared" si="13"/>
        <v>360</v>
      </c>
      <c r="N155" s="1">
        <v>360</v>
      </c>
      <c r="O155" s="1">
        <f t="shared" si="14"/>
        <v>0</v>
      </c>
      <c r="P155" s="1">
        <v>0</v>
      </c>
      <c r="Q155" s="1" t="s">
        <v>41</v>
      </c>
      <c r="R155" s="1" t="s">
        <v>26</v>
      </c>
    </row>
    <row r="156" spans="1:18" x14ac:dyDescent="0.35">
      <c r="A156" s="1" t="s">
        <v>187</v>
      </c>
      <c r="B156" s="1" t="str">
        <f t="shared" si="10"/>
        <v>Female</v>
      </c>
      <c r="C156" s="1" t="s">
        <v>43</v>
      </c>
      <c r="D156" s="1" t="str">
        <f t="shared" si="11"/>
        <v>Yes</v>
      </c>
      <c r="E156" s="1" t="s">
        <v>15</v>
      </c>
      <c r="F156" s="1" t="s">
        <v>16</v>
      </c>
      <c r="G156" s="1" t="s">
        <v>25</v>
      </c>
      <c r="H156" s="1" t="str">
        <f t="shared" si="12"/>
        <v>Yes</v>
      </c>
      <c r="I156" s="1" t="s">
        <v>15</v>
      </c>
      <c r="J156" s="1">
        <v>17091</v>
      </c>
      <c r="K156" s="1">
        <v>2224</v>
      </c>
      <c r="L156" s="1">
        <v>505</v>
      </c>
      <c r="M156" s="1">
        <f t="shared" si="13"/>
        <v>180</v>
      </c>
      <c r="N156" s="1">
        <v>180</v>
      </c>
      <c r="O156" s="1">
        <f t="shared" si="14"/>
        <v>1</v>
      </c>
      <c r="P156" s="1">
        <v>1</v>
      </c>
      <c r="Q156" s="1" t="s">
        <v>30</v>
      </c>
      <c r="R156" s="1" t="s">
        <v>26</v>
      </c>
    </row>
    <row r="157" spans="1:18" x14ac:dyDescent="0.35">
      <c r="A157" s="1" t="s">
        <v>188</v>
      </c>
      <c r="B157" s="1" t="str">
        <f t="shared" si="10"/>
        <v>Male</v>
      </c>
      <c r="C157" s="1" t="s">
        <v>33</v>
      </c>
      <c r="D157" s="1" t="str">
        <f t="shared" si="11"/>
        <v>No</v>
      </c>
      <c r="E157" s="1"/>
      <c r="F157" s="1" t="s">
        <v>16</v>
      </c>
      <c r="G157" s="1" t="s">
        <v>25</v>
      </c>
      <c r="H157" s="1" t="str">
        <f t="shared" si="12"/>
        <v>No</v>
      </c>
      <c r="I157" s="1" t="s">
        <v>18</v>
      </c>
      <c r="J157" s="1">
        <v>17132</v>
      </c>
      <c r="K157" s="1">
        <v>8205</v>
      </c>
      <c r="L157" s="1">
        <v>457</v>
      </c>
      <c r="M157" s="1">
        <f t="shared" si="13"/>
        <v>120</v>
      </c>
      <c r="N157" s="1">
        <v>120</v>
      </c>
      <c r="O157" s="1">
        <f t="shared" si="14"/>
        <v>0</v>
      </c>
      <c r="P157" s="1">
        <v>0</v>
      </c>
      <c r="Q157" s="1" t="s">
        <v>19</v>
      </c>
      <c r="R157" s="1" t="s">
        <v>26</v>
      </c>
    </row>
    <row r="158" spans="1:18" x14ac:dyDescent="0.35">
      <c r="A158" s="1" t="s">
        <v>189</v>
      </c>
      <c r="B158" s="1" t="str">
        <f t="shared" si="10"/>
        <v>Male</v>
      </c>
      <c r="C158" s="1" t="s">
        <v>14</v>
      </c>
      <c r="D158" s="1" t="str">
        <f t="shared" si="11"/>
        <v>No</v>
      </c>
      <c r="E158" s="1"/>
      <c r="F158" s="1">
        <v>0</v>
      </c>
      <c r="G158" s="1" t="s">
        <v>17</v>
      </c>
      <c r="H158" s="1" t="str">
        <f t="shared" si="12"/>
        <v>No</v>
      </c>
      <c r="I158" s="1" t="s">
        <v>22</v>
      </c>
      <c r="J158" s="1">
        <v>7413</v>
      </c>
      <c r="K158" s="1">
        <v>4051</v>
      </c>
      <c r="L158" s="1">
        <v>647</v>
      </c>
      <c r="M158" s="1">
        <f t="shared" si="13"/>
        <v>180</v>
      </c>
      <c r="N158" s="1">
        <v>180</v>
      </c>
      <c r="O158" s="1">
        <f t="shared" si="14"/>
        <v>0</v>
      </c>
      <c r="P158" s="1"/>
      <c r="Q158" s="1" t="s">
        <v>30</v>
      </c>
      <c r="R158" s="1" t="s">
        <v>26</v>
      </c>
    </row>
    <row r="159" spans="1:18" x14ac:dyDescent="0.35">
      <c r="A159" s="1" t="s">
        <v>190</v>
      </c>
      <c r="B159" s="1" t="str">
        <f t="shared" si="10"/>
        <v>Female</v>
      </c>
      <c r="C159" s="1" t="s">
        <v>43</v>
      </c>
      <c r="D159" s="1" t="str">
        <f t="shared" si="11"/>
        <v>No</v>
      </c>
      <c r="E159" s="1" t="s">
        <v>22</v>
      </c>
      <c r="F159" s="1">
        <v>0</v>
      </c>
      <c r="G159" s="1" t="s">
        <v>25</v>
      </c>
      <c r="H159" s="1" t="str">
        <f t="shared" si="12"/>
        <v>No</v>
      </c>
      <c r="I159" s="1"/>
      <c r="J159" s="1">
        <v>7374</v>
      </c>
      <c r="K159" s="1">
        <v>8102</v>
      </c>
      <c r="L159" s="1">
        <v>599</v>
      </c>
      <c r="M159" s="1">
        <f t="shared" si="13"/>
        <v>360</v>
      </c>
      <c r="N159" s="1"/>
      <c r="O159" s="1">
        <f t="shared" si="14"/>
        <v>0</v>
      </c>
      <c r="P159" s="1">
        <v>0</v>
      </c>
      <c r="Q159" s="1" t="s">
        <v>19</v>
      </c>
      <c r="R159" s="1" t="s">
        <v>26</v>
      </c>
    </row>
    <row r="160" spans="1:18" x14ac:dyDescent="0.35">
      <c r="A160" s="1" t="s">
        <v>191</v>
      </c>
      <c r="B160" s="1" t="str">
        <f t="shared" si="10"/>
        <v>Unknown</v>
      </c>
      <c r="C160" s="1"/>
      <c r="D160" s="1" t="str">
        <f t="shared" si="11"/>
        <v>No</v>
      </c>
      <c r="E160" s="1"/>
      <c r="F160" s="1">
        <v>2</v>
      </c>
      <c r="G160" s="1" t="s">
        <v>17</v>
      </c>
      <c r="H160" s="1" t="str">
        <f t="shared" si="12"/>
        <v>No</v>
      </c>
      <c r="I160" s="1" t="s">
        <v>22</v>
      </c>
      <c r="J160" s="1">
        <v>15757</v>
      </c>
      <c r="K160" s="1">
        <v>2872</v>
      </c>
      <c r="L160" s="1">
        <v>633</v>
      </c>
      <c r="M160" s="1">
        <f t="shared" si="13"/>
        <v>360</v>
      </c>
      <c r="N160" s="1"/>
      <c r="O160" s="1">
        <f t="shared" si="14"/>
        <v>1</v>
      </c>
      <c r="P160" s="1">
        <v>1</v>
      </c>
      <c r="Q160" s="1" t="s">
        <v>19</v>
      </c>
      <c r="R160" s="1" t="s">
        <v>26</v>
      </c>
    </row>
    <row r="161" spans="1:18" x14ac:dyDescent="0.35">
      <c r="A161" s="1" t="s">
        <v>192</v>
      </c>
      <c r="B161" s="1" t="str">
        <f t="shared" si="10"/>
        <v>Female</v>
      </c>
      <c r="C161" s="1" t="s">
        <v>61</v>
      </c>
      <c r="D161" s="1" t="str">
        <f t="shared" si="11"/>
        <v>No</v>
      </c>
      <c r="E161" s="1" t="s">
        <v>22</v>
      </c>
      <c r="F161" s="1">
        <v>0</v>
      </c>
      <c r="G161" s="1" t="s">
        <v>25</v>
      </c>
      <c r="H161" s="1" t="str">
        <f t="shared" si="12"/>
        <v>Yes</v>
      </c>
      <c r="I161" s="1" t="s">
        <v>24</v>
      </c>
      <c r="J161" s="1">
        <v>19300</v>
      </c>
      <c r="K161" s="1">
        <v>5949</v>
      </c>
      <c r="L161" s="1">
        <v>695</v>
      </c>
      <c r="M161" s="1">
        <f t="shared" si="13"/>
        <v>120</v>
      </c>
      <c r="N161" s="1">
        <v>120</v>
      </c>
      <c r="O161" s="1">
        <f t="shared" si="14"/>
        <v>0</v>
      </c>
      <c r="P161" s="1">
        <v>0</v>
      </c>
      <c r="Q161" s="1" t="s">
        <v>19</v>
      </c>
      <c r="R161" s="1" t="s">
        <v>20</v>
      </c>
    </row>
    <row r="162" spans="1:18" x14ac:dyDescent="0.35">
      <c r="A162" s="1" t="s">
        <v>193</v>
      </c>
      <c r="B162" s="1" t="str">
        <f t="shared" si="10"/>
        <v>Unknown</v>
      </c>
      <c r="C162" s="1"/>
      <c r="D162" s="1" t="str">
        <f t="shared" si="11"/>
        <v>Yes</v>
      </c>
      <c r="E162" s="1" t="s">
        <v>15</v>
      </c>
      <c r="F162" s="1">
        <v>2</v>
      </c>
      <c r="G162" s="1" t="s">
        <v>25</v>
      </c>
      <c r="H162" s="1" t="str">
        <f t="shared" si="12"/>
        <v>Yes</v>
      </c>
      <c r="I162" s="1" t="s">
        <v>29</v>
      </c>
      <c r="J162" s="1">
        <v>17334</v>
      </c>
      <c r="K162" s="1">
        <v>7531</v>
      </c>
      <c r="L162" s="1">
        <v>149</v>
      </c>
      <c r="M162" s="1">
        <f t="shared" si="13"/>
        <v>360</v>
      </c>
      <c r="N162" s="1"/>
      <c r="O162" s="1">
        <f t="shared" si="14"/>
        <v>0</v>
      </c>
      <c r="P162" s="1"/>
      <c r="Q162" s="1" t="s">
        <v>41</v>
      </c>
      <c r="R162" s="1" t="s">
        <v>20</v>
      </c>
    </row>
    <row r="163" spans="1:18" x14ac:dyDescent="0.35">
      <c r="A163" s="1" t="s">
        <v>194</v>
      </c>
      <c r="B163" s="1" t="str">
        <f t="shared" si="10"/>
        <v>Female</v>
      </c>
      <c r="C163" s="1" t="s">
        <v>28</v>
      </c>
      <c r="D163" s="1" t="str">
        <f t="shared" si="11"/>
        <v>No</v>
      </c>
      <c r="E163" s="1"/>
      <c r="F163" s="1">
        <v>0</v>
      </c>
      <c r="G163" s="1" t="s">
        <v>25</v>
      </c>
      <c r="H163" s="1" t="str">
        <f t="shared" si="12"/>
        <v>No</v>
      </c>
      <c r="I163" s="1"/>
      <c r="J163" s="1">
        <v>16230</v>
      </c>
      <c r="K163" s="1">
        <v>3007</v>
      </c>
      <c r="L163" s="1">
        <v>598</v>
      </c>
      <c r="M163" s="1">
        <f t="shared" si="13"/>
        <v>120</v>
      </c>
      <c r="N163" s="1">
        <v>120</v>
      </c>
      <c r="O163" s="1">
        <f t="shared" si="14"/>
        <v>0</v>
      </c>
      <c r="P163" s="1">
        <v>0</v>
      </c>
      <c r="Q163" s="1" t="s">
        <v>30</v>
      </c>
      <c r="R163" s="1" t="s">
        <v>26</v>
      </c>
    </row>
    <row r="164" spans="1:18" x14ac:dyDescent="0.35">
      <c r="A164" s="1" t="s">
        <v>195</v>
      </c>
      <c r="B164" s="1" t="str">
        <f t="shared" si="10"/>
        <v>Male</v>
      </c>
      <c r="C164" s="1" t="s">
        <v>52</v>
      </c>
      <c r="D164" s="1" t="str">
        <f t="shared" si="11"/>
        <v>Yes</v>
      </c>
      <c r="E164" s="1" t="s">
        <v>29</v>
      </c>
      <c r="F164" s="1" t="s">
        <v>16</v>
      </c>
      <c r="G164" s="1" t="s">
        <v>17</v>
      </c>
      <c r="H164" s="1" t="str">
        <f t="shared" si="12"/>
        <v>No</v>
      </c>
      <c r="I164" s="1"/>
      <c r="J164" s="1">
        <v>1714</v>
      </c>
      <c r="K164" s="1">
        <v>2872</v>
      </c>
      <c r="L164" s="1">
        <v>167</v>
      </c>
      <c r="M164" s="1">
        <f t="shared" si="13"/>
        <v>180</v>
      </c>
      <c r="N164" s="1">
        <v>180</v>
      </c>
      <c r="O164" s="1">
        <f t="shared" si="14"/>
        <v>0</v>
      </c>
      <c r="P164" s="1"/>
      <c r="Q164" s="1" t="s">
        <v>30</v>
      </c>
      <c r="R164" s="1" t="s">
        <v>20</v>
      </c>
    </row>
    <row r="165" spans="1:18" x14ac:dyDescent="0.35">
      <c r="A165" s="1" t="s">
        <v>196</v>
      </c>
      <c r="B165" s="1" t="str">
        <f t="shared" si="10"/>
        <v>Unknown</v>
      </c>
      <c r="C165" s="1"/>
      <c r="D165" s="1" t="str">
        <f t="shared" si="11"/>
        <v>No</v>
      </c>
      <c r="E165" s="1"/>
      <c r="F165" s="1">
        <v>1</v>
      </c>
      <c r="G165" s="1" t="s">
        <v>25</v>
      </c>
      <c r="H165" s="1" t="str">
        <f t="shared" si="12"/>
        <v>No</v>
      </c>
      <c r="I165" s="1"/>
      <c r="J165" s="1">
        <v>15639</v>
      </c>
      <c r="K165" s="1">
        <v>7808</v>
      </c>
      <c r="L165" s="1">
        <v>605</v>
      </c>
      <c r="M165" s="1">
        <f t="shared" si="13"/>
        <v>180</v>
      </c>
      <c r="N165" s="1">
        <v>180</v>
      </c>
      <c r="O165" s="1">
        <f t="shared" si="14"/>
        <v>0</v>
      </c>
      <c r="P165" s="1">
        <v>0</v>
      </c>
      <c r="Q165" s="1" t="s">
        <v>30</v>
      </c>
      <c r="R165" s="1" t="s">
        <v>26</v>
      </c>
    </row>
    <row r="166" spans="1:18" x14ac:dyDescent="0.35">
      <c r="A166" s="1" t="s">
        <v>197</v>
      </c>
      <c r="B166" s="1" t="str">
        <f t="shared" si="10"/>
        <v>Male</v>
      </c>
      <c r="C166" s="1" t="s">
        <v>33</v>
      </c>
      <c r="D166" s="1" t="str">
        <f t="shared" si="11"/>
        <v>No</v>
      </c>
      <c r="E166" s="1"/>
      <c r="F166" s="1" t="s">
        <v>16</v>
      </c>
      <c r="G166" s="1" t="s">
        <v>17</v>
      </c>
      <c r="H166" s="1" t="str">
        <f t="shared" si="12"/>
        <v>Yes</v>
      </c>
      <c r="I166" s="1" t="s">
        <v>29</v>
      </c>
      <c r="J166" s="1">
        <v>4167</v>
      </c>
      <c r="K166" s="1">
        <v>984</v>
      </c>
      <c r="L166" s="1">
        <v>259</v>
      </c>
      <c r="M166" s="1">
        <f t="shared" si="13"/>
        <v>180</v>
      </c>
      <c r="N166" s="1">
        <v>180</v>
      </c>
      <c r="O166" s="1">
        <f t="shared" si="14"/>
        <v>0</v>
      </c>
      <c r="P166" s="1">
        <v>0</v>
      </c>
      <c r="Q166" s="1" t="s">
        <v>30</v>
      </c>
      <c r="R166" s="1" t="s">
        <v>20</v>
      </c>
    </row>
    <row r="167" spans="1:18" x14ac:dyDescent="0.35">
      <c r="A167" s="1" t="s">
        <v>198</v>
      </c>
      <c r="B167" s="1" t="str">
        <f t="shared" si="10"/>
        <v>Male</v>
      </c>
      <c r="C167" s="1" t="s">
        <v>52</v>
      </c>
      <c r="D167" s="1" t="str">
        <f t="shared" si="11"/>
        <v>No</v>
      </c>
      <c r="E167" s="1"/>
      <c r="F167" s="1">
        <v>1</v>
      </c>
      <c r="G167" s="1" t="s">
        <v>17</v>
      </c>
      <c r="H167" s="1" t="str">
        <f t="shared" si="12"/>
        <v>Yes</v>
      </c>
      <c r="I167" s="1" t="s">
        <v>24</v>
      </c>
      <c r="J167" s="1">
        <v>19676</v>
      </c>
      <c r="K167" s="1">
        <v>8759</v>
      </c>
      <c r="L167" s="1">
        <v>675</v>
      </c>
      <c r="M167" s="1">
        <f t="shared" si="13"/>
        <v>360</v>
      </c>
      <c r="N167" s="1">
        <v>360</v>
      </c>
      <c r="O167" s="1">
        <f t="shared" si="14"/>
        <v>0</v>
      </c>
      <c r="P167" s="1"/>
      <c r="Q167" s="1" t="s">
        <v>19</v>
      </c>
      <c r="R167" s="1" t="s">
        <v>20</v>
      </c>
    </row>
    <row r="168" spans="1:18" x14ac:dyDescent="0.35">
      <c r="A168" s="1" t="s">
        <v>199</v>
      </c>
      <c r="B168" s="1" t="str">
        <f t="shared" si="10"/>
        <v>Male</v>
      </c>
      <c r="C168" s="1" t="s">
        <v>33</v>
      </c>
      <c r="D168" s="1" t="str">
        <f t="shared" si="11"/>
        <v>Yes</v>
      </c>
      <c r="E168" s="1" t="s">
        <v>24</v>
      </c>
      <c r="F168" s="1">
        <v>2</v>
      </c>
      <c r="G168" s="1" t="s">
        <v>25</v>
      </c>
      <c r="H168" s="1" t="str">
        <f t="shared" si="12"/>
        <v>No</v>
      </c>
      <c r="I168" s="1" t="s">
        <v>22</v>
      </c>
      <c r="J168" s="1">
        <v>2781</v>
      </c>
      <c r="K168" s="1">
        <v>6624</v>
      </c>
      <c r="L168" s="1">
        <v>651</v>
      </c>
      <c r="M168" s="1">
        <f t="shared" si="13"/>
        <v>180</v>
      </c>
      <c r="N168" s="1">
        <v>180</v>
      </c>
      <c r="O168" s="1">
        <f t="shared" si="14"/>
        <v>0</v>
      </c>
      <c r="P168" s="1">
        <v>0</v>
      </c>
      <c r="Q168" s="1" t="s">
        <v>41</v>
      </c>
      <c r="R168" s="1" t="s">
        <v>26</v>
      </c>
    </row>
    <row r="169" spans="1:18" x14ac:dyDescent="0.35">
      <c r="A169" s="1" t="s">
        <v>200</v>
      </c>
      <c r="B169" s="1" t="str">
        <f t="shared" si="10"/>
        <v>Unknown</v>
      </c>
      <c r="C169" s="1"/>
      <c r="D169" s="1" t="str">
        <f t="shared" si="11"/>
        <v>No</v>
      </c>
      <c r="E169" s="1" t="s">
        <v>22</v>
      </c>
      <c r="F169" s="1" t="s">
        <v>16</v>
      </c>
      <c r="G169" s="1" t="s">
        <v>25</v>
      </c>
      <c r="H169" s="1" t="str">
        <f t="shared" si="12"/>
        <v>No</v>
      </c>
      <c r="I169" s="1"/>
      <c r="J169" s="1">
        <v>12421</v>
      </c>
      <c r="K169" s="1">
        <v>7868</v>
      </c>
      <c r="L169" s="1">
        <v>142</v>
      </c>
      <c r="M169" s="1">
        <f t="shared" si="13"/>
        <v>120</v>
      </c>
      <c r="N169" s="1">
        <v>120</v>
      </c>
      <c r="O169" s="1">
        <f t="shared" si="14"/>
        <v>1</v>
      </c>
      <c r="P169" s="1">
        <v>1</v>
      </c>
      <c r="Q169" s="1" t="s">
        <v>41</v>
      </c>
      <c r="R169" s="1" t="s">
        <v>26</v>
      </c>
    </row>
    <row r="170" spans="1:18" x14ac:dyDescent="0.35">
      <c r="A170" s="1" t="s">
        <v>201</v>
      </c>
      <c r="B170" s="1" t="str">
        <f t="shared" si="10"/>
        <v>Unknown</v>
      </c>
      <c r="C170" s="1"/>
      <c r="D170" s="1" t="str">
        <f t="shared" si="11"/>
        <v>No</v>
      </c>
      <c r="E170" s="1" t="s">
        <v>36</v>
      </c>
      <c r="F170" s="1" t="s">
        <v>16</v>
      </c>
      <c r="G170" s="1" t="s">
        <v>17</v>
      </c>
      <c r="H170" s="1" t="str">
        <f t="shared" si="12"/>
        <v>No</v>
      </c>
      <c r="I170" s="1" t="s">
        <v>18</v>
      </c>
      <c r="J170" s="1">
        <v>11625</v>
      </c>
      <c r="K170" s="1">
        <v>7572</v>
      </c>
      <c r="L170" s="1">
        <v>254</v>
      </c>
      <c r="M170" s="1">
        <f t="shared" si="13"/>
        <v>360</v>
      </c>
      <c r="N170" s="1"/>
      <c r="O170" s="1">
        <f t="shared" si="14"/>
        <v>0</v>
      </c>
      <c r="P170" s="1"/>
      <c r="Q170" s="1" t="s">
        <v>19</v>
      </c>
      <c r="R170" s="1" t="s">
        <v>20</v>
      </c>
    </row>
    <row r="171" spans="1:18" x14ac:dyDescent="0.35">
      <c r="A171" s="1" t="s">
        <v>202</v>
      </c>
      <c r="B171" s="1" t="str">
        <f t="shared" si="10"/>
        <v>Male</v>
      </c>
      <c r="C171" s="1" t="s">
        <v>52</v>
      </c>
      <c r="D171" s="1" t="str">
        <f t="shared" si="11"/>
        <v>No</v>
      </c>
      <c r="E171" s="1"/>
      <c r="F171" s="1">
        <v>2</v>
      </c>
      <c r="G171" s="1" t="s">
        <v>17</v>
      </c>
      <c r="H171" s="1" t="str">
        <f t="shared" si="12"/>
        <v>No</v>
      </c>
      <c r="I171" s="1" t="s">
        <v>18</v>
      </c>
      <c r="J171" s="1">
        <v>12520</v>
      </c>
      <c r="K171" s="1">
        <v>23</v>
      </c>
      <c r="L171" s="1">
        <v>454</v>
      </c>
      <c r="M171" s="1">
        <f t="shared" si="13"/>
        <v>360</v>
      </c>
      <c r="N171" s="1"/>
      <c r="O171" s="1">
        <f t="shared" si="14"/>
        <v>0</v>
      </c>
      <c r="P171" s="1"/>
      <c r="Q171" s="1" t="s">
        <v>30</v>
      </c>
      <c r="R171" s="1" t="s">
        <v>20</v>
      </c>
    </row>
    <row r="172" spans="1:18" x14ac:dyDescent="0.35">
      <c r="A172" s="1" t="s">
        <v>203</v>
      </c>
      <c r="B172" s="1" t="str">
        <f t="shared" si="10"/>
        <v>Female</v>
      </c>
      <c r="C172" s="1" t="s">
        <v>28</v>
      </c>
      <c r="D172" s="1" t="str">
        <f t="shared" si="11"/>
        <v>No</v>
      </c>
      <c r="E172" s="1" t="s">
        <v>22</v>
      </c>
      <c r="F172" s="1" t="s">
        <v>16</v>
      </c>
      <c r="G172" s="1" t="s">
        <v>25</v>
      </c>
      <c r="H172" s="1" t="str">
        <f t="shared" si="12"/>
        <v>No</v>
      </c>
      <c r="I172" s="1"/>
      <c r="J172" s="1">
        <v>7712</v>
      </c>
      <c r="K172" s="1">
        <v>8780</v>
      </c>
      <c r="L172" s="1">
        <v>153</v>
      </c>
      <c r="M172" s="1">
        <f t="shared" si="13"/>
        <v>120</v>
      </c>
      <c r="N172" s="1">
        <v>120</v>
      </c>
      <c r="O172" s="1">
        <f t="shared" si="14"/>
        <v>0</v>
      </c>
      <c r="P172" s="1">
        <v>0</v>
      </c>
      <c r="Q172" s="1" t="s">
        <v>41</v>
      </c>
      <c r="R172" s="1" t="s">
        <v>20</v>
      </c>
    </row>
    <row r="173" spans="1:18" x14ac:dyDescent="0.35">
      <c r="A173" s="1" t="s">
        <v>204</v>
      </c>
      <c r="B173" s="1" t="str">
        <f t="shared" si="10"/>
        <v>Female</v>
      </c>
      <c r="C173" s="1" t="s">
        <v>61</v>
      </c>
      <c r="D173" s="1" t="str">
        <f t="shared" si="11"/>
        <v>No</v>
      </c>
      <c r="E173" s="1"/>
      <c r="F173" s="1">
        <v>1</v>
      </c>
      <c r="G173" s="1" t="s">
        <v>25</v>
      </c>
      <c r="H173" s="1" t="str">
        <f t="shared" si="12"/>
        <v>No</v>
      </c>
      <c r="I173" s="1" t="s">
        <v>22</v>
      </c>
      <c r="J173" s="1">
        <v>12084</v>
      </c>
      <c r="K173" s="1">
        <v>3045</v>
      </c>
      <c r="L173" s="1">
        <v>408</v>
      </c>
      <c r="M173" s="1">
        <f t="shared" si="13"/>
        <v>180</v>
      </c>
      <c r="N173" s="1">
        <v>180</v>
      </c>
      <c r="O173" s="1">
        <f t="shared" si="14"/>
        <v>1</v>
      </c>
      <c r="P173" s="1">
        <v>1</v>
      </c>
      <c r="Q173" s="1" t="s">
        <v>41</v>
      </c>
      <c r="R173" s="1" t="s">
        <v>26</v>
      </c>
    </row>
    <row r="174" spans="1:18" x14ac:dyDescent="0.35">
      <c r="A174" s="1" t="s">
        <v>205</v>
      </c>
      <c r="B174" s="1" t="str">
        <f t="shared" si="10"/>
        <v>Male</v>
      </c>
      <c r="C174" s="1" t="s">
        <v>14</v>
      </c>
      <c r="D174" s="1" t="str">
        <f t="shared" si="11"/>
        <v>No</v>
      </c>
      <c r="E174" s="1" t="s">
        <v>36</v>
      </c>
      <c r="F174" s="1">
        <v>0</v>
      </c>
      <c r="G174" s="1" t="s">
        <v>17</v>
      </c>
      <c r="H174" s="1" t="str">
        <f t="shared" si="12"/>
        <v>No</v>
      </c>
      <c r="I174" s="1"/>
      <c r="J174" s="1">
        <v>16589</v>
      </c>
      <c r="K174" s="1">
        <v>906</v>
      </c>
      <c r="L174" s="1">
        <v>118</v>
      </c>
      <c r="M174" s="1">
        <f t="shared" si="13"/>
        <v>120</v>
      </c>
      <c r="N174" s="1">
        <v>120</v>
      </c>
      <c r="O174" s="1">
        <f t="shared" si="14"/>
        <v>0</v>
      </c>
      <c r="P174" s="1"/>
      <c r="Q174" s="1" t="s">
        <v>30</v>
      </c>
      <c r="R174" s="1" t="s">
        <v>26</v>
      </c>
    </row>
    <row r="175" spans="1:18" x14ac:dyDescent="0.35">
      <c r="A175" s="1" t="s">
        <v>206</v>
      </c>
      <c r="B175" s="1" t="str">
        <f t="shared" si="10"/>
        <v>Male</v>
      </c>
      <c r="C175" s="1" t="s">
        <v>33</v>
      </c>
      <c r="D175" s="1" t="str">
        <f t="shared" si="11"/>
        <v>No</v>
      </c>
      <c r="E175" s="1"/>
      <c r="F175" s="1">
        <v>1</v>
      </c>
      <c r="G175" s="1" t="s">
        <v>17</v>
      </c>
      <c r="H175" s="1" t="str">
        <f t="shared" si="12"/>
        <v>No</v>
      </c>
      <c r="I175" s="1" t="s">
        <v>36</v>
      </c>
      <c r="J175" s="1">
        <v>15405</v>
      </c>
      <c r="K175" s="1">
        <v>7736</v>
      </c>
      <c r="L175" s="1">
        <v>567</v>
      </c>
      <c r="M175" s="1">
        <f t="shared" si="13"/>
        <v>120</v>
      </c>
      <c r="N175" s="1">
        <v>120</v>
      </c>
      <c r="O175" s="1">
        <f t="shared" si="14"/>
        <v>0</v>
      </c>
      <c r="P175" s="1"/>
      <c r="Q175" s="1" t="s">
        <v>30</v>
      </c>
      <c r="R175" s="1" t="s">
        <v>20</v>
      </c>
    </row>
    <row r="176" spans="1:18" x14ac:dyDescent="0.35">
      <c r="A176" s="1" t="s">
        <v>207</v>
      </c>
      <c r="B176" s="1" t="str">
        <f t="shared" si="10"/>
        <v>Male</v>
      </c>
      <c r="C176" s="1" t="s">
        <v>14</v>
      </c>
      <c r="D176" s="1" t="str">
        <f t="shared" si="11"/>
        <v>No</v>
      </c>
      <c r="E176" s="1" t="s">
        <v>18</v>
      </c>
      <c r="F176" s="1">
        <v>0</v>
      </c>
      <c r="G176" s="1" t="s">
        <v>25</v>
      </c>
      <c r="H176" s="1" t="str">
        <f t="shared" si="12"/>
        <v>No</v>
      </c>
      <c r="I176" s="1"/>
      <c r="J176" s="1">
        <v>4979</v>
      </c>
      <c r="K176" s="1">
        <v>9348</v>
      </c>
      <c r="L176" s="1">
        <v>488</v>
      </c>
      <c r="M176" s="1">
        <f t="shared" si="13"/>
        <v>360</v>
      </c>
      <c r="N176" s="1">
        <v>360</v>
      </c>
      <c r="O176" s="1">
        <f t="shared" si="14"/>
        <v>1</v>
      </c>
      <c r="P176" s="1">
        <v>1</v>
      </c>
      <c r="Q176" s="1" t="s">
        <v>19</v>
      </c>
      <c r="R176" s="1" t="s">
        <v>26</v>
      </c>
    </row>
    <row r="177" spans="1:18" x14ac:dyDescent="0.35">
      <c r="A177" s="1" t="s">
        <v>208</v>
      </c>
      <c r="B177" s="1" t="str">
        <f t="shared" si="10"/>
        <v>Male</v>
      </c>
      <c r="C177" s="1" t="s">
        <v>52</v>
      </c>
      <c r="D177" s="1" t="str">
        <f t="shared" si="11"/>
        <v>No</v>
      </c>
      <c r="E177" s="1"/>
      <c r="F177" s="1">
        <v>1</v>
      </c>
      <c r="G177" s="1" t="s">
        <v>17</v>
      </c>
      <c r="H177" s="1" t="str">
        <f t="shared" si="12"/>
        <v>Yes</v>
      </c>
      <c r="I177" s="1" t="s">
        <v>29</v>
      </c>
      <c r="J177" s="1">
        <v>3760</v>
      </c>
      <c r="K177" s="1">
        <v>5746</v>
      </c>
      <c r="L177" s="1">
        <v>185</v>
      </c>
      <c r="M177" s="1">
        <f t="shared" si="13"/>
        <v>180</v>
      </c>
      <c r="N177" s="1">
        <v>180</v>
      </c>
      <c r="O177" s="1">
        <f t="shared" si="14"/>
        <v>1</v>
      </c>
      <c r="P177" s="1">
        <v>1</v>
      </c>
      <c r="Q177" s="1" t="s">
        <v>19</v>
      </c>
      <c r="R177" s="1" t="s">
        <v>26</v>
      </c>
    </row>
    <row r="178" spans="1:18" x14ac:dyDescent="0.35">
      <c r="A178" s="1" t="s">
        <v>209</v>
      </c>
      <c r="B178" s="1" t="str">
        <f t="shared" si="10"/>
        <v>Unknown</v>
      </c>
      <c r="C178" s="1"/>
      <c r="D178" s="1" t="str">
        <f t="shared" si="11"/>
        <v>Yes</v>
      </c>
      <c r="E178" s="1" t="s">
        <v>15</v>
      </c>
      <c r="F178" s="1">
        <v>2</v>
      </c>
      <c r="G178" s="1" t="s">
        <v>17</v>
      </c>
      <c r="H178" s="1" t="str">
        <f t="shared" si="12"/>
        <v>No</v>
      </c>
      <c r="I178" s="1" t="s">
        <v>18</v>
      </c>
      <c r="J178" s="1">
        <v>17970</v>
      </c>
      <c r="K178" s="1">
        <v>3771</v>
      </c>
      <c r="L178" s="1">
        <v>579</v>
      </c>
      <c r="M178" s="1">
        <f t="shared" si="13"/>
        <v>180</v>
      </c>
      <c r="N178" s="1">
        <v>180</v>
      </c>
      <c r="O178" s="1">
        <f t="shared" si="14"/>
        <v>0</v>
      </c>
      <c r="P178" s="1"/>
      <c r="Q178" s="1" t="s">
        <v>41</v>
      </c>
      <c r="R178" s="1" t="s">
        <v>26</v>
      </c>
    </row>
    <row r="179" spans="1:18" x14ac:dyDescent="0.35">
      <c r="A179" s="1" t="s">
        <v>210</v>
      </c>
      <c r="B179" s="1" t="str">
        <f t="shared" si="10"/>
        <v>Female</v>
      </c>
      <c r="C179" s="1" t="s">
        <v>43</v>
      </c>
      <c r="D179" s="1" t="str">
        <f t="shared" si="11"/>
        <v>No</v>
      </c>
      <c r="E179" s="1"/>
      <c r="F179" s="1">
        <v>0</v>
      </c>
      <c r="G179" s="1" t="s">
        <v>25</v>
      </c>
      <c r="H179" s="1" t="str">
        <f t="shared" si="12"/>
        <v>Yes</v>
      </c>
      <c r="I179" s="1" t="s">
        <v>29</v>
      </c>
      <c r="J179" s="1">
        <v>5212</v>
      </c>
      <c r="K179" s="1">
        <v>9456</v>
      </c>
      <c r="L179" s="1">
        <v>512</v>
      </c>
      <c r="M179" s="1">
        <f t="shared" si="13"/>
        <v>360</v>
      </c>
      <c r="N179" s="1">
        <v>360</v>
      </c>
      <c r="O179" s="1">
        <f t="shared" si="14"/>
        <v>0</v>
      </c>
      <c r="P179" s="1">
        <v>0</v>
      </c>
      <c r="Q179" s="1" t="s">
        <v>19</v>
      </c>
      <c r="R179" s="1" t="s">
        <v>20</v>
      </c>
    </row>
    <row r="180" spans="1:18" x14ac:dyDescent="0.35">
      <c r="A180" s="1" t="s">
        <v>211</v>
      </c>
      <c r="B180" s="1" t="str">
        <f t="shared" si="10"/>
        <v>Female</v>
      </c>
      <c r="C180" s="1" t="s">
        <v>43</v>
      </c>
      <c r="D180" s="1" t="str">
        <f t="shared" si="11"/>
        <v>No</v>
      </c>
      <c r="E180" s="1"/>
      <c r="F180" s="1">
        <v>1</v>
      </c>
      <c r="G180" s="1" t="s">
        <v>17</v>
      </c>
      <c r="H180" s="1" t="str">
        <f t="shared" si="12"/>
        <v>No</v>
      </c>
      <c r="I180" s="1"/>
      <c r="J180" s="1">
        <v>18759</v>
      </c>
      <c r="K180" s="1">
        <v>351</v>
      </c>
      <c r="L180" s="1">
        <v>99</v>
      </c>
      <c r="M180" s="1">
        <f t="shared" si="13"/>
        <v>360</v>
      </c>
      <c r="N180" s="1"/>
      <c r="O180" s="1">
        <f t="shared" si="14"/>
        <v>0</v>
      </c>
      <c r="P180" s="1">
        <v>0</v>
      </c>
      <c r="Q180" s="1" t="s">
        <v>19</v>
      </c>
      <c r="R180" s="1" t="s">
        <v>20</v>
      </c>
    </row>
    <row r="181" spans="1:18" x14ac:dyDescent="0.35">
      <c r="A181" s="1" t="s">
        <v>212</v>
      </c>
      <c r="B181" s="1" t="str">
        <f t="shared" si="10"/>
        <v>Female</v>
      </c>
      <c r="C181" s="1" t="s">
        <v>28</v>
      </c>
      <c r="D181" s="1" t="str">
        <f t="shared" si="11"/>
        <v>Yes</v>
      </c>
      <c r="E181" s="1" t="s">
        <v>15</v>
      </c>
      <c r="F181" s="1">
        <v>2</v>
      </c>
      <c r="G181" s="1" t="s">
        <v>25</v>
      </c>
      <c r="H181" s="1" t="str">
        <f t="shared" si="12"/>
        <v>No</v>
      </c>
      <c r="I181" s="1"/>
      <c r="J181" s="1">
        <v>8382</v>
      </c>
      <c r="K181" s="1">
        <v>4467</v>
      </c>
      <c r="L181" s="1">
        <v>116</v>
      </c>
      <c r="M181" s="1">
        <f t="shared" si="13"/>
        <v>360</v>
      </c>
      <c r="N181" s="1"/>
      <c r="O181" s="1">
        <f t="shared" si="14"/>
        <v>0</v>
      </c>
      <c r="P181" s="1"/>
      <c r="Q181" s="1" t="s">
        <v>19</v>
      </c>
      <c r="R181" s="1" t="s">
        <v>26</v>
      </c>
    </row>
    <row r="182" spans="1:18" x14ac:dyDescent="0.35">
      <c r="A182" s="1" t="s">
        <v>213</v>
      </c>
      <c r="B182" s="1" t="str">
        <f t="shared" si="10"/>
        <v>Male</v>
      </c>
      <c r="C182" s="1" t="s">
        <v>14</v>
      </c>
      <c r="D182" s="1" t="str">
        <f t="shared" si="11"/>
        <v>No</v>
      </c>
      <c r="E182" s="1"/>
      <c r="F182" s="1">
        <v>0</v>
      </c>
      <c r="G182" s="1" t="s">
        <v>17</v>
      </c>
      <c r="H182" s="1" t="str">
        <f t="shared" si="12"/>
        <v>Yes</v>
      </c>
      <c r="I182" s="1" t="s">
        <v>15</v>
      </c>
      <c r="J182" s="1">
        <v>13592</v>
      </c>
      <c r="K182" s="1">
        <v>3345</v>
      </c>
      <c r="L182" s="1">
        <v>389</v>
      </c>
      <c r="M182" s="1">
        <f t="shared" si="13"/>
        <v>360</v>
      </c>
      <c r="N182" s="1"/>
      <c r="O182" s="1">
        <f t="shared" si="14"/>
        <v>1</v>
      </c>
      <c r="P182" s="1">
        <v>1</v>
      </c>
      <c r="Q182" s="1" t="s">
        <v>19</v>
      </c>
      <c r="R182" s="1" t="s">
        <v>26</v>
      </c>
    </row>
    <row r="183" spans="1:18" x14ac:dyDescent="0.35">
      <c r="A183" s="1" t="s">
        <v>214</v>
      </c>
      <c r="B183" s="1" t="str">
        <f t="shared" si="10"/>
        <v>Female</v>
      </c>
      <c r="C183" s="1" t="s">
        <v>61</v>
      </c>
      <c r="D183" s="1" t="str">
        <f t="shared" si="11"/>
        <v>Yes</v>
      </c>
      <c r="E183" s="1" t="s">
        <v>29</v>
      </c>
      <c r="F183" s="1" t="s">
        <v>16</v>
      </c>
      <c r="G183" s="1" t="s">
        <v>25</v>
      </c>
      <c r="H183" s="1" t="str">
        <f t="shared" si="12"/>
        <v>No</v>
      </c>
      <c r="I183" s="1"/>
      <c r="J183" s="1">
        <v>16147</v>
      </c>
      <c r="K183" s="1">
        <v>7976</v>
      </c>
      <c r="L183" s="1">
        <v>181</v>
      </c>
      <c r="M183" s="1">
        <f t="shared" si="13"/>
        <v>360</v>
      </c>
      <c r="N183" s="1">
        <v>360</v>
      </c>
      <c r="O183" s="1">
        <f t="shared" si="14"/>
        <v>1</v>
      </c>
      <c r="P183" s="1">
        <v>1</v>
      </c>
      <c r="Q183" s="1" t="s">
        <v>41</v>
      </c>
      <c r="R183" s="1" t="s">
        <v>20</v>
      </c>
    </row>
    <row r="184" spans="1:18" x14ac:dyDescent="0.35">
      <c r="A184" s="1" t="s">
        <v>215</v>
      </c>
      <c r="B184" s="1" t="str">
        <f t="shared" si="10"/>
        <v>Male</v>
      </c>
      <c r="C184" s="1" t="s">
        <v>14</v>
      </c>
      <c r="D184" s="1" t="str">
        <f t="shared" si="11"/>
        <v>No</v>
      </c>
      <c r="E184" s="1" t="s">
        <v>22</v>
      </c>
      <c r="F184" s="1">
        <v>1</v>
      </c>
      <c r="G184" s="1" t="s">
        <v>17</v>
      </c>
      <c r="H184" s="1" t="str">
        <f t="shared" si="12"/>
        <v>No</v>
      </c>
      <c r="I184" s="1"/>
      <c r="J184" s="1">
        <v>19544</v>
      </c>
      <c r="K184" s="1">
        <v>7750</v>
      </c>
      <c r="L184" s="1">
        <v>358</v>
      </c>
      <c r="M184" s="1">
        <f t="shared" si="13"/>
        <v>120</v>
      </c>
      <c r="N184" s="1">
        <v>120</v>
      </c>
      <c r="O184" s="1">
        <f t="shared" si="14"/>
        <v>0</v>
      </c>
      <c r="P184" s="1">
        <v>0</v>
      </c>
      <c r="Q184" s="1" t="s">
        <v>30</v>
      </c>
      <c r="R184" s="1" t="s">
        <v>20</v>
      </c>
    </row>
    <row r="185" spans="1:18" x14ac:dyDescent="0.35">
      <c r="A185" s="1" t="s">
        <v>216</v>
      </c>
      <c r="B185" s="1" t="str">
        <f t="shared" si="10"/>
        <v>Unknown</v>
      </c>
      <c r="C185" s="1"/>
      <c r="D185" s="1" t="str">
        <f t="shared" si="11"/>
        <v>No</v>
      </c>
      <c r="E185" s="1"/>
      <c r="F185" s="1">
        <v>2</v>
      </c>
      <c r="G185" s="1" t="s">
        <v>25</v>
      </c>
      <c r="H185" s="1" t="str">
        <f t="shared" si="12"/>
        <v>No</v>
      </c>
      <c r="I185" s="1"/>
      <c r="J185" s="1">
        <v>19665</v>
      </c>
      <c r="K185" s="1">
        <v>6640</v>
      </c>
      <c r="L185" s="1">
        <v>293</v>
      </c>
      <c r="M185" s="1">
        <f t="shared" si="13"/>
        <v>360</v>
      </c>
      <c r="N185" s="1"/>
      <c r="O185" s="1">
        <f t="shared" si="14"/>
        <v>1</v>
      </c>
      <c r="P185" s="1">
        <v>1</v>
      </c>
      <c r="Q185" s="1" t="s">
        <v>19</v>
      </c>
      <c r="R185" s="1" t="s">
        <v>26</v>
      </c>
    </row>
    <row r="186" spans="1:18" x14ac:dyDescent="0.35">
      <c r="A186" s="1" t="s">
        <v>217</v>
      </c>
      <c r="B186" s="1" t="str">
        <f t="shared" si="10"/>
        <v>Male</v>
      </c>
      <c r="C186" s="1" t="s">
        <v>14</v>
      </c>
      <c r="D186" s="1" t="str">
        <f t="shared" si="11"/>
        <v>No</v>
      </c>
      <c r="E186" s="1"/>
      <c r="F186" s="1">
        <v>1</v>
      </c>
      <c r="G186" s="1" t="s">
        <v>25</v>
      </c>
      <c r="H186" s="1" t="str">
        <f t="shared" si="12"/>
        <v>Yes</v>
      </c>
      <c r="I186" s="1" t="s">
        <v>24</v>
      </c>
      <c r="J186" s="1">
        <v>17817</v>
      </c>
      <c r="K186" s="1">
        <v>2556</v>
      </c>
      <c r="L186" s="1">
        <v>310</v>
      </c>
      <c r="M186" s="1">
        <f t="shared" si="13"/>
        <v>120</v>
      </c>
      <c r="N186" s="1">
        <v>120</v>
      </c>
      <c r="O186" s="1">
        <f t="shared" si="14"/>
        <v>0</v>
      </c>
      <c r="P186" s="1"/>
      <c r="Q186" s="1" t="s">
        <v>41</v>
      </c>
      <c r="R186" s="1" t="s">
        <v>26</v>
      </c>
    </row>
    <row r="187" spans="1:18" x14ac:dyDescent="0.35">
      <c r="A187" s="1" t="s">
        <v>218</v>
      </c>
      <c r="B187" s="1" t="str">
        <f t="shared" si="10"/>
        <v>Female</v>
      </c>
      <c r="C187" s="1" t="s">
        <v>28</v>
      </c>
      <c r="D187" s="1" t="str">
        <f t="shared" si="11"/>
        <v>No</v>
      </c>
      <c r="E187" s="1" t="s">
        <v>22</v>
      </c>
      <c r="F187" s="1">
        <v>2</v>
      </c>
      <c r="G187" s="1" t="s">
        <v>25</v>
      </c>
      <c r="H187" s="1" t="str">
        <f t="shared" si="12"/>
        <v>Yes</v>
      </c>
      <c r="I187" s="1" t="s">
        <v>29</v>
      </c>
      <c r="J187" s="1">
        <v>19404</v>
      </c>
      <c r="K187" s="1">
        <v>4646</v>
      </c>
      <c r="L187" s="1">
        <v>185</v>
      </c>
      <c r="M187" s="1">
        <f t="shared" si="13"/>
        <v>360</v>
      </c>
      <c r="N187" s="1"/>
      <c r="O187" s="1">
        <f t="shared" si="14"/>
        <v>0</v>
      </c>
      <c r="P187" s="1"/>
      <c r="Q187" s="1" t="s">
        <v>30</v>
      </c>
      <c r="R187" s="1" t="s">
        <v>20</v>
      </c>
    </row>
    <row r="188" spans="1:18" x14ac:dyDescent="0.35">
      <c r="A188" s="1" t="s">
        <v>219</v>
      </c>
      <c r="B188" s="1" t="str">
        <f t="shared" si="10"/>
        <v>Male</v>
      </c>
      <c r="C188" s="1" t="s">
        <v>33</v>
      </c>
      <c r="D188" s="1" t="str">
        <f t="shared" si="11"/>
        <v>No</v>
      </c>
      <c r="E188" s="1"/>
      <c r="F188" s="1">
        <v>1</v>
      </c>
      <c r="G188" s="1" t="s">
        <v>17</v>
      </c>
      <c r="H188" s="1" t="str">
        <f t="shared" si="12"/>
        <v>No</v>
      </c>
      <c r="I188" s="1" t="s">
        <v>18</v>
      </c>
      <c r="J188" s="1">
        <v>19457</v>
      </c>
      <c r="K188" s="1">
        <v>9779</v>
      </c>
      <c r="L188" s="1">
        <v>596</v>
      </c>
      <c r="M188" s="1">
        <f t="shared" si="13"/>
        <v>180</v>
      </c>
      <c r="N188" s="1">
        <v>180</v>
      </c>
      <c r="O188" s="1">
        <f t="shared" si="14"/>
        <v>0</v>
      </c>
      <c r="P188" s="1">
        <v>0</v>
      </c>
      <c r="Q188" s="1" t="s">
        <v>41</v>
      </c>
      <c r="R188" s="1" t="s">
        <v>26</v>
      </c>
    </row>
    <row r="189" spans="1:18" x14ac:dyDescent="0.35">
      <c r="A189" s="1" t="s">
        <v>220</v>
      </c>
      <c r="B189" s="1" t="str">
        <f t="shared" si="10"/>
        <v>Unknown</v>
      </c>
      <c r="C189" s="1"/>
      <c r="D189" s="1" t="str">
        <f t="shared" si="11"/>
        <v>No</v>
      </c>
      <c r="E189" s="1"/>
      <c r="F189" s="1">
        <v>1</v>
      </c>
      <c r="G189" s="1" t="s">
        <v>25</v>
      </c>
      <c r="H189" s="1" t="str">
        <f t="shared" si="12"/>
        <v>Yes</v>
      </c>
      <c r="I189" s="1" t="s">
        <v>29</v>
      </c>
      <c r="J189" s="1">
        <v>19128</v>
      </c>
      <c r="K189" s="1">
        <v>1096</v>
      </c>
      <c r="L189" s="1">
        <v>502</v>
      </c>
      <c r="M189" s="1">
        <f t="shared" si="13"/>
        <v>360</v>
      </c>
      <c r="N189" s="1">
        <v>360</v>
      </c>
      <c r="O189" s="1">
        <f t="shared" si="14"/>
        <v>0</v>
      </c>
      <c r="P189" s="1">
        <v>0</v>
      </c>
      <c r="Q189" s="1" t="s">
        <v>30</v>
      </c>
      <c r="R189" s="1" t="s">
        <v>20</v>
      </c>
    </row>
    <row r="190" spans="1:18" x14ac:dyDescent="0.35">
      <c r="A190" s="1" t="s">
        <v>221</v>
      </c>
      <c r="B190" s="1" t="str">
        <f t="shared" si="10"/>
        <v>Unknown</v>
      </c>
      <c r="C190" s="1"/>
      <c r="D190" s="1" t="str">
        <f t="shared" si="11"/>
        <v>No</v>
      </c>
      <c r="E190" s="1" t="s">
        <v>22</v>
      </c>
      <c r="F190" s="1">
        <v>2</v>
      </c>
      <c r="G190" s="1" t="s">
        <v>17</v>
      </c>
      <c r="H190" s="1" t="str">
        <f t="shared" si="12"/>
        <v>No</v>
      </c>
      <c r="I190" s="1"/>
      <c r="J190" s="1">
        <v>9425</v>
      </c>
      <c r="K190" s="1">
        <v>520</v>
      </c>
      <c r="L190" s="1">
        <v>635</v>
      </c>
      <c r="M190" s="1">
        <f t="shared" si="13"/>
        <v>120</v>
      </c>
      <c r="N190" s="1">
        <v>120</v>
      </c>
      <c r="O190" s="1">
        <f t="shared" si="14"/>
        <v>1</v>
      </c>
      <c r="P190" s="1">
        <v>1</v>
      </c>
      <c r="Q190" s="1" t="s">
        <v>41</v>
      </c>
      <c r="R190" s="1" t="s">
        <v>26</v>
      </c>
    </row>
    <row r="191" spans="1:18" x14ac:dyDescent="0.35">
      <c r="A191" s="1" t="s">
        <v>222</v>
      </c>
      <c r="B191" s="1" t="str">
        <f t="shared" si="10"/>
        <v>Unknown</v>
      </c>
      <c r="C191" s="1"/>
      <c r="D191" s="1" t="str">
        <f t="shared" si="11"/>
        <v>Yes</v>
      </c>
      <c r="E191" s="1" t="s">
        <v>15</v>
      </c>
      <c r="F191" s="1">
        <v>0</v>
      </c>
      <c r="G191" s="1" t="s">
        <v>25</v>
      </c>
      <c r="H191" s="1" t="str">
        <f t="shared" si="12"/>
        <v>Yes</v>
      </c>
      <c r="I191" s="1" t="s">
        <v>15</v>
      </c>
      <c r="J191" s="1">
        <v>14862</v>
      </c>
      <c r="K191" s="1">
        <v>6113</v>
      </c>
      <c r="L191" s="1">
        <v>362</v>
      </c>
      <c r="M191" s="1">
        <f t="shared" si="13"/>
        <v>360</v>
      </c>
      <c r="N191" s="1">
        <v>360</v>
      </c>
      <c r="O191" s="1">
        <f t="shared" si="14"/>
        <v>1</v>
      </c>
      <c r="P191" s="1">
        <v>1</v>
      </c>
      <c r="Q191" s="1" t="s">
        <v>41</v>
      </c>
      <c r="R191" s="1" t="s">
        <v>26</v>
      </c>
    </row>
    <row r="192" spans="1:18" x14ac:dyDescent="0.35">
      <c r="A192" s="1" t="s">
        <v>223</v>
      </c>
      <c r="B192" s="1" t="str">
        <f t="shared" si="10"/>
        <v>Male</v>
      </c>
      <c r="C192" s="1" t="s">
        <v>14</v>
      </c>
      <c r="D192" s="1" t="str">
        <f t="shared" si="11"/>
        <v>No</v>
      </c>
      <c r="E192" s="1"/>
      <c r="F192" s="1">
        <v>2</v>
      </c>
      <c r="G192" s="1" t="s">
        <v>25</v>
      </c>
      <c r="H192" s="1" t="str">
        <f t="shared" si="12"/>
        <v>Yes</v>
      </c>
      <c r="I192" s="1" t="s">
        <v>15</v>
      </c>
      <c r="J192" s="1">
        <v>19974</v>
      </c>
      <c r="K192" s="1">
        <v>8322</v>
      </c>
      <c r="L192" s="1">
        <v>390</v>
      </c>
      <c r="M192" s="1">
        <f t="shared" si="13"/>
        <v>120</v>
      </c>
      <c r="N192" s="1">
        <v>120</v>
      </c>
      <c r="O192" s="1">
        <f t="shared" si="14"/>
        <v>0</v>
      </c>
      <c r="P192" s="1"/>
      <c r="Q192" s="1" t="s">
        <v>30</v>
      </c>
      <c r="R192" s="1" t="s">
        <v>26</v>
      </c>
    </row>
    <row r="193" spans="1:18" x14ac:dyDescent="0.35">
      <c r="A193" s="1" t="s">
        <v>224</v>
      </c>
      <c r="B193" s="1" t="str">
        <f t="shared" si="10"/>
        <v>Female</v>
      </c>
      <c r="C193" s="1" t="s">
        <v>28</v>
      </c>
      <c r="D193" s="1" t="str">
        <f t="shared" si="11"/>
        <v>Yes</v>
      </c>
      <c r="E193" s="1" t="s">
        <v>29</v>
      </c>
      <c r="F193" s="1">
        <v>2</v>
      </c>
      <c r="G193" s="1" t="s">
        <v>25</v>
      </c>
      <c r="H193" s="1" t="str">
        <f t="shared" si="12"/>
        <v>No</v>
      </c>
      <c r="I193" s="1"/>
      <c r="J193" s="1">
        <v>5359</v>
      </c>
      <c r="K193" s="1">
        <v>7441</v>
      </c>
      <c r="L193" s="1">
        <v>527</v>
      </c>
      <c r="M193" s="1">
        <f t="shared" si="13"/>
        <v>360</v>
      </c>
      <c r="N193" s="1"/>
      <c r="O193" s="1">
        <f t="shared" si="14"/>
        <v>1</v>
      </c>
      <c r="P193" s="1">
        <v>1</v>
      </c>
      <c r="Q193" s="1" t="s">
        <v>19</v>
      </c>
      <c r="R193" s="1" t="s">
        <v>26</v>
      </c>
    </row>
    <row r="194" spans="1:18" x14ac:dyDescent="0.35">
      <c r="A194" s="1" t="s">
        <v>225</v>
      </c>
      <c r="B194" s="1" t="str">
        <f t="shared" ref="B194:B257" si="15">IF(ISBLANK(C194),"Unknown", IF(LOWER(TRIM(C194))="male","Male","Female"))</f>
        <v>Unknown</v>
      </c>
      <c r="C194" s="1"/>
      <c r="D194" s="1" t="str">
        <f t="shared" ref="D194:D257" si="16">IF(ISBLANK(E194),"No",PROPER(TRIM(E194)))</f>
        <v>No</v>
      </c>
      <c r="E194" s="1"/>
      <c r="F194" s="1">
        <v>1</v>
      </c>
      <c r="G194" s="1" t="s">
        <v>25</v>
      </c>
      <c r="H194" s="1" t="str">
        <f t="shared" ref="H194:H257" si="17">IF(ISBLANK(I194),"No",PROPER(TRIM(I194)))</f>
        <v>Yes</v>
      </c>
      <c r="I194" s="1" t="s">
        <v>29</v>
      </c>
      <c r="J194" s="1">
        <v>12657</v>
      </c>
      <c r="K194" s="1">
        <v>3869</v>
      </c>
      <c r="L194" s="1">
        <v>143</v>
      </c>
      <c r="M194" s="1">
        <f t="shared" ref="M194:M257" si="18">IF(ISBLANK(N194),360,N194)</f>
        <v>120</v>
      </c>
      <c r="N194" s="1">
        <v>120</v>
      </c>
      <c r="O194" s="1">
        <f t="shared" ref="O194:O257" si="19">IF(ISBLANK(P194),0,P194)</f>
        <v>0</v>
      </c>
      <c r="P194" s="1"/>
      <c r="Q194" s="1" t="s">
        <v>41</v>
      </c>
      <c r="R194" s="1" t="s">
        <v>20</v>
      </c>
    </row>
    <row r="195" spans="1:18" x14ac:dyDescent="0.35">
      <c r="A195" s="1" t="s">
        <v>226</v>
      </c>
      <c r="B195" s="1" t="str">
        <f t="shared" si="15"/>
        <v>Male</v>
      </c>
      <c r="C195" s="1" t="s">
        <v>52</v>
      </c>
      <c r="D195" s="1" t="str">
        <f t="shared" si="16"/>
        <v>No</v>
      </c>
      <c r="E195" s="1" t="s">
        <v>36</v>
      </c>
      <c r="F195" s="1">
        <v>0</v>
      </c>
      <c r="G195" s="1" t="s">
        <v>25</v>
      </c>
      <c r="H195" s="1" t="str">
        <f t="shared" si="17"/>
        <v>No</v>
      </c>
      <c r="I195" s="1"/>
      <c r="J195" s="1">
        <v>5974</v>
      </c>
      <c r="K195" s="1">
        <v>3206</v>
      </c>
      <c r="L195" s="1">
        <v>540</v>
      </c>
      <c r="M195" s="1">
        <f t="shared" si="18"/>
        <v>180</v>
      </c>
      <c r="N195" s="1">
        <v>180</v>
      </c>
      <c r="O195" s="1">
        <f t="shared" si="19"/>
        <v>1</v>
      </c>
      <c r="P195" s="1">
        <v>1</v>
      </c>
      <c r="Q195" s="1" t="s">
        <v>41</v>
      </c>
      <c r="R195" s="1" t="s">
        <v>20</v>
      </c>
    </row>
    <row r="196" spans="1:18" x14ac:dyDescent="0.35">
      <c r="A196" s="1" t="s">
        <v>227</v>
      </c>
      <c r="B196" s="1" t="str">
        <f t="shared" si="15"/>
        <v>Unknown</v>
      </c>
      <c r="C196" s="1"/>
      <c r="D196" s="1" t="str">
        <f t="shared" si="16"/>
        <v>Yes</v>
      </c>
      <c r="E196" s="1" t="s">
        <v>29</v>
      </c>
      <c r="F196" s="1">
        <v>1</v>
      </c>
      <c r="G196" s="1" t="s">
        <v>25</v>
      </c>
      <c r="H196" s="1" t="str">
        <f t="shared" si="17"/>
        <v>No</v>
      </c>
      <c r="I196" s="1" t="s">
        <v>36</v>
      </c>
      <c r="J196" s="1">
        <v>4222</v>
      </c>
      <c r="K196" s="1">
        <v>654</v>
      </c>
      <c r="L196" s="1">
        <v>545</v>
      </c>
      <c r="M196" s="1">
        <f t="shared" si="18"/>
        <v>360</v>
      </c>
      <c r="N196" s="1">
        <v>360</v>
      </c>
      <c r="O196" s="1">
        <f t="shared" si="19"/>
        <v>1</v>
      </c>
      <c r="P196" s="1">
        <v>1</v>
      </c>
      <c r="Q196" s="1" t="s">
        <v>30</v>
      </c>
      <c r="R196" s="1" t="s">
        <v>20</v>
      </c>
    </row>
    <row r="197" spans="1:18" x14ac:dyDescent="0.35">
      <c r="A197" s="1" t="s">
        <v>228</v>
      </c>
      <c r="B197" s="1" t="str">
        <f t="shared" si="15"/>
        <v>Male</v>
      </c>
      <c r="C197" s="1" t="s">
        <v>14</v>
      </c>
      <c r="D197" s="1" t="str">
        <f t="shared" si="16"/>
        <v>Yes</v>
      </c>
      <c r="E197" s="1" t="s">
        <v>15</v>
      </c>
      <c r="F197" s="1">
        <v>0</v>
      </c>
      <c r="G197" s="1" t="s">
        <v>25</v>
      </c>
      <c r="H197" s="1" t="str">
        <f t="shared" si="17"/>
        <v>No</v>
      </c>
      <c r="I197" s="1"/>
      <c r="J197" s="1">
        <v>6586</v>
      </c>
      <c r="K197" s="1">
        <v>9236</v>
      </c>
      <c r="L197" s="1">
        <v>354</v>
      </c>
      <c r="M197" s="1">
        <f t="shared" si="18"/>
        <v>120</v>
      </c>
      <c r="N197" s="1">
        <v>120</v>
      </c>
      <c r="O197" s="1">
        <f t="shared" si="19"/>
        <v>0</v>
      </c>
      <c r="P197" s="1"/>
      <c r="Q197" s="1" t="s">
        <v>19</v>
      </c>
      <c r="R197" s="1" t="s">
        <v>20</v>
      </c>
    </row>
    <row r="198" spans="1:18" x14ac:dyDescent="0.35">
      <c r="A198" s="1" t="s">
        <v>229</v>
      </c>
      <c r="B198" s="1" t="str">
        <f t="shared" si="15"/>
        <v>Unknown</v>
      </c>
      <c r="C198" s="1"/>
      <c r="D198" s="1" t="str">
        <f t="shared" si="16"/>
        <v>No</v>
      </c>
      <c r="E198" s="1"/>
      <c r="F198" s="1">
        <v>1</v>
      </c>
      <c r="G198" s="1" t="s">
        <v>17</v>
      </c>
      <c r="H198" s="1" t="str">
        <f t="shared" si="17"/>
        <v>Yes</v>
      </c>
      <c r="I198" s="1" t="s">
        <v>15</v>
      </c>
      <c r="J198" s="1">
        <v>15415</v>
      </c>
      <c r="K198" s="1">
        <v>5334</v>
      </c>
      <c r="L198" s="1">
        <v>665</v>
      </c>
      <c r="M198" s="1">
        <f t="shared" si="18"/>
        <v>360</v>
      </c>
      <c r="N198" s="1">
        <v>360</v>
      </c>
      <c r="O198" s="1">
        <f t="shared" si="19"/>
        <v>0</v>
      </c>
      <c r="P198" s="1">
        <v>0</v>
      </c>
      <c r="Q198" s="1" t="s">
        <v>41</v>
      </c>
      <c r="R198" s="1" t="s">
        <v>20</v>
      </c>
    </row>
    <row r="199" spans="1:18" x14ac:dyDescent="0.35">
      <c r="A199" s="1" t="s">
        <v>230</v>
      </c>
      <c r="B199" s="1" t="str">
        <f t="shared" si="15"/>
        <v>Female</v>
      </c>
      <c r="C199" s="1" t="s">
        <v>61</v>
      </c>
      <c r="D199" s="1" t="str">
        <f t="shared" si="16"/>
        <v>No</v>
      </c>
      <c r="E199" s="1" t="s">
        <v>22</v>
      </c>
      <c r="F199" s="1" t="s">
        <v>16</v>
      </c>
      <c r="G199" s="1" t="s">
        <v>25</v>
      </c>
      <c r="H199" s="1" t="str">
        <f t="shared" si="17"/>
        <v>No</v>
      </c>
      <c r="I199" s="1" t="s">
        <v>36</v>
      </c>
      <c r="J199" s="1">
        <v>3968</v>
      </c>
      <c r="K199" s="1">
        <v>8802</v>
      </c>
      <c r="L199" s="1">
        <v>236</v>
      </c>
      <c r="M199" s="1">
        <f t="shared" si="18"/>
        <v>360</v>
      </c>
      <c r="N199" s="1"/>
      <c r="O199" s="1">
        <f t="shared" si="19"/>
        <v>0</v>
      </c>
      <c r="P199" s="1"/>
      <c r="Q199" s="1" t="s">
        <v>19</v>
      </c>
      <c r="R199" s="1" t="s">
        <v>20</v>
      </c>
    </row>
    <row r="200" spans="1:18" x14ac:dyDescent="0.35">
      <c r="A200" s="1" t="s">
        <v>231</v>
      </c>
      <c r="B200" s="1" t="str">
        <f t="shared" si="15"/>
        <v>Female</v>
      </c>
      <c r="C200" s="1" t="s">
        <v>61</v>
      </c>
      <c r="D200" s="1" t="str">
        <f t="shared" si="16"/>
        <v>No</v>
      </c>
      <c r="E200" s="1"/>
      <c r="F200" s="1" t="s">
        <v>16</v>
      </c>
      <c r="G200" s="1" t="s">
        <v>17</v>
      </c>
      <c r="H200" s="1" t="str">
        <f t="shared" si="17"/>
        <v>No</v>
      </c>
      <c r="I200" s="1"/>
      <c r="J200" s="1">
        <v>7362</v>
      </c>
      <c r="K200" s="1">
        <v>7906</v>
      </c>
      <c r="L200" s="1">
        <v>599</v>
      </c>
      <c r="M200" s="1">
        <f t="shared" si="18"/>
        <v>360</v>
      </c>
      <c r="N200" s="1"/>
      <c r="O200" s="1">
        <f t="shared" si="19"/>
        <v>1</v>
      </c>
      <c r="P200" s="1">
        <v>1</v>
      </c>
      <c r="Q200" s="1" t="s">
        <v>30</v>
      </c>
      <c r="R200" s="1" t="s">
        <v>20</v>
      </c>
    </row>
    <row r="201" spans="1:18" x14ac:dyDescent="0.35">
      <c r="A201" s="1" t="s">
        <v>232</v>
      </c>
      <c r="B201" s="1" t="str">
        <f t="shared" si="15"/>
        <v>Unknown</v>
      </c>
      <c r="C201" s="1"/>
      <c r="D201" s="1" t="str">
        <f t="shared" si="16"/>
        <v>No</v>
      </c>
      <c r="E201" s="1" t="s">
        <v>36</v>
      </c>
      <c r="F201" s="1">
        <v>2</v>
      </c>
      <c r="G201" s="1" t="s">
        <v>17</v>
      </c>
      <c r="H201" s="1" t="str">
        <f t="shared" si="17"/>
        <v>No</v>
      </c>
      <c r="I201" s="1" t="s">
        <v>18</v>
      </c>
      <c r="J201" s="1">
        <v>5278</v>
      </c>
      <c r="K201" s="1">
        <v>9614</v>
      </c>
      <c r="L201" s="1">
        <v>657</v>
      </c>
      <c r="M201" s="1">
        <f t="shared" si="18"/>
        <v>120</v>
      </c>
      <c r="N201" s="1">
        <v>120</v>
      </c>
      <c r="O201" s="1">
        <f t="shared" si="19"/>
        <v>0</v>
      </c>
      <c r="P201" s="1">
        <v>0</v>
      </c>
      <c r="Q201" s="1" t="s">
        <v>41</v>
      </c>
      <c r="R201" s="1" t="s">
        <v>26</v>
      </c>
    </row>
    <row r="202" spans="1:18" x14ac:dyDescent="0.35">
      <c r="A202" s="1" t="s">
        <v>233</v>
      </c>
      <c r="B202" s="1" t="str">
        <f t="shared" si="15"/>
        <v>Unknown</v>
      </c>
      <c r="C202" s="1"/>
      <c r="D202" s="1" t="str">
        <f t="shared" si="16"/>
        <v>No</v>
      </c>
      <c r="E202" s="1"/>
      <c r="F202" s="1" t="s">
        <v>16</v>
      </c>
      <c r="G202" s="1" t="s">
        <v>17</v>
      </c>
      <c r="H202" s="1" t="str">
        <f t="shared" si="17"/>
        <v>No</v>
      </c>
      <c r="I202" s="1"/>
      <c r="J202" s="1">
        <v>18212</v>
      </c>
      <c r="K202" s="1">
        <v>281</v>
      </c>
      <c r="L202" s="1">
        <v>665</v>
      </c>
      <c r="M202" s="1">
        <f t="shared" si="18"/>
        <v>360</v>
      </c>
      <c r="N202" s="1"/>
      <c r="O202" s="1">
        <f t="shared" si="19"/>
        <v>0</v>
      </c>
      <c r="P202" s="1">
        <v>0</v>
      </c>
      <c r="Q202" s="1" t="s">
        <v>19</v>
      </c>
      <c r="R202" s="1" t="s">
        <v>26</v>
      </c>
    </row>
    <row r="203" spans="1:18" x14ac:dyDescent="0.35">
      <c r="A203" s="1" t="s">
        <v>234</v>
      </c>
      <c r="B203" s="1" t="str">
        <f t="shared" si="15"/>
        <v>Female</v>
      </c>
      <c r="C203" s="1" t="s">
        <v>43</v>
      </c>
      <c r="D203" s="1" t="str">
        <f t="shared" si="16"/>
        <v>No</v>
      </c>
      <c r="E203" s="1" t="s">
        <v>22</v>
      </c>
      <c r="F203" s="1">
        <v>2</v>
      </c>
      <c r="G203" s="1" t="s">
        <v>17</v>
      </c>
      <c r="H203" s="1" t="str">
        <f t="shared" si="17"/>
        <v>Yes</v>
      </c>
      <c r="I203" s="1" t="s">
        <v>15</v>
      </c>
      <c r="J203" s="1">
        <v>5780</v>
      </c>
      <c r="K203" s="1">
        <v>9732</v>
      </c>
      <c r="L203" s="1">
        <v>568</v>
      </c>
      <c r="M203" s="1">
        <f t="shared" si="18"/>
        <v>360</v>
      </c>
      <c r="N203" s="1">
        <v>360</v>
      </c>
      <c r="O203" s="1">
        <f t="shared" si="19"/>
        <v>0</v>
      </c>
      <c r="P203" s="1"/>
      <c r="Q203" s="1" t="s">
        <v>19</v>
      </c>
      <c r="R203" s="1" t="s">
        <v>26</v>
      </c>
    </row>
    <row r="204" spans="1:18" x14ac:dyDescent="0.35">
      <c r="A204" s="1" t="s">
        <v>235</v>
      </c>
      <c r="B204" s="1" t="str">
        <f t="shared" si="15"/>
        <v>Male</v>
      </c>
      <c r="C204" s="1" t="s">
        <v>52</v>
      </c>
      <c r="D204" s="1" t="str">
        <f t="shared" si="16"/>
        <v>Yes</v>
      </c>
      <c r="E204" s="1" t="s">
        <v>29</v>
      </c>
      <c r="F204" s="1">
        <v>2</v>
      </c>
      <c r="G204" s="1" t="s">
        <v>25</v>
      </c>
      <c r="H204" s="1" t="str">
        <f t="shared" si="17"/>
        <v>No</v>
      </c>
      <c r="I204" s="1"/>
      <c r="J204" s="1">
        <v>5066</v>
      </c>
      <c r="K204" s="1">
        <v>6847</v>
      </c>
      <c r="L204" s="1">
        <v>61</v>
      </c>
      <c r="M204" s="1">
        <f t="shared" si="18"/>
        <v>360</v>
      </c>
      <c r="N204" s="1">
        <v>360</v>
      </c>
      <c r="O204" s="1">
        <f t="shared" si="19"/>
        <v>0</v>
      </c>
      <c r="P204" s="1">
        <v>0</v>
      </c>
      <c r="Q204" s="1" t="s">
        <v>41</v>
      </c>
      <c r="R204" s="1" t="s">
        <v>26</v>
      </c>
    </row>
    <row r="205" spans="1:18" x14ac:dyDescent="0.35">
      <c r="A205" s="1" t="s">
        <v>236</v>
      </c>
      <c r="B205" s="1" t="str">
        <f t="shared" si="15"/>
        <v>Female</v>
      </c>
      <c r="C205" s="1" t="s">
        <v>43</v>
      </c>
      <c r="D205" s="1" t="str">
        <f t="shared" si="16"/>
        <v>No</v>
      </c>
      <c r="E205" s="1" t="s">
        <v>36</v>
      </c>
      <c r="F205" s="1">
        <v>2</v>
      </c>
      <c r="G205" s="1" t="s">
        <v>17</v>
      </c>
      <c r="H205" s="1" t="str">
        <f t="shared" si="17"/>
        <v>No</v>
      </c>
      <c r="I205" s="1" t="s">
        <v>22</v>
      </c>
      <c r="J205" s="1">
        <v>12764</v>
      </c>
      <c r="K205" s="1">
        <v>8791</v>
      </c>
      <c r="L205" s="1">
        <v>115</v>
      </c>
      <c r="M205" s="1">
        <f t="shared" si="18"/>
        <v>360</v>
      </c>
      <c r="N205" s="1"/>
      <c r="O205" s="1">
        <f t="shared" si="19"/>
        <v>0</v>
      </c>
      <c r="P205" s="1"/>
      <c r="Q205" s="1" t="s">
        <v>30</v>
      </c>
      <c r="R205" s="1" t="s">
        <v>26</v>
      </c>
    </row>
    <row r="206" spans="1:18" x14ac:dyDescent="0.35">
      <c r="A206" s="1" t="s">
        <v>237</v>
      </c>
      <c r="B206" s="1" t="str">
        <f t="shared" si="15"/>
        <v>Female</v>
      </c>
      <c r="C206" s="1" t="s">
        <v>28</v>
      </c>
      <c r="D206" s="1" t="str">
        <f t="shared" si="16"/>
        <v>No</v>
      </c>
      <c r="E206" s="1" t="s">
        <v>18</v>
      </c>
      <c r="F206" s="1">
        <v>1</v>
      </c>
      <c r="G206" s="1" t="s">
        <v>17</v>
      </c>
      <c r="H206" s="1" t="str">
        <f t="shared" si="17"/>
        <v>No</v>
      </c>
      <c r="I206" s="1"/>
      <c r="J206" s="1">
        <v>7137</v>
      </c>
      <c r="K206" s="1">
        <v>8005</v>
      </c>
      <c r="L206" s="1">
        <v>193</v>
      </c>
      <c r="M206" s="1">
        <f t="shared" si="18"/>
        <v>360</v>
      </c>
      <c r="N206" s="1">
        <v>360</v>
      </c>
      <c r="O206" s="1">
        <f t="shared" si="19"/>
        <v>0</v>
      </c>
      <c r="P206" s="1">
        <v>0</v>
      </c>
      <c r="Q206" s="1" t="s">
        <v>30</v>
      </c>
      <c r="R206" s="1" t="s">
        <v>26</v>
      </c>
    </row>
    <row r="207" spans="1:18" x14ac:dyDescent="0.35">
      <c r="A207" s="1" t="s">
        <v>238</v>
      </c>
      <c r="B207" s="1" t="str">
        <f t="shared" si="15"/>
        <v>Unknown</v>
      </c>
      <c r="C207" s="1"/>
      <c r="D207" s="1" t="str">
        <f t="shared" si="16"/>
        <v>Yes</v>
      </c>
      <c r="E207" s="1" t="s">
        <v>15</v>
      </c>
      <c r="F207" s="1" t="s">
        <v>16</v>
      </c>
      <c r="G207" s="1" t="s">
        <v>17</v>
      </c>
      <c r="H207" s="1" t="str">
        <f t="shared" si="17"/>
        <v>No</v>
      </c>
      <c r="I207" s="1"/>
      <c r="J207" s="1">
        <v>12415</v>
      </c>
      <c r="K207" s="1">
        <v>8229</v>
      </c>
      <c r="L207" s="1">
        <v>555</v>
      </c>
      <c r="M207" s="1">
        <f t="shared" si="18"/>
        <v>360</v>
      </c>
      <c r="N207" s="1"/>
      <c r="O207" s="1">
        <f t="shared" si="19"/>
        <v>1</v>
      </c>
      <c r="P207" s="1">
        <v>1</v>
      </c>
      <c r="Q207" s="1" t="s">
        <v>19</v>
      </c>
      <c r="R207" s="1" t="s">
        <v>26</v>
      </c>
    </row>
    <row r="208" spans="1:18" x14ac:dyDescent="0.35">
      <c r="A208" s="1" t="s">
        <v>239</v>
      </c>
      <c r="B208" s="1" t="str">
        <f t="shared" si="15"/>
        <v>Male</v>
      </c>
      <c r="C208" s="1" t="s">
        <v>52</v>
      </c>
      <c r="D208" s="1" t="str">
        <f t="shared" si="16"/>
        <v>No</v>
      </c>
      <c r="E208" s="1"/>
      <c r="F208" s="1">
        <v>0</v>
      </c>
      <c r="G208" s="1" t="s">
        <v>25</v>
      </c>
      <c r="H208" s="1" t="str">
        <f t="shared" si="17"/>
        <v>Yes</v>
      </c>
      <c r="I208" s="1" t="s">
        <v>29</v>
      </c>
      <c r="J208" s="1">
        <v>19113</v>
      </c>
      <c r="K208" s="1">
        <v>1039</v>
      </c>
      <c r="L208" s="1">
        <v>331</v>
      </c>
      <c r="M208" s="1">
        <f t="shared" si="18"/>
        <v>360</v>
      </c>
      <c r="N208" s="1"/>
      <c r="O208" s="1">
        <f t="shared" si="19"/>
        <v>0</v>
      </c>
      <c r="P208" s="1">
        <v>0</v>
      </c>
      <c r="Q208" s="1" t="s">
        <v>30</v>
      </c>
      <c r="R208" s="1" t="s">
        <v>20</v>
      </c>
    </row>
    <row r="209" spans="1:18" x14ac:dyDescent="0.35">
      <c r="A209" s="1" t="s">
        <v>240</v>
      </c>
      <c r="B209" s="1" t="str">
        <f t="shared" si="15"/>
        <v>Female</v>
      </c>
      <c r="C209" s="1" t="s">
        <v>28</v>
      </c>
      <c r="D209" s="1" t="str">
        <f t="shared" si="16"/>
        <v>No</v>
      </c>
      <c r="E209" s="1"/>
      <c r="F209" s="1">
        <v>2</v>
      </c>
      <c r="G209" s="1" t="s">
        <v>25</v>
      </c>
      <c r="H209" s="1" t="str">
        <f t="shared" si="17"/>
        <v>No</v>
      </c>
      <c r="I209" s="1" t="s">
        <v>22</v>
      </c>
      <c r="J209" s="1">
        <v>9091</v>
      </c>
      <c r="K209" s="1">
        <v>4958</v>
      </c>
      <c r="L209" s="1">
        <v>128</v>
      </c>
      <c r="M209" s="1">
        <f t="shared" si="18"/>
        <v>120</v>
      </c>
      <c r="N209" s="1">
        <v>120</v>
      </c>
      <c r="O209" s="1">
        <f t="shared" si="19"/>
        <v>0</v>
      </c>
      <c r="P209" s="1"/>
      <c r="Q209" s="1" t="s">
        <v>30</v>
      </c>
      <c r="R209" s="1" t="s">
        <v>20</v>
      </c>
    </row>
    <row r="210" spans="1:18" x14ac:dyDescent="0.35">
      <c r="A210" s="1" t="s">
        <v>241</v>
      </c>
      <c r="B210" s="1" t="str">
        <f t="shared" si="15"/>
        <v>Unknown</v>
      </c>
      <c r="C210" s="1"/>
      <c r="D210" s="1" t="str">
        <f t="shared" si="16"/>
        <v>Yes</v>
      </c>
      <c r="E210" s="1" t="s">
        <v>15</v>
      </c>
      <c r="F210" s="1">
        <v>1</v>
      </c>
      <c r="G210" s="1" t="s">
        <v>17</v>
      </c>
      <c r="H210" s="1" t="str">
        <f t="shared" si="17"/>
        <v>No</v>
      </c>
      <c r="I210" s="1"/>
      <c r="J210" s="1">
        <v>9035</v>
      </c>
      <c r="K210" s="1">
        <v>3428</v>
      </c>
      <c r="L210" s="1">
        <v>87</v>
      </c>
      <c r="M210" s="1">
        <f t="shared" si="18"/>
        <v>360</v>
      </c>
      <c r="N210" s="1">
        <v>360</v>
      </c>
      <c r="O210" s="1">
        <f t="shared" si="19"/>
        <v>1</v>
      </c>
      <c r="P210" s="1">
        <v>1</v>
      </c>
      <c r="Q210" s="1" t="s">
        <v>41</v>
      </c>
      <c r="R210" s="1" t="s">
        <v>20</v>
      </c>
    </row>
    <row r="211" spans="1:18" x14ac:dyDescent="0.35">
      <c r="A211" s="1" t="s">
        <v>242</v>
      </c>
      <c r="B211" s="1" t="str">
        <f t="shared" si="15"/>
        <v>Female</v>
      </c>
      <c r="C211" s="1" t="s">
        <v>28</v>
      </c>
      <c r="D211" s="1" t="str">
        <f t="shared" si="16"/>
        <v>Yes</v>
      </c>
      <c r="E211" s="1" t="s">
        <v>15</v>
      </c>
      <c r="F211" s="1">
        <v>1</v>
      </c>
      <c r="G211" s="1" t="s">
        <v>17</v>
      </c>
      <c r="H211" s="1" t="str">
        <f t="shared" si="17"/>
        <v>No</v>
      </c>
      <c r="I211" s="1" t="s">
        <v>18</v>
      </c>
      <c r="J211" s="1">
        <v>17039</v>
      </c>
      <c r="K211" s="1">
        <v>7347</v>
      </c>
      <c r="L211" s="1">
        <v>342</v>
      </c>
      <c r="M211" s="1">
        <f t="shared" si="18"/>
        <v>360</v>
      </c>
      <c r="N211" s="1">
        <v>360</v>
      </c>
      <c r="O211" s="1">
        <f t="shared" si="19"/>
        <v>0</v>
      </c>
      <c r="P211" s="1"/>
      <c r="Q211" s="1" t="s">
        <v>41</v>
      </c>
      <c r="R211" s="1" t="s">
        <v>26</v>
      </c>
    </row>
    <row r="212" spans="1:18" x14ac:dyDescent="0.35">
      <c r="A212" s="1" t="s">
        <v>243</v>
      </c>
      <c r="B212" s="1" t="str">
        <f t="shared" si="15"/>
        <v>Female</v>
      </c>
      <c r="C212" s="1" t="s">
        <v>43</v>
      </c>
      <c r="D212" s="1" t="str">
        <f t="shared" si="16"/>
        <v>No</v>
      </c>
      <c r="E212" s="1" t="s">
        <v>22</v>
      </c>
      <c r="F212" s="1">
        <v>1</v>
      </c>
      <c r="G212" s="1" t="s">
        <v>17</v>
      </c>
      <c r="H212" s="1" t="str">
        <f t="shared" si="17"/>
        <v>Yes</v>
      </c>
      <c r="I212" s="1" t="s">
        <v>24</v>
      </c>
      <c r="J212" s="1">
        <v>5045</v>
      </c>
      <c r="K212" s="1">
        <v>4205</v>
      </c>
      <c r="L212" s="1">
        <v>536</v>
      </c>
      <c r="M212" s="1">
        <f t="shared" si="18"/>
        <v>120</v>
      </c>
      <c r="N212" s="1">
        <v>120</v>
      </c>
      <c r="O212" s="1">
        <f t="shared" si="19"/>
        <v>0</v>
      </c>
      <c r="P212" s="1">
        <v>0</v>
      </c>
      <c r="Q212" s="1" t="s">
        <v>41</v>
      </c>
      <c r="R212" s="1" t="s">
        <v>26</v>
      </c>
    </row>
    <row r="213" spans="1:18" x14ac:dyDescent="0.35">
      <c r="A213" s="1" t="s">
        <v>244</v>
      </c>
      <c r="B213" s="1" t="str">
        <f t="shared" si="15"/>
        <v>Male</v>
      </c>
      <c r="C213" s="1" t="s">
        <v>14</v>
      </c>
      <c r="D213" s="1" t="str">
        <f t="shared" si="16"/>
        <v>No</v>
      </c>
      <c r="E213" s="1"/>
      <c r="F213" s="1" t="s">
        <v>16</v>
      </c>
      <c r="G213" s="1" t="s">
        <v>17</v>
      </c>
      <c r="H213" s="1" t="str">
        <f t="shared" si="17"/>
        <v>No</v>
      </c>
      <c r="I213" s="1" t="s">
        <v>36</v>
      </c>
      <c r="J213" s="1">
        <v>16909</v>
      </c>
      <c r="K213" s="1">
        <v>2798</v>
      </c>
      <c r="L213" s="1">
        <v>454</v>
      </c>
      <c r="M213" s="1">
        <f t="shared" si="18"/>
        <v>360</v>
      </c>
      <c r="N213" s="1">
        <v>360</v>
      </c>
      <c r="O213" s="1">
        <f t="shared" si="19"/>
        <v>1</v>
      </c>
      <c r="P213" s="1">
        <v>1</v>
      </c>
      <c r="Q213" s="1" t="s">
        <v>41</v>
      </c>
      <c r="R213" s="1" t="s">
        <v>26</v>
      </c>
    </row>
    <row r="214" spans="1:18" x14ac:dyDescent="0.35">
      <c r="A214" s="1" t="s">
        <v>245</v>
      </c>
      <c r="B214" s="1" t="str">
        <f t="shared" si="15"/>
        <v>Female</v>
      </c>
      <c r="C214" s="1" t="s">
        <v>61</v>
      </c>
      <c r="D214" s="1" t="str">
        <f t="shared" si="16"/>
        <v>No</v>
      </c>
      <c r="E214" s="1"/>
      <c r="F214" s="1">
        <v>1</v>
      </c>
      <c r="G214" s="1" t="s">
        <v>17</v>
      </c>
      <c r="H214" s="1" t="str">
        <f t="shared" si="17"/>
        <v>No</v>
      </c>
      <c r="I214" s="1"/>
      <c r="J214" s="1">
        <v>10189</v>
      </c>
      <c r="K214" s="1">
        <v>617</v>
      </c>
      <c r="L214" s="1">
        <v>438</v>
      </c>
      <c r="M214" s="1">
        <f t="shared" si="18"/>
        <v>360</v>
      </c>
      <c r="N214" s="1"/>
      <c r="O214" s="1">
        <f t="shared" si="19"/>
        <v>1</v>
      </c>
      <c r="P214" s="1">
        <v>1</v>
      </c>
      <c r="Q214" s="1" t="s">
        <v>19</v>
      </c>
      <c r="R214" s="1" t="s">
        <v>20</v>
      </c>
    </row>
    <row r="215" spans="1:18" x14ac:dyDescent="0.35">
      <c r="A215" s="1" t="s">
        <v>246</v>
      </c>
      <c r="B215" s="1" t="str">
        <f t="shared" si="15"/>
        <v>Male</v>
      </c>
      <c r="C215" s="1" t="s">
        <v>14</v>
      </c>
      <c r="D215" s="1" t="str">
        <f t="shared" si="16"/>
        <v>No</v>
      </c>
      <c r="E215" s="1"/>
      <c r="F215" s="1">
        <v>1</v>
      </c>
      <c r="G215" s="1" t="s">
        <v>17</v>
      </c>
      <c r="H215" s="1" t="str">
        <f t="shared" si="17"/>
        <v>No</v>
      </c>
      <c r="I215" s="1" t="s">
        <v>22</v>
      </c>
      <c r="J215" s="1">
        <v>12204</v>
      </c>
      <c r="K215" s="1">
        <v>36</v>
      </c>
      <c r="L215" s="1">
        <v>519</v>
      </c>
      <c r="M215" s="1">
        <f t="shared" si="18"/>
        <v>120</v>
      </c>
      <c r="N215" s="1">
        <v>120</v>
      </c>
      <c r="O215" s="1">
        <f t="shared" si="19"/>
        <v>1</v>
      </c>
      <c r="P215" s="1">
        <v>1</v>
      </c>
      <c r="Q215" s="1" t="s">
        <v>30</v>
      </c>
      <c r="R215" s="1" t="s">
        <v>26</v>
      </c>
    </row>
    <row r="216" spans="1:18" x14ac:dyDescent="0.35">
      <c r="A216" s="1" t="s">
        <v>247</v>
      </c>
      <c r="B216" s="1" t="str">
        <f t="shared" si="15"/>
        <v>Female</v>
      </c>
      <c r="C216" s="1" t="s">
        <v>28</v>
      </c>
      <c r="D216" s="1" t="str">
        <f t="shared" si="16"/>
        <v>No</v>
      </c>
      <c r="E216" s="1"/>
      <c r="F216" s="1" t="s">
        <v>16</v>
      </c>
      <c r="G216" s="1" t="s">
        <v>17</v>
      </c>
      <c r="H216" s="1" t="str">
        <f t="shared" si="17"/>
        <v>Yes</v>
      </c>
      <c r="I216" s="1" t="s">
        <v>24</v>
      </c>
      <c r="J216" s="1">
        <v>5281</v>
      </c>
      <c r="K216" s="1">
        <v>8156</v>
      </c>
      <c r="L216" s="1">
        <v>559</v>
      </c>
      <c r="M216" s="1">
        <f t="shared" si="18"/>
        <v>360</v>
      </c>
      <c r="N216" s="1"/>
      <c r="O216" s="1">
        <f t="shared" si="19"/>
        <v>1</v>
      </c>
      <c r="P216" s="1">
        <v>1</v>
      </c>
      <c r="Q216" s="1" t="s">
        <v>41</v>
      </c>
      <c r="R216" s="1" t="s">
        <v>26</v>
      </c>
    </row>
    <row r="217" spans="1:18" x14ac:dyDescent="0.35">
      <c r="A217" s="1" t="s">
        <v>248</v>
      </c>
      <c r="B217" s="1" t="str">
        <f t="shared" si="15"/>
        <v>Female</v>
      </c>
      <c r="C217" s="1" t="s">
        <v>43</v>
      </c>
      <c r="D217" s="1" t="str">
        <f t="shared" si="16"/>
        <v>Yes</v>
      </c>
      <c r="E217" s="1" t="s">
        <v>29</v>
      </c>
      <c r="F217" s="1" t="s">
        <v>16</v>
      </c>
      <c r="G217" s="1" t="s">
        <v>17</v>
      </c>
      <c r="H217" s="1" t="str">
        <f t="shared" si="17"/>
        <v>No</v>
      </c>
      <c r="I217" s="1"/>
      <c r="J217" s="1">
        <v>15705</v>
      </c>
      <c r="K217" s="1">
        <v>9905</v>
      </c>
      <c r="L217" s="1">
        <v>258</v>
      </c>
      <c r="M217" s="1">
        <f t="shared" si="18"/>
        <v>180</v>
      </c>
      <c r="N217" s="1">
        <v>180</v>
      </c>
      <c r="O217" s="1">
        <f t="shared" si="19"/>
        <v>0</v>
      </c>
      <c r="P217" s="1"/>
      <c r="Q217" s="1" t="s">
        <v>41</v>
      </c>
      <c r="R217" s="1" t="s">
        <v>26</v>
      </c>
    </row>
    <row r="218" spans="1:18" x14ac:dyDescent="0.35">
      <c r="A218" s="1" t="s">
        <v>249</v>
      </c>
      <c r="B218" s="1" t="str">
        <f t="shared" si="15"/>
        <v>Female</v>
      </c>
      <c r="C218" s="1" t="s">
        <v>43</v>
      </c>
      <c r="D218" s="1" t="str">
        <f t="shared" si="16"/>
        <v>No</v>
      </c>
      <c r="E218" s="1" t="s">
        <v>18</v>
      </c>
      <c r="F218" s="1">
        <v>0</v>
      </c>
      <c r="G218" s="1" t="s">
        <v>25</v>
      </c>
      <c r="H218" s="1" t="str">
        <f t="shared" si="17"/>
        <v>No</v>
      </c>
      <c r="I218" s="1"/>
      <c r="J218" s="1">
        <v>9178</v>
      </c>
      <c r="K218" s="1">
        <v>5210</v>
      </c>
      <c r="L218" s="1">
        <v>617</v>
      </c>
      <c r="M218" s="1">
        <f t="shared" si="18"/>
        <v>360</v>
      </c>
      <c r="N218" s="1"/>
      <c r="O218" s="1">
        <f t="shared" si="19"/>
        <v>1</v>
      </c>
      <c r="P218" s="1">
        <v>1</v>
      </c>
      <c r="Q218" s="1" t="s">
        <v>30</v>
      </c>
      <c r="R218" s="1" t="s">
        <v>20</v>
      </c>
    </row>
    <row r="219" spans="1:18" x14ac:dyDescent="0.35">
      <c r="A219" s="1" t="s">
        <v>250</v>
      </c>
      <c r="B219" s="1" t="str">
        <f t="shared" si="15"/>
        <v>Unknown</v>
      </c>
      <c r="C219" s="1"/>
      <c r="D219" s="1" t="str">
        <f t="shared" si="16"/>
        <v>Yes</v>
      </c>
      <c r="E219" s="1" t="s">
        <v>29</v>
      </c>
      <c r="F219" s="1">
        <v>2</v>
      </c>
      <c r="G219" s="1" t="s">
        <v>25</v>
      </c>
      <c r="H219" s="1" t="str">
        <f t="shared" si="17"/>
        <v>No</v>
      </c>
      <c r="I219" s="1" t="s">
        <v>22</v>
      </c>
      <c r="J219" s="1">
        <v>8716</v>
      </c>
      <c r="K219" s="1">
        <v>2913</v>
      </c>
      <c r="L219" s="1">
        <v>606</v>
      </c>
      <c r="M219" s="1">
        <f t="shared" si="18"/>
        <v>360</v>
      </c>
      <c r="N219" s="1">
        <v>360</v>
      </c>
      <c r="O219" s="1">
        <f t="shared" si="19"/>
        <v>0</v>
      </c>
      <c r="P219" s="1">
        <v>0</v>
      </c>
      <c r="Q219" s="1" t="s">
        <v>19</v>
      </c>
      <c r="R219" s="1" t="s">
        <v>20</v>
      </c>
    </row>
    <row r="220" spans="1:18" x14ac:dyDescent="0.35">
      <c r="A220" s="1" t="s">
        <v>251</v>
      </c>
      <c r="B220" s="1" t="str">
        <f t="shared" si="15"/>
        <v>Male</v>
      </c>
      <c r="C220" s="1" t="s">
        <v>52</v>
      </c>
      <c r="D220" s="1" t="str">
        <f t="shared" si="16"/>
        <v>No</v>
      </c>
      <c r="E220" s="1"/>
      <c r="F220" s="1">
        <v>0</v>
      </c>
      <c r="G220" s="1" t="s">
        <v>25</v>
      </c>
      <c r="H220" s="1" t="str">
        <f t="shared" si="17"/>
        <v>No</v>
      </c>
      <c r="I220" s="1"/>
      <c r="J220" s="1">
        <v>7495</v>
      </c>
      <c r="K220" s="1">
        <v>2651</v>
      </c>
      <c r="L220" s="1">
        <v>524</v>
      </c>
      <c r="M220" s="1">
        <f t="shared" si="18"/>
        <v>180</v>
      </c>
      <c r="N220" s="1">
        <v>180</v>
      </c>
      <c r="O220" s="1">
        <f t="shared" si="19"/>
        <v>0</v>
      </c>
      <c r="P220" s="1">
        <v>0</v>
      </c>
      <c r="Q220" s="1" t="s">
        <v>30</v>
      </c>
      <c r="R220" s="1" t="s">
        <v>26</v>
      </c>
    </row>
    <row r="221" spans="1:18" x14ac:dyDescent="0.35">
      <c r="A221" s="1" t="s">
        <v>252</v>
      </c>
      <c r="B221" s="1" t="str">
        <f t="shared" si="15"/>
        <v>Male</v>
      </c>
      <c r="C221" s="1" t="s">
        <v>14</v>
      </c>
      <c r="D221" s="1" t="str">
        <f t="shared" si="16"/>
        <v>Yes</v>
      </c>
      <c r="E221" s="1" t="s">
        <v>29</v>
      </c>
      <c r="F221" s="1">
        <v>1</v>
      </c>
      <c r="G221" s="1" t="s">
        <v>25</v>
      </c>
      <c r="H221" s="1" t="str">
        <f t="shared" si="17"/>
        <v>No</v>
      </c>
      <c r="I221" s="1"/>
      <c r="J221" s="1">
        <v>6172</v>
      </c>
      <c r="K221" s="1">
        <v>3244</v>
      </c>
      <c r="L221" s="1">
        <v>272</v>
      </c>
      <c r="M221" s="1">
        <f t="shared" si="18"/>
        <v>120</v>
      </c>
      <c r="N221" s="1">
        <v>120</v>
      </c>
      <c r="O221" s="1">
        <f t="shared" si="19"/>
        <v>1</v>
      </c>
      <c r="P221" s="1">
        <v>1</v>
      </c>
      <c r="Q221" s="1" t="s">
        <v>19</v>
      </c>
      <c r="R221" s="1" t="s">
        <v>20</v>
      </c>
    </row>
    <row r="222" spans="1:18" x14ac:dyDescent="0.35">
      <c r="A222" s="1" t="s">
        <v>253</v>
      </c>
      <c r="B222" s="1" t="str">
        <f t="shared" si="15"/>
        <v>Female</v>
      </c>
      <c r="C222" s="1" t="s">
        <v>43</v>
      </c>
      <c r="D222" s="1" t="str">
        <f t="shared" si="16"/>
        <v>No</v>
      </c>
      <c r="E222" s="1"/>
      <c r="F222" s="1">
        <v>2</v>
      </c>
      <c r="G222" s="1" t="s">
        <v>25</v>
      </c>
      <c r="H222" s="1" t="str">
        <f t="shared" si="17"/>
        <v>Yes</v>
      </c>
      <c r="I222" s="1" t="s">
        <v>29</v>
      </c>
      <c r="J222" s="1">
        <v>7852</v>
      </c>
      <c r="K222" s="1">
        <v>4800</v>
      </c>
      <c r="L222" s="1">
        <v>192</v>
      </c>
      <c r="M222" s="1">
        <f t="shared" si="18"/>
        <v>360</v>
      </c>
      <c r="N222" s="1"/>
      <c r="O222" s="1">
        <f t="shared" si="19"/>
        <v>1</v>
      </c>
      <c r="P222" s="1">
        <v>1</v>
      </c>
      <c r="Q222" s="1" t="s">
        <v>19</v>
      </c>
      <c r="R222" s="1" t="s">
        <v>26</v>
      </c>
    </row>
    <row r="223" spans="1:18" x14ac:dyDescent="0.35">
      <c r="A223" s="1" t="s">
        <v>254</v>
      </c>
      <c r="B223" s="1" t="str">
        <f t="shared" si="15"/>
        <v>Unknown</v>
      </c>
      <c r="C223" s="1"/>
      <c r="D223" s="1" t="str">
        <f t="shared" si="16"/>
        <v>No</v>
      </c>
      <c r="E223" s="1" t="s">
        <v>18</v>
      </c>
      <c r="F223" s="1">
        <v>1</v>
      </c>
      <c r="G223" s="1" t="s">
        <v>25</v>
      </c>
      <c r="H223" s="1" t="str">
        <f t="shared" si="17"/>
        <v>Yes</v>
      </c>
      <c r="I223" s="1" t="s">
        <v>15</v>
      </c>
      <c r="J223" s="1">
        <v>7542</v>
      </c>
      <c r="K223" s="1">
        <v>5879</v>
      </c>
      <c r="L223" s="1">
        <v>191</v>
      </c>
      <c r="M223" s="1">
        <f t="shared" si="18"/>
        <v>360</v>
      </c>
      <c r="N223" s="1">
        <v>360</v>
      </c>
      <c r="O223" s="1">
        <f t="shared" si="19"/>
        <v>0</v>
      </c>
      <c r="P223" s="1"/>
      <c r="Q223" s="1" t="s">
        <v>41</v>
      </c>
      <c r="R223" s="1" t="s">
        <v>20</v>
      </c>
    </row>
    <row r="224" spans="1:18" x14ac:dyDescent="0.35">
      <c r="A224" s="1" t="s">
        <v>255</v>
      </c>
      <c r="B224" s="1" t="str">
        <f t="shared" si="15"/>
        <v>Female</v>
      </c>
      <c r="C224" s="1" t="s">
        <v>43</v>
      </c>
      <c r="D224" s="1" t="str">
        <f t="shared" si="16"/>
        <v>Yes</v>
      </c>
      <c r="E224" s="1" t="s">
        <v>15</v>
      </c>
      <c r="F224" s="1">
        <v>0</v>
      </c>
      <c r="G224" s="1" t="s">
        <v>25</v>
      </c>
      <c r="H224" s="1" t="str">
        <f t="shared" si="17"/>
        <v>No</v>
      </c>
      <c r="I224" s="1" t="s">
        <v>18</v>
      </c>
      <c r="J224" s="1">
        <v>19441</v>
      </c>
      <c r="K224" s="1">
        <v>9973</v>
      </c>
      <c r="L224" s="1">
        <v>490</v>
      </c>
      <c r="M224" s="1">
        <f t="shared" si="18"/>
        <v>180</v>
      </c>
      <c r="N224" s="1">
        <v>180</v>
      </c>
      <c r="O224" s="1">
        <f t="shared" si="19"/>
        <v>0</v>
      </c>
      <c r="P224" s="1">
        <v>0</v>
      </c>
      <c r="Q224" s="1" t="s">
        <v>19</v>
      </c>
      <c r="R224" s="1" t="s">
        <v>20</v>
      </c>
    </row>
    <row r="225" spans="1:18" x14ac:dyDescent="0.35">
      <c r="A225" s="1" t="s">
        <v>256</v>
      </c>
      <c r="B225" s="1" t="str">
        <f t="shared" si="15"/>
        <v>Female</v>
      </c>
      <c r="C225" s="1" t="s">
        <v>28</v>
      </c>
      <c r="D225" s="1" t="str">
        <f t="shared" si="16"/>
        <v>No</v>
      </c>
      <c r="E225" s="1" t="s">
        <v>18</v>
      </c>
      <c r="F225" s="1" t="s">
        <v>16</v>
      </c>
      <c r="G225" s="1" t="s">
        <v>25</v>
      </c>
      <c r="H225" s="1" t="str">
        <f t="shared" si="17"/>
        <v>No</v>
      </c>
      <c r="I225" s="1"/>
      <c r="J225" s="1">
        <v>17613</v>
      </c>
      <c r="K225" s="1">
        <v>1685</v>
      </c>
      <c r="L225" s="1">
        <v>486</v>
      </c>
      <c r="M225" s="1">
        <f t="shared" si="18"/>
        <v>120</v>
      </c>
      <c r="N225" s="1">
        <v>120</v>
      </c>
      <c r="O225" s="1">
        <f t="shared" si="19"/>
        <v>0</v>
      </c>
      <c r="P225" s="1">
        <v>0</v>
      </c>
      <c r="Q225" s="1" t="s">
        <v>19</v>
      </c>
      <c r="R225" s="1" t="s">
        <v>20</v>
      </c>
    </row>
    <row r="226" spans="1:18" x14ac:dyDescent="0.35">
      <c r="A226" s="1" t="s">
        <v>257</v>
      </c>
      <c r="B226" s="1" t="str">
        <f t="shared" si="15"/>
        <v>Male</v>
      </c>
      <c r="C226" s="1" t="s">
        <v>33</v>
      </c>
      <c r="D226" s="1" t="str">
        <f t="shared" si="16"/>
        <v>No</v>
      </c>
      <c r="E226" s="1"/>
      <c r="F226" s="1" t="s">
        <v>16</v>
      </c>
      <c r="G226" s="1" t="s">
        <v>25</v>
      </c>
      <c r="H226" s="1" t="str">
        <f t="shared" si="17"/>
        <v>No</v>
      </c>
      <c r="I226" s="1"/>
      <c r="J226" s="1">
        <v>19006</v>
      </c>
      <c r="K226" s="1">
        <v>7422</v>
      </c>
      <c r="L226" s="1">
        <v>251</v>
      </c>
      <c r="M226" s="1">
        <f t="shared" si="18"/>
        <v>180</v>
      </c>
      <c r="N226" s="1">
        <v>180</v>
      </c>
      <c r="O226" s="1">
        <f t="shared" si="19"/>
        <v>1</v>
      </c>
      <c r="P226" s="1">
        <v>1</v>
      </c>
      <c r="Q226" s="1" t="s">
        <v>19</v>
      </c>
      <c r="R226" s="1" t="s">
        <v>20</v>
      </c>
    </row>
    <row r="227" spans="1:18" x14ac:dyDescent="0.35">
      <c r="A227" s="1" t="s">
        <v>258</v>
      </c>
      <c r="B227" s="1" t="str">
        <f t="shared" si="15"/>
        <v>Unknown</v>
      </c>
      <c r="C227" s="1"/>
      <c r="D227" s="1" t="str">
        <f t="shared" si="16"/>
        <v>No</v>
      </c>
      <c r="E227" s="1"/>
      <c r="F227" s="1">
        <v>2</v>
      </c>
      <c r="G227" s="1" t="s">
        <v>25</v>
      </c>
      <c r="H227" s="1" t="str">
        <f t="shared" si="17"/>
        <v>Yes</v>
      </c>
      <c r="I227" s="1" t="s">
        <v>29</v>
      </c>
      <c r="J227" s="1">
        <v>10115</v>
      </c>
      <c r="K227" s="1">
        <v>6607</v>
      </c>
      <c r="L227" s="1">
        <v>530</v>
      </c>
      <c r="M227" s="1">
        <f t="shared" si="18"/>
        <v>180</v>
      </c>
      <c r="N227" s="1">
        <v>180</v>
      </c>
      <c r="O227" s="1">
        <f t="shared" si="19"/>
        <v>0</v>
      </c>
      <c r="P227" s="1"/>
      <c r="Q227" s="1" t="s">
        <v>41</v>
      </c>
      <c r="R227" s="1" t="s">
        <v>20</v>
      </c>
    </row>
    <row r="228" spans="1:18" x14ac:dyDescent="0.35">
      <c r="A228" s="1" t="s">
        <v>259</v>
      </c>
      <c r="B228" s="1" t="str">
        <f t="shared" si="15"/>
        <v>Female</v>
      </c>
      <c r="C228" s="1" t="s">
        <v>28</v>
      </c>
      <c r="D228" s="1" t="str">
        <f t="shared" si="16"/>
        <v>No</v>
      </c>
      <c r="E228" s="1"/>
      <c r="F228" s="1">
        <v>1</v>
      </c>
      <c r="G228" s="1" t="s">
        <v>25</v>
      </c>
      <c r="H228" s="1" t="str">
        <f t="shared" si="17"/>
        <v>No</v>
      </c>
      <c r="I228" s="1"/>
      <c r="J228" s="1">
        <v>3806</v>
      </c>
      <c r="K228" s="1">
        <v>3177</v>
      </c>
      <c r="L228" s="1">
        <v>489</v>
      </c>
      <c r="M228" s="1">
        <f t="shared" si="18"/>
        <v>360</v>
      </c>
      <c r="N228" s="1">
        <v>360</v>
      </c>
      <c r="O228" s="1">
        <f t="shared" si="19"/>
        <v>0</v>
      </c>
      <c r="P228" s="1">
        <v>0</v>
      </c>
      <c r="Q228" s="1" t="s">
        <v>41</v>
      </c>
      <c r="R228" s="1" t="s">
        <v>26</v>
      </c>
    </row>
    <row r="229" spans="1:18" x14ac:dyDescent="0.35">
      <c r="A229" s="1" t="s">
        <v>260</v>
      </c>
      <c r="B229" s="1" t="str">
        <f t="shared" si="15"/>
        <v>Male</v>
      </c>
      <c r="C229" s="1" t="s">
        <v>52</v>
      </c>
      <c r="D229" s="1" t="str">
        <f t="shared" si="16"/>
        <v>Yes</v>
      </c>
      <c r="E229" s="1" t="s">
        <v>29</v>
      </c>
      <c r="F229" s="1">
        <v>1</v>
      </c>
      <c r="G229" s="1" t="s">
        <v>17</v>
      </c>
      <c r="H229" s="1" t="str">
        <f t="shared" si="17"/>
        <v>No</v>
      </c>
      <c r="I229" s="1" t="s">
        <v>22</v>
      </c>
      <c r="J229" s="1">
        <v>10763</v>
      </c>
      <c r="K229" s="1">
        <v>8716</v>
      </c>
      <c r="L229" s="1">
        <v>427</v>
      </c>
      <c r="M229" s="1">
        <f t="shared" si="18"/>
        <v>360</v>
      </c>
      <c r="N229" s="1">
        <v>360</v>
      </c>
      <c r="O229" s="1">
        <f t="shared" si="19"/>
        <v>1</v>
      </c>
      <c r="P229" s="1">
        <v>1</v>
      </c>
      <c r="Q229" s="1" t="s">
        <v>41</v>
      </c>
      <c r="R229" s="1" t="s">
        <v>26</v>
      </c>
    </row>
    <row r="230" spans="1:18" x14ac:dyDescent="0.35">
      <c r="A230" s="1" t="s">
        <v>261</v>
      </c>
      <c r="B230" s="1" t="str">
        <f t="shared" si="15"/>
        <v>Male</v>
      </c>
      <c r="C230" s="1" t="s">
        <v>33</v>
      </c>
      <c r="D230" s="1" t="str">
        <f t="shared" si="16"/>
        <v>No</v>
      </c>
      <c r="E230" s="1" t="s">
        <v>22</v>
      </c>
      <c r="F230" s="1">
        <v>2</v>
      </c>
      <c r="G230" s="1" t="s">
        <v>25</v>
      </c>
      <c r="H230" s="1" t="str">
        <f t="shared" si="17"/>
        <v>Yes</v>
      </c>
      <c r="I230" s="1" t="s">
        <v>29</v>
      </c>
      <c r="J230" s="1">
        <v>4407</v>
      </c>
      <c r="K230" s="1">
        <v>9635</v>
      </c>
      <c r="L230" s="1">
        <v>74</v>
      </c>
      <c r="M230" s="1">
        <f t="shared" si="18"/>
        <v>180</v>
      </c>
      <c r="N230" s="1">
        <v>180</v>
      </c>
      <c r="O230" s="1">
        <f t="shared" si="19"/>
        <v>1</v>
      </c>
      <c r="P230" s="1">
        <v>1</v>
      </c>
      <c r="Q230" s="1" t="s">
        <v>41</v>
      </c>
      <c r="R230" s="1" t="s">
        <v>26</v>
      </c>
    </row>
    <row r="231" spans="1:18" x14ac:dyDescent="0.35">
      <c r="A231" s="1" t="s">
        <v>262</v>
      </c>
      <c r="B231" s="1" t="str">
        <f t="shared" si="15"/>
        <v>Male</v>
      </c>
      <c r="C231" s="1" t="s">
        <v>14</v>
      </c>
      <c r="D231" s="1" t="str">
        <f t="shared" si="16"/>
        <v>Yes</v>
      </c>
      <c r="E231" s="1" t="s">
        <v>29</v>
      </c>
      <c r="F231" s="1" t="s">
        <v>16</v>
      </c>
      <c r="G231" s="1" t="s">
        <v>25</v>
      </c>
      <c r="H231" s="1" t="str">
        <f t="shared" si="17"/>
        <v>Yes</v>
      </c>
      <c r="I231" s="1" t="s">
        <v>15</v>
      </c>
      <c r="J231" s="1">
        <v>19916</v>
      </c>
      <c r="K231" s="1">
        <v>6395</v>
      </c>
      <c r="L231" s="1">
        <v>367</v>
      </c>
      <c r="M231" s="1">
        <f t="shared" si="18"/>
        <v>180</v>
      </c>
      <c r="N231" s="1">
        <v>180</v>
      </c>
      <c r="O231" s="1">
        <f t="shared" si="19"/>
        <v>1</v>
      </c>
      <c r="P231" s="1">
        <v>1</v>
      </c>
      <c r="Q231" s="1" t="s">
        <v>30</v>
      </c>
      <c r="R231" s="1" t="s">
        <v>26</v>
      </c>
    </row>
    <row r="232" spans="1:18" x14ac:dyDescent="0.35">
      <c r="A232" s="1" t="s">
        <v>263</v>
      </c>
      <c r="B232" s="1" t="str">
        <f t="shared" si="15"/>
        <v>Unknown</v>
      </c>
      <c r="C232" s="1"/>
      <c r="D232" s="1" t="str">
        <f t="shared" si="16"/>
        <v>Yes</v>
      </c>
      <c r="E232" s="1" t="s">
        <v>29</v>
      </c>
      <c r="F232" s="1">
        <v>1</v>
      </c>
      <c r="G232" s="1" t="s">
        <v>17</v>
      </c>
      <c r="H232" s="1" t="str">
        <f t="shared" si="17"/>
        <v>Yes</v>
      </c>
      <c r="I232" s="1" t="s">
        <v>15</v>
      </c>
      <c r="J232" s="1">
        <v>11149</v>
      </c>
      <c r="K232" s="1">
        <v>649</v>
      </c>
      <c r="L232" s="1">
        <v>89</v>
      </c>
      <c r="M232" s="1">
        <f t="shared" si="18"/>
        <v>180</v>
      </c>
      <c r="N232" s="1">
        <v>180</v>
      </c>
      <c r="O232" s="1">
        <f t="shared" si="19"/>
        <v>0</v>
      </c>
      <c r="P232" s="1"/>
      <c r="Q232" s="1" t="s">
        <v>30</v>
      </c>
      <c r="R232" s="1" t="s">
        <v>20</v>
      </c>
    </row>
    <row r="233" spans="1:18" x14ac:dyDescent="0.35">
      <c r="A233" s="1" t="s">
        <v>264</v>
      </c>
      <c r="B233" s="1" t="str">
        <f t="shared" si="15"/>
        <v>Female</v>
      </c>
      <c r="C233" s="1" t="s">
        <v>61</v>
      </c>
      <c r="D233" s="1" t="str">
        <f t="shared" si="16"/>
        <v>Yes</v>
      </c>
      <c r="E233" s="1" t="s">
        <v>15</v>
      </c>
      <c r="F233" s="1" t="s">
        <v>16</v>
      </c>
      <c r="G233" s="1" t="s">
        <v>25</v>
      </c>
      <c r="H233" s="1" t="str">
        <f t="shared" si="17"/>
        <v>No</v>
      </c>
      <c r="I233" s="1"/>
      <c r="J233" s="1">
        <v>9526</v>
      </c>
      <c r="K233" s="1">
        <v>5460</v>
      </c>
      <c r="L233" s="1">
        <v>424</v>
      </c>
      <c r="M233" s="1">
        <f t="shared" si="18"/>
        <v>360</v>
      </c>
      <c r="N233" s="1">
        <v>360</v>
      </c>
      <c r="O233" s="1">
        <f t="shared" si="19"/>
        <v>0</v>
      </c>
      <c r="P233" s="1">
        <v>0</v>
      </c>
      <c r="Q233" s="1" t="s">
        <v>41</v>
      </c>
      <c r="R233" s="1" t="s">
        <v>26</v>
      </c>
    </row>
    <row r="234" spans="1:18" x14ac:dyDescent="0.35">
      <c r="A234" s="1" t="s">
        <v>265</v>
      </c>
      <c r="B234" s="1" t="str">
        <f t="shared" si="15"/>
        <v>Male</v>
      </c>
      <c r="C234" s="1" t="s">
        <v>52</v>
      </c>
      <c r="D234" s="1" t="str">
        <f t="shared" si="16"/>
        <v>No</v>
      </c>
      <c r="E234" s="1" t="s">
        <v>22</v>
      </c>
      <c r="F234" s="1" t="s">
        <v>16</v>
      </c>
      <c r="G234" s="1" t="s">
        <v>17</v>
      </c>
      <c r="H234" s="1" t="str">
        <f t="shared" si="17"/>
        <v>No</v>
      </c>
      <c r="I234" s="1" t="s">
        <v>36</v>
      </c>
      <c r="J234" s="1">
        <v>7229</v>
      </c>
      <c r="K234" s="1">
        <v>2239</v>
      </c>
      <c r="L234" s="1">
        <v>186</v>
      </c>
      <c r="M234" s="1">
        <f t="shared" si="18"/>
        <v>120</v>
      </c>
      <c r="N234" s="1">
        <v>120</v>
      </c>
      <c r="O234" s="1">
        <f t="shared" si="19"/>
        <v>0</v>
      </c>
      <c r="P234" s="1"/>
      <c r="Q234" s="1" t="s">
        <v>19</v>
      </c>
      <c r="R234" s="1" t="s">
        <v>20</v>
      </c>
    </row>
    <row r="235" spans="1:18" x14ac:dyDescent="0.35">
      <c r="A235" s="1" t="s">
        <v>266</v>
      </c>
      <c r="B235" s="1" t="str">
        <f t="shared" si="15"/>
        <v>Unknown</v>
      </c>
      <c r="C235" s="1"/>
      <c r="D235" s="1" t="str">
        <f t="shared" si="16"/>
        <v>No</v>
      </c>
      <c r="E235" s="1" t="s">
        <v>22</v>
      </c>
      <c r="F235" s="1" t="s">
        <v>16</v>
      </c>
      <c r="G235" s="1" t="s">
        <v>25</v>
      </c>
      <c r="H235" s="1" t="str">
        <f t="shared" si="17"/>
        <v>No</v>
      </c>
      <c r="I235" s="1" t="s">
        <v>18</v>
      </c>
      <c r="J235" s="1">
        <v>15661</v>
      </c>
      <c r="K235" s="1">
        <v>2478</v>
      </c>
      <c r="L235" s="1">
        <v>498</v>
      </c>
      <c r="M235" s="1">
        <f t="shared" si="18"/>
        <v>360</v>
      </c>
      <c r="N235" s="1"/>
      <c r="O235" s="1">
        <f t="shared" si="19"/>
        <v>0</v>
      </c>
      <c r="P235" s="1"/>
      <c r="Q235" s="1" t="s">
        <v>19</v>
      </c>
      <c r="R235" s="1" t="s">
        <v>26</v>
      </c>
    </row>
    <row r="236" spans="1:18" x14ac:dyDescent="0.35">
      <c r="A236" s="1" t="s">
        <v>267</v>
      </c>
      <c r="B236" s="1" t="str">
        <f t="shared" si="15"/>
        <v>Male</v>
      </c>
      <c r="C236" s="1" t="s">
        <v>33</v>
      </c>
      <c r="D236" s="1" t="str">
        <f t="shared" si="16"/>
        <v>No</v>
      </c>
      <c r="E236" s="1" t="s">
        <v>18</v>
      </c>
      <c r="F236" s="1">
        <v>0</v>
      </c>
      <c r="G236" s="1" t="s">
        <v>25</v>
      </c>
      <c r="H236" s="1" t="str">
        <f t="shared" si="17"/>
        <v>No</v>
      </c>
      <c r="I236" s="1" t="s">
        <v>22</v>
      </c>
      <c r="J236" s="1">
        <v>13653</v>
      </c>
      <c r="K236" s="1">
        <v>6446</v>
      </c>
      <c r="L236" s="1">
        <v>78</v>
      </c>
      <c r="M236" s="1">
        <f t="shared" si="18"/>
        <v>360</v>
      </c>
      <c r="N236" s="1"/>
      <c r="O236" s="1">
        <f t="shared" si="19"/>
        <v>1</v>
      </c>
      <c r="P236" s="1">
        <v>1</v>
      </c>
      <c r="Q236" s="1" t="s">
        <v>41</v>
      </c>
      <c r="R236" s="1" t="s">
        <v>20</v>
      </c>
    </row>
    <row r="237" spans="1:18" x14ac:dyDescent="0.35">
      <c r="A237" s="1" t="s">
        <v>268</v>
      </c>
      <c r="B237" s="1" t="str">
        <f t="shared" si="15"/>
        <v>Male</v>
      </c>
      <c r="C237" s="1" t="s">
        <v>33</v>
      </c>
      <c r="D237" s="1" t="str">
        <f t="shared" si="16"/>
        <v>No</v>
      </c>
      <c r="E237" s="1" t="s">
        <v>22</v>
      </c>
      <c r="F237" s="1">
        <v>2</v>
      </c>
      <c r="G237" s="1" t="s">
        <v>25</v>
      </c>
      <c r="H237" s="1" t="str">
        <f t="shared" si="17"/>
        <v>Yes</v>
      </c>
      <c r="I237" s="1" t="s">
        <v>29</v>
      </c>
      <c r="J237" s="1">
        <v>8486</v>
      </c>
      <c r="K237" s="1">
        <v>5509</v>
      </c>
      <c r="L237" s="1">
        <v>465</v>
      </c>
      <c r="M237" s="1">
        <f t="shared" si="18"/>
        <v>360</v>
      </c>
      <c r="N237" s="1"/>
      <c r="O237" s="1">
        <f t="shared" si="19"/>
        <v>0</v>
      </c>
      <c r="P237" s="1">
        <v>0</v>
      </c>
      <c r="Q237" s="1" t="s">
        <v>41</v>
      </c>
      <c r="R237" s="1" t="s">
        <v>20</v>
      </c>
    </row>
    <row r="238" spans="1:18" x14ac:dyDescent="0.35">
      <c r="A238" s="1" t="s">
        <v>269</v>
      </c>
      <c r="B238" s="1" t="str">
        <f t="shared" si="15"/>
        <v>Unknown</v>
      </c>
      <c r="C238" s="1"/>
      <c r="D238" s="1" t="str">
        <f t="shared" si="16"/>
        <v>No</v>
      </c>
      <c r="E238" s="1" t="s">
        <v>22</v>
      </c>
      <c r="F238" s="1" t="s">
        <v>16</v>
      </c>
      <c r="G238" s="1" t="s">
        <v>17</v>
      </c>
      <c r="H238" s="1" t="str">
        <f t="shared" si="17"/>
        <v>No</v>
      </c>
      <c r="I238" s="1"/>
      <c r="J238" s="1">
        <v>16867</v>
      </c>
      <c r="K238" s="1">
        <v>7876</v>
      </c>
      <c r="L238" s="1">
        <v>472</v>
      </c>
      <c r="M238" s="1">
        <f t="shared" si="18"/>
        <v>360</v>
      </c>
      <c r="N238" s="1">
        <v>360</v>
      </c>
      <c r="O238" s="1">
        <f t="shared" si="19"/>
        <v>0</v>
      </c>
      <c r="P238" s="1"/>
      <c r="Q238" s="1" t="s">
        <v>19</v>
      </c>
      <c r="R238" s="1" t="s">
        <v>20</v>
      </c>
    </row>
    <row r="239" spans="1:18" x14ac:dyDescent="0.35">
      <c r="A239" s="1" t="s">
        <v>270</v>
      </c>
      <c r="B239" s="1" t="str">
        <f t="shared" si="15"/>
        <v>Unknown</v>
      </c>
      <c r="C239" s="1"/>
      <c r="D239" s="1" t="str">
        <f t="shared" si="16"/>
        <v>No</v>
      </c>
      <c r="E239" s="1"/>
      <c r="F239" s="1">
        <v>0</v>
      </c>
      <c r="G239" s="1" t="s">
        <v>25</v>
      </c>
      <c r="H239" s="1" t="str">
        <f t="shared" si="17"/>
        <v>Yes</v>
      </c>
      <c r="I239" s="1" t="s">
        <v>24</v>
      </c>
      <c r="J239" s="1">
        <v>11896</v>
      </c>
      <c r="K239" s="1">
        <v>3844</v>
      </c>
      <c r="L239" s="1">
        <v>516</v>
      </c>
      <c r="M239" s="1">
        <f t="shared" si="18"/>
        <v>120</v>
      </c>
      <c r="N239" s="1">
        <v>120</v>
      </c>
      <c r="O239" s="1">
        <f t="shared" si="19"/>
        <v>0</v>
      </c>
      <c r="P239" s="1">
        <v>0</v>
      </c>
      <c r="Q239" s="1" t="s">
        <v>19</v>
      </c>
      <c r="R239" s="1" t="s">
        <v>20</v>
      </c>
    </row>
    <row r="240" spans="1:18" x14ac:dyDescent="0.35">
      <c r="A240" s="1" t="s">
        <v>271</v>
      </c>
      <c r="B240" s="1" t="str">
        <f t="shared" si="15"/>
        <v>Female</v>
      </c>
      <c r="C240" s="1" t="s">
        <v>43</v>
      </c>
      <c r="D240" s="1" t="str">
        <f t="shared" si="16"/>
        <v>No</v>
      </c>
      <c r="E240" s="1"/>
      <c r="F240" s="1">
        <v>2</v>
      </c>
      <c r="G240" s="1" t="s">
        <v>25</v>
      </c>
      <c r="H240" s="1" t="str">
        <f t="shared" si="17"/>
        <v>No</v>
      </c>
      <c r="I240" s="1" t="s">
        <v>18</v>
      </c>
      <c r="J240" s="1">
        <v>2102</v>
      </c>
      <c r="K240" s="1">
        <v>5697</v>
      </c>
      <c r="L240" s="1">
        <v>189</v>
      </c>
      <c r="M240" s="1">
        <f t="shared" si="18"/>
        <v>360</v>
      </c>
      <c r="N240" s="1"/>
      <c r="O240" s="1">
        <f t="shared" si="19"/>
        <v>0</v>
      </c>
      <c r="P240" s="1"/>
      <c r="Q240" s="1" t="s">
        <v>30</v>
      </c>
      <c r="R240" s="1" t="s">
        <v>26</v>
      </c>
    </row>
    <row r="241" spans="1:18" x14ac:dyDescent="0.35">
      <c r="A241" s="1" t="s">
        <v>272</v>
      </c>
      <c r="B241" s="1" t="str">
        <f t="shared" si="15"/>
        <v>Unknown</v>
      </c>
      <c r="C241" s="1"/>
      <c r="D241" s="1" t="str">
        <f t="shared" si="16"/>
        <v>Yes</v>
      </c>
      <c r="E241" s="1" t="s">
        <v>29</v>
      </c>
      <c r="F241" s="1">
        <v>1</v>
      </c>
      <c r="G241" s="1" t="s">
        <v>25</v>
      </c>
      <c r="H241" s="1" t="str">
        <f t="shared" si="17"/>
        <v>Yes</v>
      </c>
      <c r="I241" s="1" t="s">
        <v>15</v>
      </c>
      <c r="J241" s="1">
        <v>16279</v>
      </c>
      <c r="K241" s="1">
        <v>760</v>
      </c>
      <c r="L241" s="1">
        <v>103</v>
      </c>
      <c r="M241" s="1">
        <f t="shared" si="18"/>
        <v>120</v>
      </c>
      <c r="N241" s="1">
        <v>120</v>
      </c>
      <c r="O241" s="1">
        <f t="shared" si="19"/>
        <v>0</v>
      </c>
      <c r="P241" s="1"/>
      <c r="Q241" s="1" t="s">
        <v>19</v>
      </c>
      <c r="R241" s="1" t="s">
        <v>26</v>
      </c>
    </row>
    <row r="242" spans="1:18" x14ac:dyDescent="0.35">
      <c r="A242" s="1" t="s">
        <v>273</v>
      </c>
      <c r="B242" s="1" t="str">
        <f t="shared" si="15"/>
        <v>Unknown</v>
      </c>
      <c r="C242" s="1"/>
      <c r="D242" s="1" t="str">
        <f t="shared" si="16"/>
        <v>Yes</v>
      </c>
      <c r="E242" s="1" t="s">
        <v>29</v>
      </c>
      <c r="F242" s="1" t="s">
        <v>16</v>
      </c>
      <c r="G242" s="1" t="s">
        <v>25</v>
      </c>
      <c r="H242" s="1" t="str">
        <f t="shared" si="17"/>
        <v>No</v>
      </c>
      <c r="I242" s="1"/>
      <c r="J242" s="1">
        <v>15448</v>
      </c>
      <c r="K242" s="1">
        <v>9304</v>
      </c>
      <c r="L242" s="1">
        <v>71</v>
      </c>
      <c r="M242" s="1">
        <f t="shared" si="18"/>
        <v>360</v>
      </c>
      <c r="N242" s="1"/>
      <c r="O242" s="1">
        <f t="shared" si="19"/>
        <v>0</v>
      </c>
      <c r="P242" s="1"/>
      <c r="Q242" s="1" t="s">
        <v>30</v>
      </c>
      <c r="R242" s="1" t="s">
        <v>26</v>
      </c>
    </row>
    <row r="243" spans="1:18" x14ac:dyDescent="0.35">
      <c r="A243" s="1" t="s">
        <v>274</v>
      </c>
      <c r="B243" s="1" t="str">
        <f t="shared" si="15"/>
        <v>Unknown</v>
      </c>
      <c r="C243" s="1"/>
      <c r="D243" s="1" t="str">
        <f t="shared" si="16"/>
        <v>No</v>
      </c>
      <c r="E243" s="1" t="s">
        <v>36</v>
      </c>
      <c r="F243" s="1" t="s">
        <v>16</v>
      </c>
      <c r="G243" s="1" t="s">
        <v>25</v>
      </c>
      <c r="H243" s="1" t="str">
        <f t="shared" si="17"/>
        <v>No</v>
      </c>
      <c r="I243" s="1" t="s">
        <v>18</v>
      </c>
      <c r="J243" s="1">
        <v>1725</v>
      </c>
      <c r="K243" s="1">
        <v>4209</v>
      </c>
      <c r="L243" s="1">
        <v>207</v>
      </c>
      <c r="M243" s="1">
        <f t="shared" si="18"/>
        <v>360</v>
      </c>
      <c r="N243" s="1"/>
      <c r="O243" s="1">
        <f t="shared" si="19"/>
        <v>0</v>
      </c>
      <c r="P243" s="1"/>
      <c r="Q243" s="1" t="s">
        <v>41</v>
      </c>
      <c r="R243" s="1" t="s">
        <v>26</v>
      </c>
    </row>
    <row r="244" spans="1:18" x14ac:dyDescent="0.35">
      <c r="A244" s="1" t="s">
        <v>275</v>
      </c>
      <c r="B244" s="1" t="str">
        <f t="shared" si="15"/>
        <v>Female</v>
      </c>
      <c r="C244" s="1" t="s">
        <v>43</v>
      </c>
      <c r="D244" s="1" t="str">
        <f t="shared" si="16"/>
        <v>Yes</v>
      </c>
      <c r="E244" s="1" t="s">
        <v>24</v>
      </c>
      <c r="F244" s="1">
        <v>1</v>
      </c>
      <c r="G244" s="1" t="s">
        <v>25</v>
      </c>
      <c r="H244" s="1" t="str">
        <f t="shared" si="17"/>
        <v>No</v>
      </c>
      <c r="I244" s="1" t="s">
        <v>22</v>
      </c>
      <c r="J244" s="1">
        <v>18455</v>
      </c>
      <c r="K244" s="1">
        <v>1783</v>
      </c>
      <c r="L244" s="1">
        <v>260</v>
      </c>
      <c r="M244" s="1">
        <f t="shared" si="18"/>
        <v>360</v>
      </c>
      <c r="N244" s="1"/>
      <c r="O244" s="1">
        <f t="shared" si="19"/>
        <v>0</v>
      </c>
      <c r="P244" s="1"/>
      <c r="Q244" s="1" t="s">
        <v>19</v>
      </c>
      <c r="R244" s="1" t="s">
        <v>26</v>
      </c>
    </row>
    <row r="245" spans="1:18" x14ac:dyDescent="0.35">
      <c r="A245" s="1" t="s">
        <v>276</v>
      </c>
      <c r="B245" s="1" t="str">
        <f t="shared" si="15"/>
        <v>Female</v>
      </c>
      <c r="C245" s="1" t="s">
        <v>61</v>
      </c>
      <c r="D245" s="1" t="str">
        <f t="shared" si="16"/>
        <v>No</v>
      </c>
      <c r="E245" s="1" t="s">
        <v>36</v>
      </c>
      <c r="F245" s="1">
        <v>1</v>
      </c>
      <c r="G245" s="1" t="s">
        <v>25</v>
      </c>
      <c r="H245" s="1" t="str">
        <f t="shared" si="17"/>
        <v>No</v>
      </c>
      <c r="I245" s="1" t="s">
        <v>22</v>
      </c>
      <c r="J245" s="1">
        <v>9779</v>
      </c>
      <c r="K245" s="1">
        <v>6849</v>
      </c>
      <c r="L245" s="1">
        <v>235</v>
      </c>
      <c r="M245" s="1">
        <f t="shared" si="18"/>
        <v>360</v>
      </c>
      <c r="N245" s="1">
        <v>360</v>
      </c>
      <c r="O245" s="1">
        <f t="shared" si="19"/>
        <v>0</v>
      </c>
      <c r="P245" s="1">
        <v>0</v>
      </c>
      <c r="Q245" s="1" t="s">
        <v>19</v>
      </c>
      <c r="R245" s="1" t="s">
        <v>20</v>
      </c>
    </row>
    <row r="246" spans="1:18" x14ac:dyDescent="0.35">
      <c r="A246" s="1" t="s">
        <v>277</v>
      </c>
      <c r="B246" s="1" t="str">
        <f t="shared" si="15"/>
        <v>Male</v>
      </c>
      <c r="C246" s="1" t="s">
        <v>52</v>
      </c>
      <c r="D246" s="1" t="str">
        <f t="shared" si="16"/>
        <v>No</v>
      </c>
      <c r="E246" s="1"/>
      <c r="F246" s="1">
        <v>2</v>
      </c>
      <c r="G246" s="1" t="s">
        <v>25</v>
      </c>
      <c r="H246" s="1" t="str">
        <f t="shared" si="17"/>
        <v>No</v>
      </c>
      <c r="I246" s="1"/>
      <c r="J246" s="1">
        <v>11281</v>
      </c>
      <c r="K246" s="1">
        <v>6420</v>
      </c>
      <c r="L246" s="1">
        <v>112</v>
      </c>
      <c r="M246" s="1">
        <f t="shared" si="18"/>
        <v>360</v>
      </c>
      <c r="N246" s="1">
        <v>360</v>
      </c>
      <c r="O246" s="1">
        <f t="shared" si="19"/>
        <v>0</v>
      </c>
      <c r="P246" s="1">
        <v>0</v>
      </c>
      <c r="Q246" s="1" t="s">
        <v>19</v>
      </c>
      <c r="R246" s="1" t="s">
        <v>20</v>
      </c>
    </row>
    <row r="247" spans="1:18" x14ac:dyDescent="0.35">
      <c r="A247" s="1" t="s">
        <v>278</v>
      </c>
      <c r="B247" s="1" t="str">
        <f t="shared" si="15"/>
        <v>Female</v>
      </c>
      <c r="C247" s="1" t="s">
        <v>43</v>
      </c>
      <c r="D247" s="1" t="str">
        <f t="shared" si="16"/>
        <v>No</v>
      </c>
      <c r="E247" s="1" t="s">
        <v>22</v>
      </c>
      <c r="F247" s="1">
        <v>0</v>
      </c>
      <c r="G247" s="1" t="s">
        <v>25</v>
      </c>
      <c r="H247" s="1" t="str">
        <f t="shared" si="17"/>
        <v>No</v>
      </c>
      <c r="I247" s="1"/>
      <c r="J247" s="1">
        <v>8903</v>
      </c>
      <c r="K247" s="1">
        <v>8028</v>
      </c>
      <c r="L247" s="1">
        <v>519</v>
      </c>
      <c r="M247" s="1">
        <f t="shared" si="18"/>
        <v>180</v>
      </c>
      <c r="N247" s="1">
        <v>180</v>
      </c>
      <c r="O247" s="1">
        <f t="shared" si="19"/>
        <v>1</v>
      </c>
      <c r="P247" s="1">
        <v>1</v>
      </c>
      <c r="Q247" s="1" t="s">
        <v>41</v>
      </c>
      <c r="R247" s="1" t="s">
        <v>20</v>
      </c>
    </row>
    <row r="248" spans="1:18" x14ac:dyDescent="0.35">
      <c r="A248" s="1" t="s">
        <v>279</v>
      </c>
      <c r="B248" s="1" t="str">
        <f t="shared" si="15"/>
        <v>Unknown</v>
      </c>
      <c r="C248" s="1"/>
      <c r="D248" s="1" t="str">
        <f t="shared" si="16"/>
        <v>No</v>
      </c>
      <c r="E248" s="1"/>
      <c r="F248" s="1">
        <v>1</v>
      </c>
      <c r="G248" s="1" t="s">
        <v>25</v>
      </c>
      <c r="H248" s="1" t="str">
        <f t="shared" si="17"/>
        <v>Yes</v>
      </c>
      <c r="I248" s="1" t="s">
        <v>24</v>
      </c>
      <c r="J248" s="1">
        <v>16105</v>
      </c>
      <c r="K248" s="1">
        <v>9996</v>
      </c>
      <c r="L248" s="1">
        <v>561</v>
      </c>
      <c r="M248" s="1">
        <f t="shared" si="18"/>
        <v>360</v>
      </c>
      <c r="N248" s="1"/>
      <c r="O248" s="1">
        <f t="shared" si="19"/>
        <v>0</v>
      </c>
      <c r="P248" s="1">
        <v>0</v>
      </c>
      <c r="Q248" s="1" t="s">
        <v>41</v>
      </c>
      <c r="R248" s="1" t="s">
        <v>20</v>
      </c>
    </row>
    <row r="249" spans="1:18" x14ac:dyDescent="0.35">
      <c r="A249" s="1" t="s">
        <v>280</v>
      </c>
      <c r="B249" s="1" t="str">
        <f t="shared" si="15"/>
        <v>Male</v>
      </c>
      <c r="C249" s="1" t="s">
        <v>14</v>
      </c>
      <c r="D249" s="1" t="str">
        <f t="shared" si="16"/>
        <v>No</v>
      </c>
      <c r="E249" s="1"/>
      <c r="F249" s="1">
        <v>2</v>
      </c>
      <c r="G249" s="1" t="s">
        <v>17</v>
      </c>
      <c r="H249" s="1" t="str">
        <f t="shared" si="17"/>
        <v>Yes</v>
      </c>
      <c r="I249" s="1" t="s">
        <v>15</v>
      </c>
      <c r="J249" s="1">
        <v>9649</v>
      </c>
      <c r="K249" s="1">
        <v>7821</v>
      </c>
      <c r="L249" s="1">
        <v>407</v>
      </c>
      <c r="M249" s="1">
        <f t="shared" si="18"/>
        <v>360</v>
      </c>
      <c r="N249" s="1">
        <v>360</v>
      </c>
      <c r="O249" s="1">
        <f t="shared" si="19"/>
        <v>0</v>
      </c>
      <c r="P249" s="1"/>
      <c r="Q249" s="1" t="s">
        <v>41</v>
      </c>
      <c r="R249" s="1" t="s">
        <v>20</v>
      </c>
    </row>
    <row r="250" spans="1:18" x14ac:dyDescent="0.35">
      <c r="A250" s="1" t="s">
        <v>281</v>
      </c>
      <c r="B250" s="1" t="str">
        <f t="shared" si="15"/>
        <v>Female</v>
      </c>
      <c r="C250" s="1" t="s">
        <v>28</v>
      </c>
      <c r="D250" s="1" t="str">
        <f t="shared" si="16"/>
        <v>No</v>
      </c>
      <c r="E250" s="1" t="s">
        <v>22</v>
      </c>
      <c r="F250" s="1" t="s">
        <v>16</v>
      </c>
      <c r="G250" s="1" t="s">
        <v>25</v>
      </c>
      <c r="H250" s="1" t="str">
        <f t="shared" si="17"/>
        <v>No</v>
      </c>
      <c r="I250" s="1" t="s">
        <v>36</v>
      </c>
      <c r="J250" s="1">
        <v>16622</v>
      </c>
      <c r="K250" s="1">
        <v>6630</v>
      </c>
      <c r="L250" s="1">
        <v>203</v>
      </c>
      <c r="M250" s="1">
        <f t="shared" si="18"/>
        <v>180</v>
      </c>
      <c r="N250" s="1">
        <v>180</v>
      </c>
      <c r="O250" s="1">
        <f t="shared" si="19"/>
        <v>0</v>
      </c>
      <c r="P250" s="1">
        <v>0</v>
      </c>
      <c r="Q250" s="1" t="s">
        <v>41</v>
      </c>
      <c r="R250" s="1" t="s">
        <v>20</v>
      </c>
    </row>
    <row r="251" spans="1:18" x14ac:dyDescent="0.35">
      <c r="A251" s="1" t="s">
        <v>282</v>
      </c>
      <c r="B251" s="1" t="str">
        <f t="shared" si="15"/>
        <v>Male</v>
      </c>
      <c r="C251" s="1" t="s">
        <v>33</v>
      </c>
      <c r="D251" s="1" t="str">
        <f t="shared" si="16"/>
        <v>No</v>
      </c>
      <c r="E251" s="1" t="s">
        <v>22</v>
      </c>
      <c r="F251" s="1" t="s">
        <v>16</v>
      </c>
      <c r="G251" s="1" t="s">
        <v>25</v>
      </c>
      <c r="H251" s="1" t="str">
        <f t="shared" si="17"/>
        <v>No</v>
      </c>
      <c r="I251" s="1"/>
      <c r="J251" s="1">
        <v>6845</v>
      </c>
      <c r="K251" s="1">
        <v>3732</v>
      </c>
      <c r="L251" s="1">
        <v>379</v>
      </c>
      <c r="M251" s="1">
        <f t="shared" si="18"/>
        <v>360</v>
      </c>
      <c r="N251" s="1">
        <v>360</v>
      </c>
      <c r="O251" s="1">
        <f t="shared" si="19"/>
        <v>0</v>
      </c>
      <c r="P251" s="1">
        <v>0</v>
      </c>
      <c r="Q251" s="1" t="s">
        <v>19</v>
      </c>
      <c r="R251" s="1" t="s">
        <v>26</v>
      </c>
    </row>
    <row r="252" spans="1:18" x14ac:dyDescent="0.35">
      <c r="A252" s="1" t="s">
        <v>283</v>
      </c>
      <c r="B252" s="1" t="str">
        <f t="shared" si="15"/>
        <v>Female</v>
      </c>
      <c r="C252" s="1" t="s">
        <v>28</v>
      </c>
      <c r="D252" s="1" t="str">
        <f t="shared" si="16"/>
        <v>Yes</v>
      </c>
      <c r="E252" s="1" t="s">
        <v>24</v>
      </c>
      <c r="F252" s="1">
        <v>1</v>
      </c>
      <c r="G252" s="1" t="s">
        <v>25</v>
      </c>
      <c r="H252" s="1" t="str">
        <f t="shared" si="17"/>
        <v>Yes</v>
      </c>
      <c r="I252" s="1" t="s">
        <v>15</v>
      </c>
      <c r="J252" s="1">
        <v>3606</v>
      </c>
      <c r="K252" s="1">
        <v>7330</v>
      </c>
      <c r="L252" s="1">
        <v>397</v>
      </c>
      <c r="M252" s="1">
        <f t="shared" si="18"/>
        <v>180</v>
      </c>
      <c r="N252" s="1">
        <v>180</v>
      </c>
      <c r="O252" s="1">
        <f t="shared" si="19"/>
        <v>0</v>
      </c>
      <c r="P252" s="1">
        <v>0</v>
      </c>
      <c r="Q252" s="1" t="s">
        <v>19</v>
      </c>
      <c r="R252" s="1" t="s">
        <v>26</v>
      </c>
    </row>
    <row r="253" spans="1:18" x14ac:dyDescent="0.35">
      <c r="A253" s="1" t="s">
        <v>284</v>
      </c>
      <c r="B253" s="1" t="str">
        <f t="shared" si="15"/>
        <v>Male</v>
      </c>
      <c r="C253" s="1" t="s">
        <v>33</v>
      </c>
      <c r="D253" s="1" t="str">
        <f t="shared" si="16"/>
        <v>Yes</v>
      </c>
      <c r="E253" s="1" t="s">
        <v>29</v>
      </c>
      <c r="F253" s="1">
        <v>1</v>
      </c>
      <c r="G253" s="1" t="s">
        <v>17</v>
      </c>
      <c r="H253" s="1" t="str">
        <f t="shared" si="17"/>
        <v>No</v>
      </c>
      <c r="I253" s="1"/>
      <c r="J253" s="1">
        <v>11777</v>
      </c>
      <c r="K253" s="1">
        <v>9328</v>
      </c>
      <c r="L253" s="1">
        <v>622</v>
      </c>
      <c r="M253" s="1">
        <f t="shared" si="18"/>
        <v>120</v>
      </c>
      <c r="N253" s="1">
        <v>120</v>
      </c>
      <c r="O253" s="1">
        <f t="shared" si="19"/>
        <v>0</v>
      </c>
      <c r="P253" s="1">
        <v>0</v>
      </c>
      <c r="Q253" s="1" t="s">
        <v>19</v>
      </c>
      <c r="R253" s="1" t="s">
        <v>20</v>
      </c>
    </row>
    <row r="254" spans="1:18" x14ac:dyDescent="0.35">
      <c r="A254" s="1" t="s">
        <v>285</v>
      </c>
      <c r="B254" s="1" t="str">
        <f t="shared" si="15"/>
        <v>Female</v>
      </c>
      <c r="C254" s="1" t="s">
        <v>43</v>
      </c>
      <c r="D254" s="1" t="str">
        <f t="shared" si="16"/>
        <v>Yes</v>
      </c>
      <c r="E254" s="1" t="s">
        <v>15</v>
      </c>
      <c r="F254" s="1">
        <v>1</v>
      </c>
      <c r="G254" s="1" t="s">
        <v>17</v>
      </c>
      <c r="H254" s="1" t="str">
        <f t="shared" si="17"/>
        <v>Yes</v>
      </c>
      <c r="I254" s="1" t="s">
        <v>24</v>
      </c>
      <c r="J254" s="1">
        <v>1558</v>
      </c>
      <c r="K254" s="1">
        <v>3351</v>
      </c>
      <c r="L254" s="1">
        <v>668</v>
      </c>
      <c r="M254" s="1">
        <f t="shared" si="18"/>
        <v>180</v>
      </c>
      <c r="N254" s="1">
        <v>180</v>
      </c>
      <c r="O254" s="1">
        <f t="shared" si="19"/>
        <v>1</v>
      </c>
      <c r="P254" s="1">
        <v>1</v>
      </c>
      <c r="Q254" s="1" t="s">
        <v>30</v>
      </c>
      <c r="R254" s="1" t="s">
        <v>26</v>
      </c>
    </row>
    <row r="255" spans="1:18" x14ac:dyDescent="0.35">
      <c r="A255" s="1" t="s">
        <v>286</v>
      </c>
      <c r="B255" s="1" t="str">
        <f t="shared" si="15"/>
        <v>Male</v>
      </c>
      <c r="C255" s="1" t="s">
        <v>33</v>
      </c>
      <c r="D255" s="1" t="str">
        <f t="shared" si="16"/>
        <v>No</v>
      </c>
      <c r="E255" s="1" t="s">
        <v>18</v>
      </c>
      <c r="F255" s="1" t="s">
        <v>16</v>
      </c>
      <c r="G255" s="1" t="s">
        <v>25</v>
      </c>
      <c r="H255" s="1" t="str">
        <f t="shared" si="17"/>
        <v>No</v>
      </c>
      <c r="I255" s="1"/>
      <c r="J255" s="1">
        <v>15142</v>
      </c>
      <c r="K255" s="1">
        <v>2426</v>
      </c>
      <c r="L255" s="1">
        <v>362</v>
      </c>
      <c r="M255" s="1">
        <f t="shared" si="18"/>
        <v>180</v>
      </c>
      <c r="N255" s="1">
        <v>180</v>
      </c>
      <c r="O255" s="1">
        <f t="shared" si="19"/>
        <v>0</v>
      </c>
      <c r="P255" s="1"/>
      <c r="Q255" s="1" t="s">
        <v>19</v>
      </c>
      <c r="R255" s="1" t="s">
        <v>26</v>
      </c>
    </row>
    <row r="256" spans="1:18" x14ac:dyDescent="0.35">
      <c r="A256" s="1" t="s">
        <v>287</v>
      </c>
      <c r="B256" s="1" t="str">
        <f t="shared" si="15"/>
        <v>Unknown</v>
      </c>
      <c r="C256" s="1"/>
      <c r="D256" s="1" t="str">
        <f t="shared" si="16"/>
        <v>Yes</v>
      </c>
      <c r="E256" s="1" t="s">
        <v>24</v>
      </c>
      <c r="F256" s="1" t="s">
        <v>16</v>
      </c>
      <c r="G256" s="1" t="s">
        <v>25</v>
      </c>
      <c r="H256" s="1" t="str">
        <f t="shared" si="17"/>
        <v>No</v>
      </c>
      <c r="I256" s="1"/>
      <c r="J256" s="1">
        <v>6424</v>
      </c>
      <c r="K256" s="1">
        <v>4113</v>
      </c>
      <c r="L256" s="1">
        <v>85</v>
      </c>
      <c r="M256" s="1">
        <f t="shared" si="18"/>
        <v>180</v>
      </c>
      <c r="N256" s="1">
        <v>180</v>
      </c>
      <c r="O256" s="1">
        <f t="shared" si="19"/>
        <v>1</v>
      </c>
      <c r="P256" s="1">
        <v>1</v>
      </c>
      <c r="Q256" s="1" t="s">
        <v>19</v>
      </c>
      <c r="R256" s="1" t="s">
        <v>26</v>
      </c>
    </row>
    <row r="257" spans="1:18" x14ac:dyDescent="0.35">
      <c r="A257" s="1" t="s">
        <v>288</v>
      </c>
      <c r="B257" s="1" t="str">
        <f t="shared" si="15"/>
        <v>Male</v>
      </c>
      <c r="C257" s="1" t="s">
        <v>33</v>
      </c>
      <c r="D257" s="1" t="str">
        <f t="shared" si="16"/>
        <v>No</v>
      </c>
      <c r="E257" s="1" t="s">
        <v>22</v>
      </c>
      <c r="F257" s="1">
        <v>1</v>
      </c>
      <c r="G257" s="1" t="s">
        <v>17</v>
      </c>
      <c r="H257" s="1" t="str">
        <f t="shared" si="17"/>
        <v>No</v>
      </c>
      <c r="I257" s="1" t="s">
        <v>36</v>
      </c>
      <c r="J257" s="1">
        <v>12393</v>
      </c>
      <c r="K257" s="1">
        <v>3615</v>
      </c>
      <c r="L257" s="1">
        <v>284</v>
      </c>
      <c r="M257" s="1">
        <f t="shared" si="18"/>
        <v>120</v>
      </c>
      <c r="N257" s="1">
        <v>120</v>
      </c>
      <c r="O257" s="1">
        <f t="shared" si="19"/>
        <v>0</v>
      </c>
      <c r="P257" s="1"/>
      <c r="Q257" s="1" t="s">
        <v>41</v>
      </c>
      <c r="R257" s="1" t="s">
        <v>26</v>
      </c>
    </row>
    <row r="258" spans="1:18" x14ac:dyDescent="0.35">
      <c r="A258" s="1" t="s">
        <v>289</v>
      </c>
      <c r="B258" s="1" t="str">
        <f t="shared" ref="B258:B321" si="20">IF(ISBLANK(C258),"Unknown", IF(LOWER(TRIM(C258))="male","Male","Female"))</f>
        <v>Male</v>
      </c>
      <c r="C258" s="1" t="s">
        <v>33</v>
      </c>
      <c r="D258" s="1" t="str">
        <f t="shared" ref="D258:D321" si="21">IF(ISBLANK(E258),"No",PROPER(TRIM(E258)))</f>
        <v>No</v>
      </c>
      <c r="E258" s="1"/>
      <c r="F258" s="1">
        <v>1</v>
      </c>
      <c r="G258" s="1" t="s">
        <v>25</v>
      </c>
      <c r="H258" s="1" t="str">
        <f t="shared" ref="H258:H321" si="22">IF(ISBLANK(I258),"No",PROPER(TRIM(I258)))</f>
        <v>No</v>
      </c>
      <c r="I258" s="1" t="s">
        <v>36</v>
      </c>
      <c r="J258" s="1">
        <v>14147</v>
      </c>
      <c r="K258" s="1">
        <v>7725</v>
      </c>
      <c r="L258" s="1">
        <v>101</v>
      </c>
      <c r="M258" s="1">
        <f t="shared" ref="M258:M321" si="23">IF(ISBLANK(N258),360,N258)</f>
        <v>180</v>
      </c>
      <c r="N258" s="1">
        <v>180</v>
      </c>
      <c r="O258" s="1">
        <f t="shared" ref="O258:O321" si="24">IF(ISBLANK(P258),0,P258)</f>
        <v>0</v>
      </c>
      <c r="P258" s="1"/>
      <c r="Q258" s="1" t="s">
        <v>30</v>
      </c>
      <c r="R258" s="1" t="s">
        <v>26</v>
      </c>
    </row>
    <row r="259" spans="1:18" x14ac:dyDescent="0.35">
      <c r="A259" s="1" t="s">
        <v>290</v>
      </c>
      <c r="B259" s="1" t="str">
        <f t="shared" si="20"/>
        <v>Male</v>
      </c>
      <c r="C259" s="1" t="s">
        <v>14</v>
      </c>
      <c r="D259" s="1" t="str">
        <f t="shared" si="21"/>
        <v>No</v>
      </c>
      <c r="E259" s="1" t="s">
        <v>36</v>
      </c>
      <c r="F259" s="1">
        <v>1</v>
      </c>
      <c r="G259" s="1" t="s">
        <v>17</v>
      </c>
      <c r="H259" s="1" t="str">
        <f t="shared" si="22"/>
        <v>No</v>
      </c>
      <c r="I259" s="1"/>
      <c r="J259" s="1">
        <v>6263</v>
      </c>
      <c r="K259" s="1">
        <v>3999</v>
      </c>
      <c r="L259" s="1">
        <v>257</v>
      </c>
      <c r="M259" s="1">
        <f t="shared" si="23"/>
        <v>120</v>
      </c>
      <c r="N259" s="1">
        <v>120</v>
      </c>
      <c r="O259" s="1">
        <f t="shared" si="24"/>
        <v>0</v>
      </c>
      <c r="P259" s="1"/>
      <c r="Q259" s="1" t="s">
        <v>30</v>
      </c>
      <c r="R259" s="1" t="s">
        <v>20</v>
      </c>
    </row>
    <row r="260" spans="1:18" x14ac:dyDescent="0.35">
      <c r="A260" s="1" t="s">
        <v>291</v>
      </c>
      <c r="B260" s="1" t="str">
        <f t="shared" si="20"/>
        <v>Unknown</v>
      </c>
      <c r="C260" s="1"/>
      <c r="D260" s="1" t="str">
        <f t="shared" si="21"/>
        <v>Yes</v>
      </c>
      <c r="E260" s="1" t="s">
        <v>29</v>
      </c>
      <c r="F260" s="1">
        <v>0</v>
      </c>
      <c r="G260" s="1" t="s">
        <v>25</v>
      </c>
      <c r="H260" s="1" t="str">
        <f t="shared" si="22"/>
        <v>No</v>
      </c>
      <c r="I260" s="1" t="s">
        <v>22</v>
      </c>
      <c r="J260" s="1">
        <v>8785</v>
      </c>
      <c r="K260" s="1">
        <v>7264</v>
      </c>
      <c r="L260" s="1">
        <v>437</v>
      </c>
      <c r="M260" s="1">
        <f t="shared" si="23"/>
        <v>180</v>
      </c>
      <c r="N260" s="1">
        <v>180</v>
      </c>
      <c r="O260" s="1">
        <f t="shared" si="24"/>
        <v>0</v>
      </c>
      <c r="P260" s="1"/>
      <c r="Q260" s="1" t="s">
        <v>30</v>
      </c>
      <c r="R260" s="1" t="s">
        <v>20</v>
      </c>
    </row>
    <row r="261" spans="1:18" x14ac:dyDescent="0.35">
      <c r="A261" s="1" t="s">
        <v>292</v>
      </c>
      <c r="B261" s="1" t="str">
        <f t="shared" si="20"/>
        <v>Female</v>
      </c>
      <c r="C261" s="1" t="s">
        <v>61</v>
      </c>
      <c r="D261" s="1" t="str">
        <f t="shared" si="21"/>
        <v>Yes</v>
      </c>
      <c r="E261" s="1" t="s">
        <v>15</v>
      </c>
      <c r="F261" s="1" t="s">
        <v>16</v>
      </c>
      <c r="G261" s="1" t="s">
        <v>17</v>
      </c>
      <c r="H261" s="1" t="str">
        <f t="shared" si="22"/>
        <v>No</v>
      </c>
      <c r="I261" s="1" t="s">
        <v>22</v>
      </c>
      <c r="J261" s="1">
        <v>4224</v>
      </c>
      <c r="K261" s="1">
        <v>5895</v>
      </c>
      <c r="L261" s="1">
        <v>572</v>
      </c>
      <c r="M261" s="1">
        <f t="shared" si="23"/>
        <v>360</v>
      </c>
      <c r="N261" s="1"/>
      <c r="O261" s="1">
        <f t="shared" si="24"/>
        <v>0</v>
      </c>
      <c r="P261" s="1">
        <v>0</v>
      </c>
      <c r="Q261" s="1" t="s">
        <v>19</v>
      </c>
      <c r="R261" s="1" t="s">
        <v>20</v>
      </c>
    </row>
    <row r="262" spans="1:18" x14ac:dyDescent="0.35">
      <c r="A262" s="1" t="s">
        <v>293</v>
      </c>
      <c r="B262" s="1" t="str">
        <f t="shared" si="20"/>
        <v>Male</v>
      </c>
      <c r="C262" s="1" t="s">
        <v>14</v>
      </c>
      <c r="D262" s="1" t="str">
        <f t="shared" si="21"/>
        <v>No</v>
      </c>
      <c r="E262" s="1"/>
      <c r="F262" s="1">
        <v>1</v>
      </c>
      <c r="G262" s="1" t="s">
        <v>25</v>
      </c>
      <c r="H262" s="1" t="str">
        <f t="shared" si="22"/>
        <v>No</v>
      </c>
      <c r="I262" s="1" t="s">
        <v>36</v>
      </c>
      <c r="J262" s="1">
        <v>11935</v>
      </c>
      <c r="K262" s="1">
        <v>1977</v>
      </c>
      <c r="L262" s="1">
        <v>360</v>
      </c>
      <c r="M262" s="1">
        <f t="shared" si="23"/>
        <v>180</v>
      </c>
      <c r="N262" s="1">
        <v>180</v>
      </c>
      <c r="O262" s="1">
        <f t="shared" si="24"/>
        <v>0</v>
      </c>
      <c r="P262" s="1"/>
      <c r="Q262" s="1" t="s">
        <v>30</v>
      </c>
      <c r="R262" s="1" t="s">
        <v>20</v>
      </c>
    </row>
    <row r="263" spans="1:18" x14ac:dyDescent="0.35">
      <c r="A263" s="1" t="s">
        <v>294</v>
      </c>
      <c r="B263" s="1" t="str">
        <f t="shared" si="20"/>
        <v>Female</v>
      </c>
      <c r="C263" s="1" t="s">
        <v>28</v>
      </c>
      <c r="D263" s="1" t="str">
        <f t="shared" si="21"/>
        <v>No</v>
      </c>
      <c r="E263" s="1"/>
      <c r="F263" s="1">
        <v>0</v>
      </c>
      <c r="G263" s="1" t="s">
        <v>17</v>
      </c>
      <c r="H263" s="1" t="str">
        <f t="shared" si="22"/>
        <v>No</v>
      </c>
      <c r="I263" s="1"/>
      <c r="J263" s="1">
        <v>17433</v>
      </c>
      <c r="K263" s="1">
        <v>4463</v>
      </c>
      <c r="L263" s="1">
        <v>317</v>
      </c>
      <c r="M263" s="1">
        <f t="shared" si="23"/>
        <v>360</v>
      </c>
      <c r="N263" s="1"/>
      <c r="O263" s="1">
        <f t="shared" si="24"/>
        <v>0</v>
      </c>
      <c r="P263" s="1">
        <v>0</v>
      </c>
      <c r="Q263" s="1" t="s">
        <v>19</v>
      </c>
      <c r="R263" s="1" t="s">
        <v>20</v>
      </c>
    </row>
    <row r="264" spans="1:18" x14ac:dyDescent="0.35">
      <c r="A264" s="1" t="s">
        <v>295</v>
      </c>
      <c r="B264" s="1" t="str">
        <f t="shared" si="20"/>
        <v>Female</v>
      </c>
      <c r="C264" s="1" t="s">
        <v>61</v>
      </c>
      <c r="D264" s="1" t="str">
        <f t="shared" si="21"/>
        <v>Yes</v>
      </c>
      <c r="E264" s="1" t="s">
        <v>15</v>
      </c>
      <c r="F264" s="1">
        <v>1</v>
      </c>
      <c r="G264" s="1" t="s">
        <v>25</v>
      </c>
      <c r="H264" s="1" t="str">
        <f t="shared" si="22"/>
        <v>No</v>
      </c>
      <c r="I264" s="1" t="s">
        <v>18</v>
      </c>
      <c r="J264" s="1">
        <v>3190</v>
      </c>
      <c r="K264" s="1">
        <v>7693</v>
      </c>
      <c r="L264" s="1">
        <v>459</v>
      </c>
      <c r="M264" s="1">
        <f t="shared" si="23"/>
        <v>360</v>
      </c>
      <c r="N264" s="1"/>
      <c r="O264" s="1">
        <f t="shared" si="24"/>
        <v>0</v>
      </c>
      <c r="P264" s="1"/>
      <c r="Q264" s="1" t="s">
        <v>30</v>
      </c>
      <c r="R264" s="1" t="s">
        <v>26</v>
      </c>
    </row>
    <row r="265" spans="1:18" x14ac:dyDescent="0.35">
      <c r="A265" s="1" t="s">
        <v>296</v>
      </c>
      <c r="B265" s="1" t="str">
        <f t="shared" si="20"/>
        <v>Female</v>
      </c>
      <c r="C265" s="1" t="s">
        <v>43</v>
      </c>
      <c r="D265" s="1" t="str">
        <f t="shared" si="21"/>
        <v>No</v>
      </c>
      <c r="E265" s="1" t="s">
        <v>22</v>
      </c>
      <c r="F265" s="1" t="s">
        <v>16</v>
      </c>
      <c r="G265" s="1" t="s">
        <v>17</v>
      </c>
      <c r="H265" s="1" t="str">
        <f t="shared" si="22"/>
        <v>No</v>
      </c>
      <c r="I265" s="1"/>
      <c r="J265" s="1">
        <v>10138</v>
      </c>
      <c r="K265" s="1">
        <v>4535</v>
      </c>
      <c r="L265" s="1">
        <v>668</v>
      </c>
      <c r="M265" s="1">
        <f t="shared" si="23"/>
        <v>360</v>
      </c>
      <c r="N265" s="1"/>
      <c r="O265" s="1">
        <f t="shared" si="24"/>
        <v>0</v>
      </c>
      <c r="P265" s="1">
        <v>0</v>
      </c>
      <c r="Q265" s="1" t="s">
        <v>30</v>
      </c>
      <c r="R265" s="1" t="s">
        <v>20</v>
      </c>
    </row>
    <row r="266" spans="1:18" x14ac:dyDescent="0.35">
      <c r="A266" s="1" t="s">
        <v>297</v>
      </c>
      <c r="B266" s="1" t="str">
        <f t="shared" si="20"/>
        <v>Male</v>
      </c>
      <c r="C266" s="1" t="s">
        <v>14</v>
      </c>
      <c r="D266" s="1" t="str">
        <f t="shared" si="21"/>
        <v>No</v>
      </c>
      <c r="E266" s="1" t="s">
        <v>18</v>
      </c>
      <c r="F266" s="1">
        <v>0</v>
      </c>
      <c r="G266" s="1" t="s">
        <v>25</v>
      </c>
      <c r="H266" s="1" t="str">
        <f t="shared" si="22"/>
        <v>Yes</v>
      </c>
      <c r="I266" s="1" t="s">
        <v>29</v>
      </c>
      <c r="J266" s="1">
        <v>5241</v>
      </c>
      <c r="K266" s="1">
        <v>7186</v>
      </c>
      <c r="L266" s="1">
        <v>631</v>
      </c>
      <c r="M266" s="1">
        <f t="shared" si="23"/>
        <v>360</v>
      </c>
      <c r="N266" s="1">
        <v>360</v>
      </c>
      <c r="O266" s="1">
        <f t="shared" si="24"/>
        <v>1</v>
      </c>
      <c r="P266" s="1">
        <v>1</v>
      </c>
      <c r="Q266" s="1" t="s">
        <v>41</v>
      </c>
      <c r="R266" s="1" t="s">
        <v>26</v>
      </c>
    </row>
    <row r="267" spans="1:18" x14ac:dyDescent="0.35">
      <c r="A267" s="1" t="s">
        <v>298</v>
      </c>
      <c r="B267" s="1" t="str">
        <f t="shared" si="20"/>
        <v>Unknown</v>
      </c>
      <c r="C267" s="1"/>
      <c r="D267" s="1" t="str">
        <f t="shared" si="21"/>
        <v>No</v>
      </c>
      <c r="E267" s="1"/>
      <c r="F267" s="1">
        <v>0</v>
      </c>
      <c r="G267" s="1" t="s">
        <v>25</v>
      </c>
      <c r="H267" s="1" t="str">
        <f t="shared" si="22"/>
        <v>Yes</v>
      </c>
      <c r="I267" s="1" t="s">
        <v>24</v>
      </c>
      <c r="J267" s="1">
        <v>5208</v>
      </c>
      <c r="K267" s="1">
        <v>6817</v>
      </c>
      <c r="L267" s="1">
        <v>442</v>
      </c>
      <c r="M267" s="1">
        <f t="shared" si="23"/>
        <v>180</v>
      </c>
      <c r="N267" s="1">
        <v>180</v>
      </c>
      <c r="O267" s="1">
        <f t="shared" si="24"/>
        <v>0</v>
      </c>
      <c r="P267" s="1">
        <v>0</v>
      </c>
      <c r="Q267" s="1" t="s">
        <v>19</v>
      </c>
      <c r="R267" s="1" t="s">
        <v>20</v>
      </c>
    </row>
    <row r="268" spans="1:18" x14ac:dyDescent="0.35">
      <c r="A268" s="1" t="s">
        <v>299</v>
      </c>
      <c r="B268" s="1" t="str">
        <f t="shared" si="20"/>
        <v>Male</v>
      </c>
      <c r="C268" s="1" t="s">
        <v>52</v>
      </c>
      <c r="D268" s="1" t="str">
        <f t="shared" si="21"/>
        <v>No</v>
      </c>
      <c r="E268" s="1"/>
      <c r="F268" s="1">
        <v>0</v>
      </c>
      <c r="G268" s="1" t="s">
        <v>25</v>
      </c>
      <c r="H268" s="1" t="str">
        <f t="shared" si="22"/>
        <v>No</v>
      </c>
      <c r="I268" s="1" t="s">
        <v>36</v>
      </c>
      <c r="J268" s="1">
        <v>6452</v>
      </c>
      <c r="K268" s="1">
        <v>8259</v>
      </c>
      <c r="L268" s="1">
        <v>435</v>
      </c>
      <c r="M268" s="1">
        <f t="shared" si="23"/>
        <v>360</v>
      </c>
      <c r="N268" s="1">
        <v>360</v>
      </c>
      <c r="O268" s="1">
        <f t="shared" si="24"/>
        <v>0</v>
      </c>
      <c r="P268" s="1"/>
      <c r="Q268" s="1" t="s">
        <v>19</v>
      </c>
      <c r="R268" s="1" t="s">
        <v>20</v>
      </c>
    </row>
    <row r="269" spans="1:18" x14ac:dyDescent="0.35">
      <c r="A269" s="1" t="s">
        <v>300</v>
      </c>
      <c r="B269" s="1" t="str">
        <f t="shared" si="20"/>
        <v>Female</v>
      </c>
      <c r="C269" s="1" t="s">
        <v>61</v>
      </c>
      <c r="D269" s="1" t="str">
        <f t="shared" si="21"/>
        <v>Yes</v>
      </c>
      <c r="E269" s="1" t="s">
        <v>24</v>
      </c>
      <c r="F269" s="1">
        <v>2</v>
      </c>
      <c r="G269" s="1" t="s">
        <v>25</v>
      </c>
      <c r="H269" s="1" t="str">
        <f t="shared" si="22"/>
        <v>No</v>
      </c>
      <c r="I269" s="1" t="s">
        <v>22</v>
      </c>
      <c r="J269" s="1">
        <v>7537</v>
      </c>
      <c r="K269" s="1">
        <v>5143</v>
      </c>
      <c r="L269" s="1">
        <v>302</v>
      </c>
      <c r="M269" s="1">
        <f t="shared" si="23"/>
        <v>120</v>
      </c>
      <c r="N269" s="1">
        <v>120</v>
      </c>
      <c r="O269" s="1">
        <f t="shared" si="24"/>
        <v>1</v>
      </c>
      <c r="P269" s="1">
        <v>1</v>
      </c>
      <c r="Q269" s="1" t="s">
        <v>19</v>
      </c>
      <c r="R269" s="1" t="s">
        <v>20</v>
      </c>
    </row>
    <row r="270" spans="1:18" x14ac:dyDescent="0.35">
      <c r="A270" s="1" t="s">
        <v>301</v>
      </c>
      <c r="B270" s="1" t="str">
        <f t="shared" si="20"/>
        <v>Unknown</v>
      </c>
      <c r="C270" s="1"/>
      <c r="D270" s="1" t="str">
        <f t="shared" si="21"/>
        <v>No</v>
      </c>
      <c r="E270" s="1"/>
      <c r="F270" s="1" t="s">
        <v>16</v>
      </c>
      <c r="G270" s="1" t="s">
        <v>17</v>
      </c>
      <c r="H270" s="1" t="str">
        <f t="shared" si="22"/>
        <v>Yes</v>
      </c>
      <c r="I270" s="1" t="s">
        <v>24</v>
      </c>
      <c r="J270" s="1">
        <v>5373</v>
      </c>
      <c r="K270" s="1">
        <v>4134</v>
      </c>
      <c r="L270" s="1">
        <v>263</v>
      </c>
      <c r="M270" s="1">
        <f t="shared" si="23"/>
        <v>360</v>
      </c>
      <c r="N270" s="1">
        <v>360</v>
      </c>
      <c r="O270" s="1">
        <f t="shared" si="24"/>
        <v>0</v>
      </c>
      <c r="P270" s="1">
        <v>0</v>
      </c>
      <c r="Q270" s="1" t="s">
        <v>19</v>
      </c>
      <c r="R270" s="1" t="s">
        <v>20</v>
      </c>
    </row>
    <row r="271" spans="1:18" x14ac:dyDescent="0.35">
      <c r="A271" s="1" t="s">
        <v>302</v>
      </c>
      <c r="B271" s="1" t="str">
        <f t="shared" si="20"/>
        <v>Female</v>
      </c>
      <c r="C271" s="1" t="s">
        <v>43</v>
      </c>
      <c r="D271" s="1" t="str">
        <f t="shared" si="21"/>
        <v>No</v>
      </c>
      <c r="E271" s="1" t="s">
        <v>22</v>
      </c>
      <c r="F271" s="1">
        <v>2</v>
      </c>
      <c r="G271" s="1" t="s">
        <v>25</v>
      </c>
      <c r="H271" s="1" t="str">
        <f t="shared" si="22"/>
        <v>No</v>
      </c>
      <c r="I271" s="1" t="s">
        <v>22</v>
      </c>
      <c r="J271" s="1">
        <v>18935</v>
      </c>
      <c r="K271" s="1">
        <v>468</v>
      </c>
      <c r="L271" s="1">
        <v>501</v>
      </c>
      <c r="M271" s="1">
        <f t="shared" si="23"/>
        <v>360</v>
      </c>
      <c r="N271" s="1">
        <v>360</v>
      </c>
      <c r="O271" s="1">
        <f t="shared" si="24"/>
        <v>0</v>
      </c>
      <c r="P271" s="1"/>
      <c r="Q271" s="1" t="s">
        <v>19</v>
      </c>
      <c r="R271" s="1" t="s">
        <v>26</v>
      </c>
    </row>
    <row r="272" spans="1:18" x14ac:dyDescent="0.35">
      <c r="A272" s="1" t="s">
        <v>303</v>
      </c>
      <c r="B272" s="1" t="str">
        <f t="shared" si="20"/>
        <v>Male</v>
      </c>
      <c r="C272" s="1" t="s">
        <v>33</v>
      </c>
      <c r="D272" s="1" t="str">
        <f t="shared" si="21"/>
        <v>No</v>
      </c>
      <c r="E272" s="1"/>
      <c r="F272" s="1">
        <v>0</v>
      </c>
      <c r="G272" s="1" t="s">
        <v>25</v>
      </c>
      <c r="H272" s="1" t="str">
        <f t="shared" si="22"/>
        <v>No</v>
      </c>
      <c r="I272" s="1"/>
      <c r="J272" s="1">
        <v>5885</v>
      </c>
      <c r="K272" s="1">
        <v>8293</v>
      </c>
      <c r="L272" s="1">
        <v>697</v>
      </c>
      <c r="M272" s="1">
        <f t="shared" si="23"/>
        <v>360</v>
      </c>
      <c r="N272" s="1"/>
      <c r="O272" s="1">
        <f t="shared" si="24"/>
        <v>0</v>
      </c>
      <c r="P272" s="1">
        <v>0</v>
      </c>
      <c r="Q272" s="1" t="s">
        <v>30</v>
      </c>
      <c r="R272" s="1" t="s">
        <v>26</v>
      </c>
    </row>
    <row r="273" spans="1:18" x14ac:dyDescent="0.35">
      <c r="A273" s="1" t="s">
        <v>304</v>
      </c>
      <c r="B273" s="1" t="str">
        <f t="shared" si="20"/>
        <v>Male</v>
      </c>
      <c r="C273" s="1" t="s">
        <v>52</v>
      </c>
      <c r="D273" s="1" t="str">
        <f t="shared" si="21"/>
        <v>Yes</v>
      </c>
      <c r="E273" s="1" t="s">
        <v>29</v>
      </c>
      <c r="F273" s="1">
        <v>2</v>
      </c>
      <c r="G273" s="1" t="s">
        <v>17</v>
      </c>
      <c r="H273" s="1" t="str">
        <f t="shared" si="22"/>
        <v>No</v>
      </c>
      <c r="I273" s="1" t="s">
        <v>22</v>
      </c>
      <c r="J273" s="1">
        <v>3215</v>
      </c>
      <c r="K273" s="1">
        <v>3260</v>
      </c>
      <c r="L273" s="1">
        <v>531</v>
      </c>
      <c r="M273" s="1">
        <f t="shared" si="23"/>
        <v>120</v>
      </c>
      <c r="N273" s="1">
        <v>120</v>
      </c>
      <c r="O273" s="1">
        <f t="shared" si="24"/>
        <v>0</v>
      </c>
      <c r="P273" s="1"/>
      <c r="Q273" s="1" t="s">
        <v>19</v>
      </c>
      <c r="R273" s="1" t="s">
        <v>26</v>
      </c>
    </row>
    <row r="274" spans="1:18" x14ac:dyDescent="0.35">
      <c r="A274" s="1" t="s">
        <v>305</v>
      </c>
      <c r="B274" s="1" t="str">
        <f t="shared" si="20"/>
        <v>Unknown</v>
      </c>
      <c r="C274" s="1"/>
      <c r="D274" s="1" t="str">
        <f t="shared" si="21"/>
        <v>No</v>
      </c>
      <c r="E274" s="1" t="s">
        <v>22</v>
      </c>
      <c r="F274" s="1">
        <v>2</v>
      </c>
      <c r="G274" s="1" t="s">
        <v>25</v>
      </c>
      <c r="H274" s="1" t="str">
        <f t="shared" si="22"/>
        <v>No</v>
      </c>
      <c r="I274" s="1" t="s">
        <v>22</v>
      </c>
      <c r="J274" s="1">
        <v>18511</v>
      </c>
      <c r="K274" s="1">
        <v>7029</v>
      </c>
      <c r="L274" s="1">
        <v>112</v>
      </c>
      <c r="M274" s="1">
        <f t="shared" si="23"/>
        <v>120</v>
      </c>
      <c r="N274" s="1">
        <v>120</v>
      </c>
      <c r="O274" s="1">
        <f t="shared" si="24"/>
        <v>0</v>
      </c>
      <c r="P274" s="1"/>
      <c r="Q274" s="1" t="s">
        <v>30</v>
      </c>
      <c r="R274" s="1" t="s">
        <v>26</v>
      </c>
    </row>
    <row r="275" spans="1:18" x14ac:dyDescent="0.35">
      <c r="A275" s="1" t="s">
        <v>306</v>
      </c>
      <c r="B275" s="1" t="str">
        <f t="shared" si="20"/>
        <v>Male</v>
      </c>
      <c r="C275" s="1" t="s">
        <v>14</v>
      </c>
      <c r="D275" s="1" t="str">
        <f t="shared" si="21"/>
        <v>No</v>
      </c>
      <c r="E275" s="1" t="s">
        <v>22</v>
      </c>
      <c r="F275" s="1" t="s">
        <v>16</v>
      </c>
      <c r="G275" s="1" t="s">
        <v>25</v>
      </c>
      <c r="H275" s="1" t="str">
        <f t="shared" si="22"/>
        <v>No</v>
      </c>
      <c r="I275" s="1"/>
      <c r="J275" s="1">
        <v>18815</v>
      </c>
      <c r="K275" s="1">
        <v>4054</v>
      </c>
      <c r="L275" s="1">
        <v>340</v>
      </c>
      <c r="M275" s="1">
        <f t="shared" si="23"/>
        <v>180</v>
      </c>
      <c r="N275" s="1">
        <v>180</v>
      </c>
      <c r="O275" s="1">
        <f t="shared" si="24"/>
        <v>0</v>
      </c>
      <c r="P275" s="1">
        <v>0</v>
      </c>
      <c r="Q275" s="1" t="s">
        <v>30</v>
      </c>
      <c r="R275" s="1" t="s">
        <v>20</v>
      </c>
    </row>
    <row r="276" spans="1:18" x14ac:dyDescent="0.35">
      <c r="A276" s="1" t="s">
        <v>307</v>
      </c>
      <c r="B276" s="1" t="str">
        <f t="shared" si="20"/>
        <v>Female</v>
      </c>
      <c r="C276" s="1" t="s">
        <v>28</v>
      </c>
      <c r="D276" s="1" t="str">
        <f t="shared" si="21"/>
        <v>No</v>
      </c>
      <c r="E276" s="1"/>
      <c r="F276" s="1">
        <v>1</v>
      </c>
      <c r="G276" s="1" t="s">
        <v>25</v>
      </c>
      <c r="H276" s="1" t="str">
        <f t="shared" si="22"/>
        <v>No</v>
      </c>
      <c r="I276" s="1" t="s">
        <v>22</v>
      </c>
      <c r="J276" s="1">
        <v>11339</v>
      </c>
      <c r="K276" s="1">
        <v>1363</v>
      </c>
      <c r="L276" s="1">
        <v>74</v>
      </c>
      <c r="M276" s="1">
        <f t="shared" si="23"/>
        <v>360</v>
      </c>
      <c r="N276" s="1">
        <v>360</v>
      </c>
      <c r="O276" s="1">
        <f t="shared" si="24"/>
        <v>0</v>
      </c>
      <c r="P276" s="1"/>
      <c r="Q276" s="1" t="s">
        <v>30</v>
      </c>
      <c r="R276" s="1" t="s">
        <v>20</v>
      </c>
    </row>
    <row r="277" spans="1:18" x14ac:dyDescent="0.35">
      <c r="A277" s="1" t="s">
        <v>308</v>
      </c>
      <c r="B277" s="1" t="str">
        <f t="shared" si="20"/>
        <v>Unknown</v>
      </c>
      <c r="C277" s="1"/>
      <c r="D277" s="1" t="str">
        <f t="shared" si="21"/>
        <v>No</v>
      </c>
      <c r="E277" s="1" t="s">
        <v>36</v>
      </c>
      <c r="F277" s="1">
        <v>1</v>
      </c>
      <c r="G277" s="1" t="s">
        <v>25</v>
      </c>
      <c r="H277" s="1" t="str">
        <f t="shared" si="22"/>
        <v>Yes</v>
      </c>
      <c r="I277" s="1" t="s">
        <v>15</v>
      </c>
      <c r="J277" s="1">
        <v>7568</v>
      </c>
      <c r="K277" s="1">
        <v>2213</v>
      </c>
      <c r="L277" s="1">
        <v>469</v>
      </c>
      <c r="M277" s="1">
        <f t="shared" si="23"/>
        <v>180</v>
      </c>
      <c r="N277" s="1">
        <v>180</v>
      </c>
      <c r="O277" s="1">
        <f t="shared" si="24"/>
        <v>1</v>
      </c>
      <c r="P277" s="1">
        <v>1</v>
      </c>
      <c r="Q277" s="1" t="s">
        <v>19</v>
      </c>
      <c r="R277" s="1" t="s">
        <v>26</v>
      </c>
    </row>
    <row r="278" spans="1:18" x14ac:dyDescent="0.35">
      <c r="A278" s="1" t="s">
        <v>309</v>
      </c>
      <c r="B278" s="1" t="str">
        <f t="shared" si="20"/>
        <v>Unknown</v>
      </c>
      <c r="C278" s="1"/>
      <c r="D278" s="1" t="str">
        <f t="shared" si="21"/>
        <v>No</v>
      </c>
      <c r="E278" s="1"/>
      <c r="F278" s="1">
        <v>0</v>
      </c>
      <c r="G278" s="1" t="s">
        <v>25</v>
      </c>
      <c r="H278" s="1" t="str">
        <f t="shared" si="22"/>
        <v>No</v>
      </c>
      <c r="I278" s="1"/>
      <c r="J278" s="1">
        <v>12299</v>
      </c>
      <c r="K278" s="1">
        <v>8147</v>
      </c>
      <c r="L278" s="1">
        <v>474</v>
      </c>
      <c r="M278" s="1">
        <f t="shared" si="23"/>
        <v>120</v>
      </c>
      <c r="N278" s="1">
        <v>120</v>
      </c>
      <c r="O278" s="1">
        <f t="shared" si="24"/>
        <v>0</v>
      </c>
      <c r="P278" s="1"/>
      <c r="Q278" s="1" t="s">
        <v>41</v>
      </c>
      <c r="R278" s="1" t="s">
        <v>26</v>
      </c>
    </row>
    <row r="279" spans="1:18" x14ac:dyDescent="0.35">
      <c r="A279" s="1" t="s">
        <v>310</v>
      </c>
      <c r="B279" s="1" t="str">
        <f t="shared" si="20"/>
        <v>Male</v>
      </c>
      <c r="C279" s="1" t="s">
        <v>33</v>
      </c>
      <c r="D279" s="1" t="str">
        <f t="shared" si="21"/>
        <v>No</v>
      </c>
      <c r="E279" s="1" t="s">
        <v>22</v>
      </c>
      <c r="F279" s="1">
        <v>1</v>
      </c>
      <c r="G279" s="1" t="s">
        <v>25</v>
      </c>
      <c r="H279" s="1" t="str">
        <f t="shared" si="22"/>
        <v>Yes</v>
      </c>
      <c r="I279" s="1" t="s">
        <v>29</v>
      </c>
      <c r="J279" s="1">
        <v>15147</v>
      </c>
      <c r="K279" s="1">
        <v>1556</v>
      </c>
      <c r="L279" s="1">
        <v>416</v>
      </c>
      <c r="M279" s="1">
        <f t="shared" si="23"/>
        <v>120</v>
      </c>
      <c r="N279" s="1">
        <v>120</v>
      </c>
      <c r="O279" s="1">
        <f t="shared" si="24"/>
        <v>0</v>
      </c>
      <c r="P279" s="1">
        <v>0</v>
      </c>
      <c r="Q279" s="1" t="s">
        <v>30</v>
      </c>
      <c r="R279" s="1" t="s">
        <v>26</v>
      </c>
    </row>
    <row r="280" spans="1:18" x14ac:dyDescent="0.35">
      <c r="A280" s="1" t="s">
        <v>311</v>
      </c>
      <c r="B280" s="1" t="str">
        <f t="shared" si="20"/>
        <v>Male</v>
      </c>
      <c r="C280" s="1" t="s">
        <v>33</v>
      </c>
      <c r="D280" s="1" t="str">
        <f t="shared" si="21"/>
        <v>Yes</v>
      </c>
      <c r="E280" s="1" t="s">
        <v>24</v>
      </c>
      <c r="F280" s="1" t="s">
        <v>16</v>
      </c>
      <c r="G280" s="1" t="s">
        <v>17</v>
      </c>
      <c r="H280" s="1" t="str">
        <f t="shared" si="22"/>
        <v>No</v>
      </c>
      <c r="I280" s="1" t="s">
        <v>18</v>
      </c>
      <c r="J280" s="1">
        <v>11832</v>
      </c>
      <c r="K280" s="1">
        <v>5784</v>
      </c>
      <c r="L280" s="1">
        <v>91</v>
      </c>
      <c r="M280" s="1">
        <f t="shared" si="23"/>
        <v>180</v>
      </c>
      <c r="N280" s="1">
        <v>180</v>
      </c>
      <c r="O280" s="1">
        <f t="shared" si="24"/>
        <v>0</v>
      </c>
      <c r="P280" s="1">
        <v>0</v>
      </c>
      <c r="Q280" s="1" t="s">
        <v>30</v>
      </c>
      <c r="R280" s="1" t="s">
        <v>26</v>
      </c>
    </row>
    <row r="281" spans="1:18" x14ac:dyDescent="0.35">
      <c r="A281" s="1" t="s">
        <v>312</v>
      </c>
      <c r="B281" s="1" t="str">
        <f t="shared" si="20"/>
        <v>Female</v>
      </c>
      <c r="C281" s="1" t="s">
        <v>43</v>
      </c>
      <c r="D281" s="1" t="str">
        <f t="shared" si="21"/>
        <v>No</v>
      </c>
      <c r="E281" s="1" t="s">
        <v>22</v>
      </c>
      <c r="F281" s="1">
        <v>1</v>
      </c>
      <c r="G281" s="1" t="s">
        <v>25</v>
      </c>
      <c r="H281" s="1" t="str">
        <f t="shared" si="22"/>
        <v>No</v>
      </c>
      <c r="I281" s="1" t="s">
        <v>18</v>
      </c>
      <c r="J281" s="1">
        <v>14938</v>
      </c>
      <c r="K281" s="1">
        <v>1378</v>
      </c>
      <c r="L281" s="1">
        <v>257</v>
      </c>
      <c r="M281" s="1">
        <f t="shared" si="23"/>
        <v>120</v>
      </c>
      <c r="N281" s="1">
        <v>120</v>
      </c>
      <c r="O281" s="1">
        <f t="shared" si="24"/>
        <v>1</v>
      </c>
      <c r="P281" s="1">
        <v>1</v>
      </c>
      <c r="Q281" s="1" t="s">
        <v>41</v>
      </c>
      <c r="R281" s="1" t="s">
        <v>26</v>
      </c>
    </row>
    <row r="282" spans="1:18" x14ac:dyDescent="0.35">
      <c r="A282" s="1" t="s">
        <v>313</v>
      </c>
      <c r="B282" s="1" t="str">
        <f t="shared" si="20"/>
        <v>Female</v>
      </c>
      <c r="C282" s="1" t="s">
        <v>28</v>
      </c>
      <c r="D282" s="1" t="str">
        <f t="shared" si="21"/>
        <v>No</v>
      </c>
      <c r="E282" s="1" t="s">
        <v>22</v>
      </c>
      <c r="F282" s="1">
        <v>1</v>
      </c>
      <c r="G282" s="1" t="s">
        <v>17</v>
      </c>
      <c r="H282" s="1" t="str">
        <f t="shared" si="22"/>
        <v>No</v>
      </c>
      <c r="I282" s="1" t="s">
        <v>22</v>
      </c>
      <c r="J282" s="1">
        <v>6667</v>
      </c>
      <c r="K282" s="1">
        <v>3753</v>
      </c>
      <c r="L282" s="1">
        <v>499</v>
      </c>
      <c r="M282" s="1">
        <f t="shared" si="23"/>
        <v>360</v>
      </c>
      <c r="N282" s="1"/>
      <c r="O282" s="1">
        <f t="shared" si="24"/>
        <v>0</v>
      </c>
      <c r="P282" s="1">
        <v>0</v>
      </c>
      <c r="Q282" s="1" t="s">
        <v>19</v>
      </c>
      <c r="R282" s="1" t="s">
        <v>20</v>
      </c>
    </row>
    <row r="283" spans="1:18" x14ac:dyDescent="0.35">
      <c r="A283" s="1" t="s">
        <v>314</v>
      </c>
      <c r="B283" s="1" t="str">
        <f t="shared" si="20"/>
        <v>Male</v>
      </c>
      <c r="C283" s="1" t="s">
        <v>52</v>
      </c>
      <c r="D283" s="1" t="str">
        <f t="shared" si="21"/>
        <v>Yes</v>
      </c>
      <c r="E283" s="1" t="s">
        <v>24</v>
      </c>
      <c r="F283" s="1">
        <v>1</v>
      </c>
      <c r="G283" s="1" t="s">
        <v>17</v>
      </c>
      <c r="H283" s="1" t="str">
        <f t="shared" si="22"/>
        <v>No</v>
      </c>
      <c r="I283" s="1" t="s">
        <v>22</v>
      </c>
      <c r="J283" s="1">
        <v>6950</v>
      </c>
      <c r="K283" s="1">
        <v>8665</v>
      </c>
      <c r="L283" s="1">
        <v>199</v>
      </c>
      <c r="M283" s="1">
        <f t="shared" si="23"/>
        <v>360</v>
      </c>
      <c r="N283" s="1">
        <v>360</v>
      </c>
      <c r="O283" s="1">
        <f t="shared" si="24"/>
        <v>0</v>
      </c>
      <c r="P283" s="1">
        <v>0</v>
      </c>
      <c r="Q283" s="1" t="s">
        <v>30</v>
      </c>
      <c r="R283" s="1" t="s">
        <v>20</v>
      </c>
    </row>
    <row r="284" spans="1:18" x14ac:dyDescent="0.35">
      <c r="A284" s="1" t="s">
        <v>315</v>
      </c>
      <c r="B284" s="1" t="str">
        <f t="shared" si="20"/>
        <v>Male</v>
      </c>
      <c r="C284" s="1" t="s">
        <v>33</v>
      </c>
      <c r="D284" s="1" t="str">
        <f t="shared" si="21"/>
        <v>Yes</v>
      </c>
      <c r="E284" s="1" t="s">
        <v>29</v>
      </c>
      <c r="F284" s="1">
        <v>1</v>
      </c>
      <c r="G284" s="1" t="s">
        <v>25</v>
      </c>
      <c r="H284" s="1" t="str">
        <f t="shared" si="22"/>
        <v>No</v>
      </c>
      <c r="I284" s="1" t="s">
        <v>22</v>
      </c>
      <c r="J284" s="1">
        <v>18210</v>
      </c>
      <c r="K284" s="1">
        <v>6892</v>
      </c>
      <c r="L284" s="1">
        <v>161</v>
      </c>
      <c r="M284" s="1">
        <f t="shared" si="23"/>
        <v>180</v>
      </c>
      <c r="N284" s="1">
        <v>180</v>
      </c>
      <c r="O284" s="1">
        <f t="shared" si="24"/>
        <v>1</v>
      </c>
      <c r="P284" s="1">
        <v>1</v>
      </c>
      <c r="Q284" s="1" t="s">
        <v>30</v>
      </c>
      <c r="R284" s="1" t="s">
        <v>26</v>
      </c>
    </row>
    <row r="285" spans="1:18" x14ac:dyDescent="0.35">
      <c r="A285" s="1" t="s">
        <v>316</v>
      </c>
      <c r="B285" s="1" t="str">
        <f t="shared" si="20"/>
        <v>Female</v>
      </c>
      <c r="C285" s="1" t="s">
        <v>28</v>
      </c>
      <c r="D285" s="1" t="str">
        <f t="shared" si="21"/>
        <v>No</v>
      </c>
      <c r="E285" s="1" t="s">
        <v>22</v>
      </c>
      <c r="F285" s="1">
        <v>0</v>
      </c>
      <c r="G285" s="1" t="s">
        <v>25</v>
      </c>
      <c r="H285" s="1" t="str">
        <f t="shared" si="22"/>
        <v>No</v>
      </c>
      <c r="I285" s="1"/>
      <c r="J285" s="1">
        <v>1717</v>
      </c>
      <c r="K285" s="1">
        <v>1851</v>
      </c>
      <c r="L285" s="1">
        <v>250</v>
      </c>
      <c r="M285" s="1">
        <f t="shared" si="23"/>
        <v>180</v>
      </c>
      <c r="N285" s="1">
        <v>180</v>
      </c>
      <c r="O285" s="1">
        <f t="shared" si="24"/>
        <v>1</v>
      </c>
      <c r="P285" s="1">
        <v>1</v>
      </c>
      <c r="Q285" s="1" t="s">
        <v>41</v>
      </c>
      <c r="R285" s="1" t="s">
        <v>26</v>
      </c>
    </row>
    <row r="286" spans="1:18" x14ac:dyDescent="0.35">
      <c r="A286" s="1" t="s">
        <v>317</v>
      </c>
      <c r="B286" s="1" t="str">
        <f t="shared" si="20"/>
        <v>Male</v>
      </c>
      <c r="C286" s="1" t="s">
        <v>14</v>
      </c>
      <c r="D286" s="1" t="str">
        <f t="shared" si="21"/>
        <v>Yes</v>
      </c>
      <c r="E286" s="1" t="s">
        <v>24</v>
      </c>
      <c r="F286" s="1">
        <v>1</v>
      </c>
      <c r="G286" s="1" t="s">
        <v>17</v>
      </c>
      <c r="H286" s="1" t="str">
        <f t="shared" si="22"/>
        <v>No</v>
      </c>
      <c r="I286" s="1" t="s">
        <v>22</v>
      </c>
      <c r="J286" s="1">
        <v>14629</v>
      </c>
      <c r="K286" s="1">
        <v>6008</v>
      </c>
      <c r="L286" s="1">
        <v>261</v>
      </c>
      <c r="M286" s="1">
        <f t="shared" si="23"/>
        <v>120</v>
      </c>
      <c r="N286" s="1">
        <v>120</v>
      </c>
      <c r="O286" s="1">
        <f t="shared" si="24"/>
        <v>0</v>
      </c>
      <c r="P286" s="1"/>
      <c r="Q286" s="1" t="s">
        <v>30</v>
      </c>
      <c r="R286" s="1" t="s">
        <v>26</v>
      </c>
    </row>
    <row r="287" spans="1:18" x14ac:dyDescent="0.35">
      <c r="A287" s="1" t="s">
        <v>318</v>
      </c>
      <c r="B287" s="1" t="str">
        <f t="shared" si="20"/>
        <v>Unknown</v>
      </c>
      <c r="C287" s="1"/>
      <c r="D287" s="1" t="str">
        <f t="shared" si="21"/>
        <v>No</v>
      </c>
      <c r="E287" s="1" t="s">
        <v>18</v>
      </c>
      <c r="F287" s="1">
        <v>2</v>
      </c>
      <c r="G287" s="1" t="s">
        <v>17</v>
      </c>
      <c r="H287" s="1" t="str">
        <f t="shared" si="22"/>
        <v>No</v>
      </c>
      <c r="I287" s="1"/>
      <c r="J287" s="1">
        <v>3921</v>
      </c>
      <c r="K287" s="1">
        <v>3606</v>
      </c>
      <c r="L287" s="1">
        <v>517</v>
      </c>
      <c r="M287" s="1">
        <f t="shared" si="23"/>
        <v>180</v>
      </c>
      <c r="N287" s="1">
        <v>180</v>
      </c>
      <c r="O287" s="1">
        <f t="shared" si="24"/>
        <v>1</v>
      </c>
      <c r="P287" s="1">
        <v>1</v>
      </c>
      <c r="Q287" s="1" t="s">
        <v>19</v>
      </c>
      <c r="R287" s="1" t="s">
        <v>20</v>
      </c>
    </row>
    <row r="288" spans="1:18" x14ac:dyDescent="0.35">
      <c r="A288" s="1" t="s">
        <v>319</v>
      </c>
      <c r="B288" s="1" t="str">
        <f t="shared" si="20"/>
        <v>Female</v>
      </c>
      <c r="C288" s="1" t="s">
        <v>28</v>
      </c>
      <c r="D288" s="1" t="str">
        <f t="shared" si="21"/>
        <v>No</v>
      </c>
      <c r="E288" s="1" t="s">
        <v>18</v>
      </c>
      <c r="F288" s="1" t="s">
        <v>16</v>
      </c>
      <c r="G288" s="1" t="s">
        <v>17</v>
      </c>
      <c r="H288" s="1" t="str">
        <f t="shared" si="22"/>
        <v>Yes</v>
      </c>
      <c r="I288" s="1" t="s">
        <v>29</v>
      </c>
      <c r="J288" s="1">
        <v>6581</v>
      </c>
      <c r="K288" s="1">
        <v>9195</v>
      </c>
      <c r="L288" s="1">
        <v>425</v>
      </c>
      <c r="M288" s="1">
        <f t="shared" si="23"/>
        <v>120</v>
      </c>
      <c r="N288" s="1">
        <v>120</v>
      </c>
      <c r="O288" s="1">
        <f t="shared" si="24"/>
        <v>0</v>
      </c>
      <c r="P288" s="1">
        <v>0</v>
      </c>
      <c r="Q288" s="1" t="s">
        <v>41</v>
      </c>
      <c r="R288" s="1" t="s">
        <v>20</v>
      </c>
    </row>
    <row r="289" spans="1:18" x14ac:dyDescent="0.35">
      <c r="A289" s="1" t="s">
        <v>320</v>
      </c>
      <c r="B289" s="1" t="str">
        <f t="shared" si="20"/>
        <v>Unknown</v>
      </c>
      <c r="C289" s="1"/>
      <c r="D289" s="1" t="str">
        <f t="shared" si="21"/>
        <v>Yes</v>
      </c>
      <c r="E289" s="1" t="s">
        <v>24</v>
      </c>
      <c r="F289" s="1">
        <v>2</v>
      </c>
      <c r="G289" s="1" t="s">
        <v>25</v>
      </c>
      <c r="H289" s="1" t="str">
        <f t="shared" si="22"/>
        <v>Yes</v>
      </c>
      <c r="I289" s="1" t="s">
        <v>29</v>
      </c>
      <c r="J289" s="1">
        <v>6058</v>
      </c>
      <c r="K289" s="1">
        <v>5268</v>
      </c>
      <c r="L289" s="1">
        <v>52</v>
      </c>
      <c r="M289" s="1">
        <f t="shared" si="23"/>
        <v>120</v>
      </c>
      <c r="N289" s="1">
        <v>120</v>
      </c>
      <c r="O289" s="1">
        <f t="shared" si="24"/>
        <v>0</v>
      </c>
      <c r="P289" s="1">
        <v>0</v>
      </c>
      <c r="Q289" s="1" t="s">
        <v>19</v>
      </c>
      <c r="R289" s="1" t="s">
        <v>20</v>
      </c>
    </row>
    <row r="290" spans="1:18" x14ac:dyDescent="0.35">
      <c r="A290" s="1" t="s">
        <v>321</v>
      </c>
      <c r="B290" s="1" t="str">
        <f t="shared" si="20"/>
        <v>Unknown</v>
      </c>
      <c r="C290" s="1"/>
      <c r="D290" s="1" t="str">
        <f t="shared" si="21"/>
        <v>No</v>
      </c>
      <c r="E290" s="1"/>
      <c r="F290" s="1" t="s">
        <v>16</v>
      </c>
      <c r="G290" s="1" t="s">
        <v>25</v>
      </c>
      <c r="H290" s="1" t="str">
        <f t="shared" si="22"/>
        <v>No</v>
      </c>
      <c r="I290" s="1" t="s">
        <v>36</v>
      </c>
      <c r="J290" s="1">
        <v>11689</v>
      </c>
      <c r="K290" s="1">
        <v>385</v>
      </c>
      <c r="L290" s="1">
        <v>394</v>
      </c>
      <c r="M290" s="1">
        <f t="shared" si="23"/>
        <v>360</v>
      </c>
      <c r="N290" s="1"/>
      <c r="O290" s="1">
        <f t="shared" si="24"/>
        <v>0</v>
      </c>
      <c r="P290" s="1"/>
      <c r="Q290" s="1" t="s">
        <v>41</v>
      </c>
      <c r="R290" s="1" t="s">
        <v>20</v>
      </c>
    </row>
    <row r="291" spans="1:18" x14ac:dyDescent="0.35">
      <c r="A291" s="1" t="s">
        <v>322</v>
      </c>
      <c r="B291" s="1" t="str">
        <f t="shared" si="20"/>
        <v>Male</v>
      </c>
      <c r="C291" s="1" t="s">
        <v>52</v>
      </c>
      <c r="D291" s="1" t="str">
        <f t="shared" si="21"/>
        <v>Yes</v>
      </c>
      <c r="E291" s="1" t="s">
        <v>29</v>
      </c>
      <c r="F291" s="1">
        <v>0</v>
      </c>
      <c r="G291" s="1" t="s">
        <v>25</v>
      </c>
      <c r="H291" s="1" t="str">
        <f t="shared" si="22"/>
        <v>No</v>
      </c>
      <c r="I291" s="1" t="s">
        <v>22</v>
      </c>
      <c r="J291" s="1">
        <v>13245</v>
      </c>
      <c r="K291" s="1">
        <v>8599</v>
      </c>
      <c r="L291" s="1">
        <v>457</v>
      </c>
      <c r="M291" s="1">
        <f t="shared" si="23"/>
        <v>360</v>
      </c>
      <c r="N291" s="1"/>
      <c r="O291" s="1">
        <f t="shared" si="24"/>
        <v>0</v>
      </c>
      <c r="P291" s="1"/>
      <c r="Q291" s="1" t="s">
        <v>30</v>
      </c>
      <c r="R291" s="1" t="s">
        <v>26</v>
      </c>
    </row>
    <row r="292" spans="1:18" x14ac:dyDescent="0.35">
      <c r="A292" s="1" t="s">
        <v>323</v>
      </c>
      <c r="B292" s="1" t="str">
        <f t="shared" si="20"/>
        <v>Male</v>
      </c>
      <c r="C292" s="1" t="s">
        <v>14</v>
      </c>
      <c r="D292" s="1" t="str">
        <f t="shared" si="21"/>
        <v>Yes</v>
      </c>
      <c r="E292" s="1" t="s">
        <v>15</v>
      </c>
      <c r="F292" s="1">
        <v>2</v>
      </c>
      <c r="G292" s="1" t="s">
        <v>17</v>
      </c>
      <c r="H292" s="1" t="str">
        <f t="shared" si="22"/>
        <v>No</v>
      </c>
      <c r="I292" s="1"/>
      <c r="J292" s="1">
        <v>13105</v>
      </c>
      <c r="K292" s="1">
        <v>9226</v>
      </c>
      <c r="L292" s="1">
        <v>600</v>
      </c>
      <c r="M292" s="1">
        <f t="shared" si="23"/>
        <v>180</v>
      </c>
      <c r="N292" s="1">
        <v>180</v>
      </c>
      <c r="O292" s="1">
        <f t="shared" si="24"/>
        <v>1</v>
      </c>
      <c r="P292" s="1">
        <v>1</v>
      </c>
      <c r="Q292" s="1" t="s">
        <v>30</v>
      </c>
      <c r="R292" s="1" t="s">
        <v>26</v>
      </c>
    </row>
    <row r="293" spans="1:18" x14ac:dyDescent="0.35">
      <c r="A293" s="1" t="s">
        <v>324</v>
      </c>
      <c r="B293" s="1" t="str">
        <f t="shared" si="20"/>
        <v>Female</v>
      </c>
      <c r="C293" s="1" t="s">
        <v>43</v>
      </c>
      <c r="D293" s="1" t="str">
        <f t="shared" si="21"/>
        <v>No</v>
      </c>
      <c r="E293" s="1" t="s">
        <v>22</v>
      </c>
      <c r="F293" s="1">
        <v>2</v>
      </c>
      <c r="G293" s="1" t="s">
        <v>25</v>
      </c>
      <c r="H293" s="1" t="str">
        <f t="shared" si="22"/>
        <v>No</v>
      </c>
      <c r="I293" s="1" t="s">
        <v>36</v>
      </c>
      <c r="J293" s="1">
        <v>18158</v>
      </c>
      <c r="K293" s="1">
        <v>7530</v>
      </c>
      <c r="L293" s="1">
        <v>62</v>
      </c>
      <c r="M293" s="1">
        <f t="shared" si="23"/>
        <v>360</v>
      </c>
      <c r="N293" s="1">
        <v>360</v>
      </c>
      <c r="O293" s="1">
        <f t="shared" si="24"/>
        <v>1</v>
      </c>
      <c r="P293" s="1">
        <v>1</v>
      </c>
      <c r="Q293" s="1" t="s">
        <v>19</v>
      </c>
      <c r="R293" s="1" t="s">
        <v>26</v>
      </c>
    </row>
    <row r="294" spans="1:18" x14ac:dyDescent="0.35">
      <c r="A294" s="1" t="s">
        <v>325</v>
      </c>
      <c r="B294" s="1" t="str">
        <f t="shared" si="20"/>
        <v>Male</v>
      </c>
      <c r="C294" s="1" t="s">
        <v>14</v>
      </c>
      <c r="D294" s="1" t="str">
        <f t="shared" si="21"/>
        <v>Yes</v>
      </c>
      <c r="E294" s="1" t="s">
        <v>24</v>
      </c>
      <c r="F294" s="1">
        <v>2</v>
      </c>
      <c r="G294" s="1" t="s">
        <v>17</v>
      </c>
      <c r="H294" s="1" t="str">
        <f t="shared" si="22"/>
        <v>No</v>
      </c>
      <c r="I294" s="1"/>
      <c r="J294" s="1">
        <v>11615</v>
      </c>
      <c r="K294" s="1">
        <v>492</v>
      </c>
      <c r="L294" s="1">
        <v>148</v>
      </c>
      <c r="M294" s="1">
        <f t="shared" si="23"/>
        <v>360</v>
      </c>
      <c r="N294" s="1"/>
      <c r="O294" s="1">
        <f t="shared" si="24"/>
        <v>0</v>
      </c>
      <c r="P294" s="1">
        <v>0</v>
      </c>
      <c r="Q294" s="1" t="s">
        <v>41</v>
      </c>
      <c r="R294" s="1" t="s">
        <v>26</v>
      </c>
    </row>
    <row r="295" spans="1:18" x14ac:dyDescent="0.35">
      <c r="A295" s="1" t="s">
        <v>326</v>
      </c>
      <c r="B295" s="1" t="str">
        <f t="shared" si="20"/>
        <v>Male</v>
      </c>
      <c r="C295" s="1" t="s">
        <v>14</v>
      </c>
      <c r="D295" s="1" t="str">
        <f t="shared" si="21"/>
        <v>No</v>
      </c>
      <c r="E295" s="1"/>
      <c r="F295" s="1">
        <v>0</v>
      </c>
      <c r="G295" s="1" t="s">
        <v>25</v>
      </c>
      <c r="H295" s="1" t="str">
        <f t="shared" si="22"/>
        <v>Yes</v>
      </c>
      <c r="I295" s="1" t="s">
        <v>29</v>
      </c>
      <c r="J295" s="1">
        <v>4721</v>
      </c>
      <c r="K295" s="1">
        <v>9105</v>
      </c>
      <c r="L295" s="1">
        <v>523</v>
      </c>
      <c r="M295" s="1">
        <f t="shared" si="23"/>
        <v>360</v>
      </c>
      <c r="N295" s="1"/>
      <c r="O295" s="1">
        <f t="shared" si="24"/>
        <v>0</v>
      </c>
      <c r="P295" s="1"/>
      <c r="Q295" s="1" t="s">
        <v>30</v>
      </c>
      <c r="R295" s="1" t="s">
        <v>26</v>
      </c>
    </row>
    <row r="296" spans="1:18" x14ac:dyDescent="0.35">
      <c r="A296" s="1" t="s">
        <v>327</v>
      </c>
      <c r="B296" s="1" t="str">
        <f t="shared" si="20"/>
        <v>Female</v>
      </c>
      <c r="C296" s="1" t="s">
        <v>61</v>
      </c>
      <c r="D296" s="1" t="str">
        <f t="shared" si="21"/>
        <v>No</v>
      </c>
      <c r="E296" s="1"/>
      <c r="F296" s="1" t="s">
        <v>16</v>
      </c>
      <c r="G296" s="1" t="s">
        <v>25</v>
      </c>
      <c r="H296" s="1" t="str">
        <f t="shared" si="22"/>
        <v>Yes</v>
      </c>
      <c r="I296" s="1" t="s">
        <v>15</v>
      </c>
      <c r="J296" s="1">
        <v>19551</v>
      </c>
      <c r="K296" s="1">
        <v>6343</v>
      </c>
      <c r="L296" s="1">
        <v>180</v>
      </c>
      <c r="M296" s="1">
        <f t="shared" si="23"/>
        <v>360</v>
      </c>
      <c r="N296" s="1">
        <v>360</v>
      </c>
      <c r="O296" s="1">
        <f t="shared" si="24"/>
        <v>0</v>
      </c>
      <c r="P296" s="1">
        <v>0</v>
      </c>
      <c r="Q296" s="1" t="s">
        <v>19</v>
      </c>
      <c r="R296" s="1" t="s">
        <v>20</v>
      </c>
    </row>
    <row r="297" spans="1:18" x14ac:dyDescent="0.35">
      <c r="A297" s="1" t="s">
        <v>328</v>
      </c>
      <c r="B297" s="1" t="str">
        <f t="shared" si="20"/>
        <v>Unknown</v>
      </c>
      <c r="C297" s="1"/>
      <c r="D297" s="1" t="str">
        <f t="shared" si="21"/>
        <v>No</v>
      </c>
      <c r="E297" s="1"/>
      <c r="F297" s="1" t="s">
        <v>16</v>
      </c>
      <c r="G297" s="1" t="s">
        <v>25</v>
      </c>
      <c r="H297" s="1" t="str">
        <f t="shared" si="22"/>
        <v>No</v>
      </c>
      <c r="I297" s="1" t="s">
        <v>22</v>
      </c>
      <c r="J297" s="1">
        <v>7342</v>
      </c>
      <c r="K297" s="1">
        <v>3828</v>
      </c>
      <c r="L297" s="1">
        <v>362</v>
      </c>
      <c r="M297" s="1">
        <f t="shared" si="23"/>
        <v>360</v>
      </c>
      <c r="N297" s="1"/>
      <c r="O297" s="1">
        <f t="shared" si="24"/>
        <v>0</v>
      </c>
      <c r="P297" s="1">
        <v>0</v>
      </c>
      <c r="Q297" s="1" t="s">
        <v>41</v>
      </c>
      <c r="R297" s="1" t="s">
        <v>20</v>
      </c>
    </row>
    <row r="298" spans="1:18" x14ac:dyDescent="0.35">
      <c r="A298" s="1" t="s">
        <v>329</v>
      </c>
      <c r="B298" s="1" t="str">
        <f t="shared" si="20"/>
        <v>Unknown</v>
      </c>
      <c r="C298" s="1"/>
      <c r="D298" s="1" t="str">
        <f t="shared" si="21"/>
        <v>No</v>
      </c>
      <c r="E298" s="1" t="s">
        <v>36</v>
      </c>
      <c r="F298" s="1">
        <v>1</v>
      </c>
      <c r="G298" s="1" t="s">
        <v>25</v>
      </c>
      <c r="H298" s="1" t="str">
        <f t="shared" si="22"/>
        <v>No</v>
      </c>
      <c r="I298" s="1" t="s">
        <v>36</v>
      </c>
      <c r="J298" s="1">
        <v>18303</v>
      </c>
      <c r="K298" s="1">
        <v>9668</v>
      </c>
      <c r="L298" s="1">
        <v>173</v>
      </c>
      <c r="M298" s="1">
        <f t="shared" si="23"/>
        <v>120</v>
      </c>
      <c r="N298" s="1">
        <v>120</v>
      </c>
      <c r="O298" s="1">
        <f t="shared" si="24"/>
        <v>1</v>
      </c>
      <c r="P298" s="1">
        <v>1</v>
      </c>
      <c r="Q298" s="1" t="s">
        <v>30</v>
      </c>
      <c r="R298" s="1" t="s">
        <v>20</v>
      </c>
    </row>
    <row r="299" spans="1:18" x14ac:dyDescent="0.35">
      <c r="A299" s="1" t="s">
        <v>330</v>
      </c>
      <c r="B299" s="1" t="str">
        <f t="shared" si="20"/>
        <v>Unknown</v>
      </c>
      <c r="C299" s="1"/>
      <c r="D299" s="1" t="str">
        <f t="shared" si="21"/>
        <v>No</v>
      </c>
      <c r="E299" s="1" t="s">
        <v>22</v>
      </c>
      <c r="F299" s="1" t="s">
        <v>16</v>
      </c>
      <c r="G299" s="1" t="s">
        <v>17</v>
      </c>
      <c r="H299" s="1" t="str">
        <f t="shared" si="22"/>
        <v>No</v>
      </c>
      <c r="I299" s="1"/>
      <c r="J299" s="1">
        <v>4920</v>
      </c>
      <c r="K299" s="1">
        <v>6122</v>
      </c>
      <c r="L299" s="1">
        <v>123</v>
      </c>
      <c r="M299" s="1">
        <f t="shared" si="23"/>
        <v>360</v>
      </c>
      <c r="N299" s="1">
        <v>360</v>
      </c>
      <c r="O299" s="1">
        <f t="shared" si="24"/>
        <v>0</v>
      </c>
      <c r="P299" s="1"/>
      <c r="Q299" s="1" t="s">
        <v>30</v>
      </c>
      <c r="R299" s="1" t="s">
        <v>20</v>
      </c>
    </row>
    <row r="300" spans="1:18" x14ac:dyDescent="0.35">
      <c r="A300" s="1" t="s">
        <v>331</v>
      </c>
      <c r="B300" s="1" t="str">
        <f t="shared" si="20"/>
        <v>Unknown</v>
      </c>
      <c r="C300" s="1"/>
      <c r="D300" s="1" t="str">
        <f t="shared" si="21"/>
        <v>No</v>
      </c>
      <c r="E300" s="1" t="s">
        <v>36</v>
      </c>
      <c r="F300" s="1">
        <v>2</v>
      </c>
      <c r="G300" s="1" t="s">
        <v>25</v>
      </c>
      <c r="H300" s="1" t="str">
        <f t="shared" si="22"/>
        <v>No</v>
      </c>
      <c r="I300" s="1"/>
      <c r="J300" s="1">
        <v>1663</v>
      </c>
      <c r="K300" s="1">
        <v>1622</v>
      </c>
      <c r="L300" s="1">
        <v>95</v>
      </c>
      <c r="M300" s="1">
        <f t="shared" si="23"/>
        <v>360</v>
      </c>
      <c r="N300" s="1"/>
      <c r="O300" s="1">
        <f t="shared" si="24"/>
        <v>1</v>
      </c>
      <c r="P300" s="1">
        <v>1</v>
      </c>
      <c r="Q300" s="1" t="s">
        <v>41</v>
      </c>
      <c r="R300" s="1" t="s">
        <v>26</v>
      </c>
    </row>
    <row r="301" spans="1:18" x14ac:dyDescent="0.35">
      <c r="A301" s="1" t="s">
        <v>332</v>
      </c>
      <c r="B301" s="1" t="str">
        <f t="shared" si="20"/>
        <v>Male</v>
      </c>
      <c r="C301" s="1" t="s">
        <v>14</v>
      </c>
      <c r="D301" s="1" t="str">
        <f t="shared" si="21"/>
        <v>No</v>
      </c>
      <c r="E301" s="1"/>
      <c r="F301" s="1">
        <v>1</v>
      </c>
      <c r="G301" s="1" t="s">
        <v>25</v>
      </c>
      <c r="H301" s="1" t="str">
        <f t="shared" si="22"/>
        <v>No</v>
      </c>
      <c r="I301" s="1"/>
      <c r="J301" s="1">
        <v>1603</v>
      </c>
      <c r="K301" s="1">
        <v>1402</v>
      </c>
      <c r="L301" s="1">
        <v>370</v>
      </c>
      <c r="M301" s="1">
        <f t="shared" si="23"/>
        <v>360</v>
      </c>
      <c r="N301" s="1">
        <v>360</v>
      </c>
      <c r="O301" s="1">
        <f t="shared" si="24"/>
        <v>1</v>
      </c>
      <c r="P301" s="1">
        <v>1</v>
      </c>
      <c r="Q301" s="1" t="s">
        <v>30</v>
      </c>
      <c r="R301" s="1" t="s">
        <v>20</v>
      </c>
    </row>
    <row r="302" spans="1:18" x14ac:dyDescent="0.35">
      <c r="A302" s="1" t="s">
        <v>333</v>
      </c>
      <c r="B302" s="1" t="str">
        <f t="shared" si="20"/>
        <v>Unknown</v>
      </c>
      <c r="C302" s="1"/>
      <c r="D302" s="1" t="str">
        <f t="shared" si="21"/>
        <v>No</v>
      </c>
      <c r="E302" s="1"/>
      <c r="F302" s="1">
        <v>0</v>
      </c>
      <c r="G302" s="1" t="s">
        <v>17</v>
      </c>
      <c r="H302" s="1" t="str">
        <f t="shared" si="22"/>
        <v>Yes</v>
      </c>
      <c r="I302" s="1" t="s">
        <v>29</v>
      </c>
      <c r="J302" s="1">
        <v>14116</v>
      </c>
      <c r="K302" s="1">
        <v>8636</v>
      </c>
      <c r="L302" s="1">
        <v>260</v>
      </c>
      <c r="M302" s="1">
        <f t="shared" si="23"/>
        <v>180</v>
      </c>
      <c r="N302" s="1">
        <v>180</v>
      </c>
      <c r="O302" s="1">
        <f t="shared" si="24"/>
        <v>0</v>
      </c>
      <c r="P302" s="1"/>
      <c r="Q302" s="1" t="s">
        <v>30</v>
      </c>
      <c r="R302" s="1" t="s">
        <v>26</v>
      </c>
    </row>
    <row r="303" spans="1:18" x14ac:dyDescent="0.35">
      <c r="A303" s="1" t="s">
        <v>334</v>
      </c>
      <c r="B303" s="1" t="str">
        <f t="shared" si="20"/>
        <v>Unknown</v>
      </c>
      <c r="C303" s="1"/>
      <c r="D303" s="1" t="str">
        <f t="shared" si="21"/>
        <v>No</v>
      </c>
      <c r="E303" s="1" t="s">
        <v>22</v>
      </c>
      <c r="F303" s="1">
        <v>2</v>
      </c>
      <c r="G303" s="1" t="s">
        <v>17</v>
      </c>
      <c r="H303" s="1" t="str">
        <f t="shared" si="22"/>
        <v>Yes</v>
      </c>
      <c r="I303" s="1" t="s">
        <v>15</v>
      </c>
      <c r="J303" s="1">
        <v>16015</v>
      </c>
      <c r="K303" s="1">
        <v>6702</v>
      </c>
      <c r="L303" s="1">
        <v>421</v>
      </c>
      <c r="M303" s="1">
        <f t="shared" si="23"/>
        <v>180</v>
      </c>
      <c r="N303" s="1">
        <v>180</v>
      </c>
      <c r="O303" s="1">
        <f t="shared" si="24"/>
        <v>0</v>
      </c>
      <c r="P303" s="1"/>
      <c r="Q303" s="1" t="s">
        <v>41</v>
      </c>
      <c r="R303" s="1" t="s">
        <v>26</v>
      </c>
    </row>
    <row r="304" spans="1:18" x14ac:dyDescent="0.35">
      <c r="A304" s="1" t="s">
        <v>335</v>
      </c>
      <c r="B304" s="1" t="str">
        <f t="shared" si="20"/>
        <v>Unknown</v>
      </c>
      <c r="C304" s="1"/>
      <c r="D304" s="1" t="str">
        <f t="shared" si="21"/>
        <v>No</v>
      </c>
      <c r="E304" s="1" t="s">
        <v>22</v>
      </c>
      <c r="F304" s="1">
        <v>0</v>
      </c>
      <c r="G304" s="1" t="s">
        <v>17</v>
      </c>
      <c r="H304" s="1" t="str">
        <f t="shared" si="22"/>
        <v>No</v>
      </c>
      <c r="I304" s="1" t="s">
        <v>36</v>
      </c>
      <c r="J304" s="1">
        <v>11105</v>
      </c>
      <c r="K304" s="1">
        <v>9374</v>
      </c>
      <c r="L304" s="1">
        <v>681</v>
      </c>
      <c r="M304" s="1">
        <f t="shared" si="23"/>
        <v>180</v>
      </c>
      <c r="N304" s="1">
        <v>180</v>
      </c>
      <c r="O304" s="1">
        <f t="shared" si="24"/>
        <v>0</v>
      </c>
      <c r="P304" s="1"/>
      <c r="Q304" s="1" t="s">
        <v>30</v>
      </c>
      <c r="R304" s="1" t="s">
        <v>20</v>
      </c>
    </row>
    <row r="305" spans="1:18" x14ac:dyDescent="0.35">
      <c r="A305" s="1" t="s">
        <v>336</v>
      </c>
      <c r="B305" s="1" t="str">
        <f t="shared" si="20"/>
        <v>Female</v>
      </c>
      <c r="C305" s="1" t="s">
        <v>43</v>
      </c>
      <c r="D305" s="1" t="str">
        <f t="shared" si="21"/>
        <v>No</v>
      </c>
      <c r="E305" s="1" t="s">
        <v>36</v>
      </c>
      <c r="F305" s="1" t="s">
        <v>16</v>
      </c>
      <c r="G305" s="1" t="s">
        <v>25</v>
      </c>
      <c r="H305" s="1" t="str">
        <f t="shared" si="22"/>
        <v>Yes</v>
      </c>
      <c r="I305" s="1" t="s">
        <v>24</v>
      </c>
      <c r="J305" s="1">
        <v>13341</v>
      </c>
      <c r="K305" s="1">
        <v>7662</v>
      </c>
      <c r="L305" s="1">
        <v>461</v>
      </c>
      <c r="M305" s="1">
        <f t="shared" si="23"/>
        <v>360</v>
      </c>
      <c r="N305" s="1"/>
      <c r="O305" s="1">
        <f t="shared" si="24"/>
        <v>1</v>
      </c>
      <c r="P305" s="1">
        <v>1</v>
      </c>
      <c r="Q305" s="1" t="s">
        <v>19</v>
      </c>
      <c r="R305" s="1" t="s">
        <v>26</v>
      </c>
    </row>
    <row r="306" spans="1:18" x14ac:dyDescent="0.35">
      <c r="A306" s="1" t="s">
        <v>337</v>
      </c>
      <c r="B306" s="1" t="str">
        <f t="shared" si="20"/>
        <v>Female</v>
      </c>
      <c r="C306" s="1" t="s">
        <v>43</v>
      </c>
      <c r="D306" s="1" t="str">
        <f t="shared" si="21"/>
        <v>Yes</v>
      </c>
      <c r="E306" s="1" t="s">
        <v>24</v>
      </c>
      <c r="F306" s="1">
        <v>0</v>
      </c>
      <c r="G306" s="1" t="s">
        <v>25</v>
      </c>
      <c r="H306" s="1" t="str">
        <f t="shared" si="22"/>
        <v>Yes</v>
      </c>
      <c r="I306" s="1" t="s">
        <v>15</v>
      </c>
      <c r="J306" s="1">
        <v>7684</v>
      </c>
      <c r="K306" s="1">
        <v>1632</v>
      </c>
      <c r="L306" s="1">
        <v>186</v>
      </c>
      <c r="M306" s="1">
        <f t="shared" si="23"/>
        <v>180</v>
      </c>
      <c r="N306" s="1">
        <v>180</v>
      </c>
      <c r="O306" s="1">
        <f t="shared" si="24"/>
        <v>1</v>
      </c>
      <c r="P306" s="1">
        <v>1</v>
      </c>
      <c r="Q306" s="1" t="s">
        <v>41</v>
      </c>
      <c r="R306" s="1" t="s">
        <v>20</v>
      </c>
    </row>
    <row r="307" spans="1:18" x14ac:dyDescent="0.35">
      <c r="A307" s="1" t="s">
        <v>338</v>
      </c>
      <c r="B307" s="1" t="str">
        <f t="shared" si="20"/>
        <v>Female</v>
      </c>
      <c r="C307" s="1" t="s">
        <v>43</v>
      </c>
      <c r="D307" s="1" t="str">
        <f t="shared" si="21"/>
        <v>No</v>
      </c>
      <c r="E307" s="1"/>
      <c r="F307" s="1">
        <v>2</v>
      </c>
      <c r="G307" s="1" t="s">
        <v>17</v>
      </c>
      <c r="H307" s="1" t="str">
        <f t="shared" si="22"/>
        <v>No</v>
      </c>
      <c r="I307" s="1" t="s">
        <v>18</v>
      </c>
      <c r="J307" s="1">
        <v>9404</v>
      </c>
      <c r="K307" s="1">
        <v>5215</v>
      </c>
      <c r="L307" s="1">
        <v>76</v>
      </c>
      <c r="M307" s="1">
        <f t="shared" si="23"/>
        <v>120</v>
      </c>
      <c r="N307" s="1">
        <v>120</v>
      </c>
      <c r="O307" s="1">
        <f t="shared" si="24"/>
        <v>1</v>
      </c>
      <c r="P307" s="1">
        <v>1</v>
      </c>
      <c r="Q307" s="1" t="s">
        <v>30</v>
      </c>
      <c r="R307" s="1" t="s">
        <v>26</v>
      </c>
    </row>
    <row r="308" spans="1:18" x14ac:dyDescent="0.35">
      <c r="A308" s="1" t="s">
        <v>339</v>
      </c>
      <c r="B308" s="1" t="str">
        <f t="shared" si="20"/>
        <v>Female</v>
      </c>
      <c r="C308" s="1" t="s">
        <v>28</v>
      </c>
      <c r="D308" s="1" t="str">
        <f t="shared" si="21"/>
        <v>Yes</v>
      </c>
      <c r="E308" s="1" t="s">
        <v>29</v>
      </c>
      <c r="F308" s="1">
        <v>1</v>
      </c>
      <c r="G308" s="1" t="s">
        <v>17</v>
      </c>
      <c r="H308" s="1" t="str">
        <f t="shared" si="22"/>
        <v>Yes</v>
      </c>
      <c r="I308" s="1" t="s">
        <v>29</v>
      </c>
      <c r="J308" s="1">
        <v>6340</v>
      </c>
      <c r="K308" s="1">
        <v>2286</v>
      </c>
      <c r="L308" s="1">
        <v>252</v>
      </c>
      <c r="M308" s="1">
        <f t="shared" si="23"/>
        <v>360</v>
      </c>
      <c r="N308" s="1"/>
      <c r="O308" s="1">
        <f t="shared" si="24"/>
        <v>0</v>
      </c>
      <c r="P308" s="1"/>
      <c r="Q308" s="1" t="s">
        <v>41</v>
      </c>
      <c r="R308" s="1" t="s">
        <v>20</v>
      </c>
    </row>
    <row r="309" spans="1:18" x14ac:dyDescent="0.35">
      <c r="A309" s="1" t="s">
        <v>340</v>
      </c>
      <c r="B309" s="1" t="str">
        <f t="shared" si="20"/>
        <v>Female</v>
      </c>
      <c r="C309" s="1" t="s">
        <v>28</v>
      </c>
      <c r="D309" s="1" t="str">
        <f t="shared" si="21"/>
        <v>No</v>
      </c>
      <c r="E309" s="1" t="s">
        <v>36</v>
      </c>
      <c r="F309" s="1">
        <v>2</v>
      </c>
      <c r="G309" s="1" t="s">
        <v>17</v>
      </c>
      <c r="H309" s="1" t="str">
        <f t="shared" si="22"/>
        <v>Yes</v>
      </c>
      <c r="I309" s="1" t="s">
        <v>15</v>
      </c>
      <c r="J309" s="1">
        <v>2586</v>
      </c>
      <c r="K309" s="1">
        <v>1160</v>
      </c>
      <c r="L309" s="1">
        <v>199</v>
      </c>
      <c r="M309" s="1">
        <f t="shared" si="23"/>
        <v>180</v>
      </c>
      <c r="N309" s="1">
        <v>180</v>
      </c>
      <c r="O309" s="1">
        <f t="shared" si="24"/>
        <v>0</v>
      </c>
      <c r="P309" s="1"/>
      <c r="Q309" s="1" t="s">
        <v>30</v>
      </c>
      <c r="R309" s="1" t="s">
        <v>26</v>
      </c>
    </row>
    <row r="310" spans="1:18" x14ac:dyDescent="0.35">
      <c r="A310" s="1" t="s">
        <v>341</v>
      </c>
      <c r="B310" s="1" t="str">
        <f t="shared" si="20"/>
        <v>Male</v>
      </c>
      <c r="C310" s="1" t="s">
        <v>33</v>
      </c>
      <c r="D310" s="1" t="str">
        <f t="shared" si="21"/>
        <v>Yes</v>
      </c>
      <c r="E310" s="1" t="s">
        <v>29</v>
      </c>
      <c r="F310" s="1">
        <v>1</v>
      </c>
      <c r="G310" s="1" t="s">
        <v>17</v>
      </c>
      <c r="H310" s="1" t="str">
        <f t="shared" si="22"/>
        <v>Yes</v>
      </c>
      <c r="I310" s="1" t="s">
        <v>29</v>
      </c>
      <c r="J310" s="1">
        <v>14605</v>
      </c>
      <c r="K310" s="1">
        <v>3359</v>
      </c>
      <c r="L310" s="1">
        <v>441</v>
      </c>
      <c r="M310" s="1">
        <f t="shared" si="23"/>
        <v>360</v>
      </c>
      <c r="N310" s="1">
        <v>360</v>
      </c>
      <c r="O310" s="1">
        <f t="shared" si="24"/>
        <v>1</v>
      </c>
      <c r="P310" s="1">
        <v>1</v>
      </c>
      <c r="Q310" s="1" t="s">
        <v>30</v>
      </c>
      <c r="R310" s="1" t="s">
        <v>20</v>
      </c>
    </row>
    <row r="311" spans="1:18" x14ac:dyDescent="0.35">
      <c r="A311" s="1" t="s">
        <v>342</v>
      </c>
      <c r="B311" s="1" t="str">
        <f t="shared" si="20"/>
        <v>Unknown</v>
      </c>
      <c r="C311" s="1"/>
      <c r="D311" s="1" t="str">
        <f t="shared" si="21"/>
        <v>Yes</v>
      </c>
      <c r="E311" s="1" t="s">
        <v>29</v>
      </c>
      <c r="F311" s="1">
        <v>1</v>
      </c>
      <c r="G311" s="1" t="s">
        <v>25</v>
      </c>
      <c r="H311" s="1" t="str">
        <f t="shared" si="22"/>
        <v>No</v>
      </c>
      <c r="I311" s="1" t="s">
        <v>36</v>
      </c>
      <c r="J311" s="1">
        <v>15796</v>
      </c>
      <c r="K311" s="1">
        <v>9758</v>
      </c>
      <c r="L311" s="1">
        <v>205</v>
      </c>
      <c r="M311" s="1">
        <f t="shared" si="23"/>
        <v>360</v>
      </c>
      <c r="N311" s="1"/>
      <c r="O311" s="1">
        <f t="shared" si="24"/>
        <v>1</v>
      </c>
      <c r="P311" s="1">
        <v>1</v>
      </c>
      <c r="Q311" s="1" t="s">
        <v>19</v>
      </c>
      <c r="R311" s="1" t="s">
        <v>26</v>
      </c>
    </row>
    <row r="312" spans="1:18" x14ac:dyDescent="0.35">
      <c r="A312" s="1" t="s">
        <v>343</v>
      </c>
      <c r="B312" s="1" t="str">
        <f t="shared" si="20"/>
        <v>Unknown</v>
      </c>
      <c r="C312" s="1"/>
      <c r="D312" s="1" t="str">
        <f t="shared" si="21"/>
        <v>No</v>
      </c>
      <c r="E312" s="1"/>
      <c r="F312" s="1">
        <v>0</v>
      </c>
      <c r="G312" s="1" t="s">
        <v>25</v>
      </c>
      <c r="H312" s="1" t="str">
        <f t="shared" si="22"/>
        <v>No</v>
      </c>
      <c r="I312" s="1" t="s">
        <v>22</v>
      </c>
      <c r="J312" s="1">
        <v>9484</v>
      </c>
      <c r="K312" s="1">
        <v>1206</v>
      </c>
      <c r="L312" s="1">
        <v>217</v>
      </c>
      <c r="M312" s="1">
        <f t="shared" si="23"/>
        <v>360</v>
      </c>
      <c r="N312" s="1"/>
      <c r="O312" s="1">
        <f t="shared" si="24"/>
        <v>0</v>
      </c>
      <c r="P312" s="1"/>
      <c r="Q312" s="1" t="s">
        <v>19</v>
      </c>
      <c r="R312" s="1" t="s">
        <v>26</v>
      </c>
    </row>
    <row r="313" spans="1:18" x14ac:dyDescent="0.35">
      <c r="A313" s="1" t="s">
        <v>344</v>
      </c>
      <c r="B313" s="1" t="str">
        <f t="shared" si="20"/>
        <v>Unknown</v>
      </c>
      <c r="C313" s="1"/>
      <c r="D313" s="1" t="str">
        <f t="shared" si="21"/>
        <v>No</v>
      </c>
      <c r="E313" s="1"/>
      <c r="F313" s="1">
        <v>1</v>
      </c>
      <c r="G313" s="1" t="s">
        <v>17</v>
      </c>
      <c r="H313" s="1" t="str">
        <f t="shared" si="22"/>
        <v>No</v>
      </c>
      <c r="I313" s="1"/>
      <c r="J313" s="1">
        <v>1719</v>
      </c>
      <c r="K313" s="1">
        <v>6491</v>
      </c>
      <c r="L313" s="1">
        <v>74</v>
      </c>
      <c r="M313" s="1">
        <f t="shared" si="23"/>
        <v>180</v>
      </c>
      <c r="N313" s="1">
        <v>180</v>
      </c>
      <c r="O313" s="1">
        <f t="shared" si="24"/>
        <v>0</v>
      </c>
      <c r="P313" s="1">
        <v>0</v>
      </c>
      <c r="Q313" s="1" t="s">
        <v>19</v>
      </c>
      <c r="R313" s="1" t="s">
        <v>20</v>
      </c>
    </row>
    <row r="314" spans="1:18" x14ac:dyDescent="0.35">
      <c r="A314" s="1" t="s">
        <v>345</v>
      </c>
      <c r="B314" s="1" t="str">
        <f t="shared" si="20"/>
        <v>Female</v>
      </c>
      <c r="C314" s="1" t="s">
        <v>43</v>
      </c>
      <c r="D314" s="1" t="str">
        <f t="shared" si="21"/>
        <v>Yes</v>
      </c>
      <c r="E314" s="1" t="s">
        <v>15</v>
      </c>
      <c r="F314" s="1">
        <v>2</v>
      </c>
      <c r="G314" s="1" t="s">
        <v>25</v>
      </c>
      <c r="H314" s="1" t="str">
        <f t="shared" si="22"/>
        <v>No</v>
      </c>
      <c r="I314" s="1" t="s">
        <v>22</v>
      </c>
      <c r="J314" s="1">
        <v>13431</v>
      </c>
      <c r="K314" s="1">
        <v>9290</v>
      </c>
      <c r="L314" s="1">
        <v>109</v>
      </c>
      <c r="M314" s="1">
        <f t="shared" si="23"/>
        <v>180</v>
      </c>
      <c r="N314" s="1">
        <v>180</v>
      </c>
      <c r="O314" s="1">
        <f t="shared" si="24"/>
        <v>1</v>
      </c>
      <c r="P314" s="1">
        <v>1</v>
      </c>
      <c r="Q314" s="1" t="s">
        <v>19</v>
      </c>
      <c r="R314" s="1" t="s">
        <v>20</v>
      </c>
    </row>
    <row r="315" spans="1:18" x14ac:dyDescent="0.35">
      <c r="A315" s="1" t="s">
        <v>346</v>
      </c>
      <c r="B315" s="1" t="str">
        <f t="shared" si="20"/>
        <v>Male</v>
      </c>
      <c r="C315" s="1" t="s">
        <v>52</v>
      </c>
      <c r="D315" s="1" t="str">
        <f t="shared" si="21"/>
        <v>No</v>
      </c>
      <c r="E315" s="1" t="s">
        <v>18</v>
      </c>
      <c r="F315" s="1">
        <v>0</v>
      </c>
      <c r="G315" s="1" t="s">
        <v>25</v>
      </c>
      <c r="H315" s="1" t="str">
        <f t="shared" si="22"/>
        <v>Yes</v>
      </c>
      <c r="I315" s="1" t="s">
        <v>29</v>
      </c>
      <c r="J315" s="1">
        <v>4514</v>
      </c>
      <c r="K315" s="1">
        <v>2012</v>
      </c>
      <c r="L315" s="1">
        <v>271</v>
      </c>
      <c r="M315" s="1">
        <f t="shared" si="23"/>
        <v>360</v>
      </c>
      <c r="N315" s="1"/>
      <c r="O315" s="1">
        <f t="shared" si="24"/>
        <v>0</v>
      </c>
      <c r="P315" s="1"/>
      <c r="Q315" s="1" t="s">
        <v>19</v>
      </c>
      <c r="R315" s="1" t="s">
        <v>20</v>
      </c>
    </row>
    <row r="316" spans="1:18" x14ac:dyDescent="0.35">
      <c r="A316" s="1" t="s">
        <v>347</v>
      </c>
      <c r="B316" s="1" t="str">
        <f t="shared" si="20"/>
        <v>Unknown</v>
      </c>
      <c r="C316" s="1"/>
      <c r="D316" s="1" t="str">
        <f t="shared" si="21"/>
        <v>No</v>
      </c>
      <c r="E316" s="1"/>
      <c r="F316" s="1" t="s">
        <v>16</v>
      </c>
      <c r="G316" s="1" t="s">
        <v>17</v>
      </c>
      <c r="H316" s="1" t="str">
        <f t="shared" si="22"/>
        <v>No</v>
      </c>
      <c r="I316" s="1" t="s">
        <v>18</v>
      </c>
      <c r="J316" s="1">
        <v>14016</v>
      </c>
      <c r="K316" s="1">
        <v>1251</v>
      </c>
      <c r="L316" s="1">
        <v>418</v>
      </c>
      <c r="M316" s="1">
        <f t="shared" si="23"/>
        <v>360</v>
      </c>
      <c r="N316" s="1">
        <v>360</v>
      </c>
      <c r="O316" s="1">
        <f t="shared" si="24"/>
        <v>1</v>
      </c>
      <c r="P316" s="1">
        <v>1</v>
      </c>
      <c r="Q316" s="1" t="s">
        <v>41</v>
      </c>
      <c r="R316" s="1" t="s">
        <v>26</v>
      </c>
    </row>
    <row r="317" spans="1:18" x14ac:dyDescent="0.35">
      <c r="A317" s="1" t="s">
        <v>348</v>
      </c>
      <c r="B317" s="1" t="str">
        <f t="shared" si="20"/>
        <v>Unknown</v>
      </c>
      <c r="C317" s="1"/>
      <c r="D317" s="1" t="str">
        <f t="shared" si="21"/>
        <v>No</v>
      </c>
      <c r="E317" s="1" t="s">
        <v>22</v>
      </c>
      <c r="F317" s="1" t="s">
        <v>16</v>
      </c>
      <c r="G317" s="1" t="s">
        <v>17</v>
      </c>
      <c r="H317" s="1" t="str">
        <f t="shared" si="22"/>
        <v>No</v>
      </c>
      <c r="I317" s="1"/>
      <c r="J317" s="1">
        <v>4992</v>
      </c>
      <c r="K317" s="1">
        <v>6482</v>
      </c>
      <c r="L317" s="1">
        <v>86</v>
      </c>
      <c r="M317" s="1">
        <f t="shared" si="23"/>
        <v>360</v>
      </c>
      <c r="N317" s="1"/>
      <c r="O317" s="1">
        <f t="shared" si="24"/>
        <v>0</v>
      </c>
      <c r="P317" s="1">
        <v>0</v>
      </c>
      <c r="Q317" s="1" t="s">
        <v>41</v>
      </c>
      <c r="R317" s="1" t="s">
        <v>26</v>
      </c>
    </row>
    <row r="318" spans="1:18" x14ac:dyDescent="0.35">
      <c r="A318" s="1" t="s">
        <v>349</v>
      </c>
      <c r="B318" s="1" t="str">
        <f t="shared" si="20"/>
        <v>Male</v>
      </c>
      <c r="C318" s="1" t="s">
        <v>14</v>
      </c>
      <c r="D318" s="1" t="str">
        <f t="shared" si="21"/>
        <v>No</v>
      </c>
      <c r="E318" s="1" t="s">
        <v>22</v>
      </c>
      <c r="F318" s="1" t="s">
        <v>16</v>
      </c>
      <c r="G318" s="1" t="s">
        <v>25</v>
      </c>
      <c r="H318" s="1" t="str">
        <f t="shared" si="22"/>
        <v>No</v>
      </c>
      <c r="I318" s="1"/>
      <c r="J318" s="1">
        <v>2344</v>
      </c>
      <c r="K318" s="1">
        <v>4274</v>
      </c>
      <c r="L318" s="1">
        <v>364</v>
      </c>
      <c r="M318" s="1">
        <f t="shared" si="23"/>
        <v>360</v>
      </c>
      <c r="N318" s="1">
        <v>360</v>
      </c>
      <c r="O318" s="1">
        <f t="shared" si="24"/>
        <v>0</v>
      </c>
      <c r="P318" s="1"/>
      <c r="Q318" s="1" t="s">
        <v>19</v>
      </c>
      <c r="R318" s="1" t="s">
        <v>26</v>
      </c>
    </row>
    <row r="319" spans="1:18" x14ac:dyDescent="0.35">
      <c r="A319" s="1" t="s">
        <v>350</v>
      </c>
      <c r="B319" s="1" t="str">
        <f t="shared" si="20"/>
        <v>Unknown</v>
      </c>
      <c r="C319" s="1"/>
      <c r="D319" s="1" t="str">
        <f t="shared" si="21"/>
        <v>No</v>
      </c>
      <c r="E319" s="1"/>
      <c r="F319" s="1">
        <v>1</v>
      </c>
      <c r="G319" s="1" t="s">
        <v>25</v>
      </c>
      <c r="H319" s="1" t="str">
        <f t="shared" si="22"/>
        <v>No</v>
      </c>
      <c r="I319" s="1"/>
      <c r="J319" s="1">
        <v>14902</v>
      </c>
      <c r="K319" s="1">
        <v>7673</v>
      </c>
      <c r="L319" s="1">
        <v>253</v>
      </c>
      <c r="M319" s="1">
        <f t="shared" si="23"/>
        <v>180</v>
      </c>
      <c r="N319" s="1">
        <v>180</v>
      </c>
      <c r="O319" s="1">
        <f t="shared" si="24"/>
        <v>0</v>
      </c>
      <c r="P319" s="1"/>
      <c r="Q319" s="1" t="s">
        <v>19</v>
      </c>
      <c r="R319" s="1" t="s">
        <v>26</v>
      </c>
    </row>
    <row r="320" spans="1:18" x14ac:dyDescent="0.35">
      <c r="A320" s="1" t="s">
        <v>351</v>
      </c>
      <c r="B320" s="1" t="str">
        <f t="shared" si="20"/>
        <v>Unknown</v>
      </c>
      <c r="C320" s="1"/>
      <c r="D320" s="1" t="str">
        <f t="shared" si="21"/>
        <v>No</v>
      </c>
      <c r="E320" s="1" t="s">
        <v>36</v>
      </c>
      <c r="F320" s="1">
        <v>2</v>
      </c>
      <c r="G320" s="1" t="s">
        <v>17</v>
      </c>
      <c r="H320" s="1" t="str">
        <f t="shared" si="22"/>
        <v>No</v>
      </c>
      <c r="I320" s="1" t="s">
        <v>22</v>
      </c>
      <c r="J320" s="1">
        <v>8667</v>
      </c>
      <c r="K320" s="1">
        <v>2912</v>
      </c>
      <c r="L320" s="1">
        <v>572</v>
      </c>
      <c r="M320" s="1">
        <f t="shared" si="23"/>
        <v>120</v>
      </c>
      <c r="N320" s="1">
        <v>120</v>
      </c>
      <c r="O320" s="1">
        <f t="shared" si="24"/>
        <v>1</v>
      </c>
      <c r="P320" s="1">
        <v>1</v>
      </c>
      <c r="Q320" s="1" t="s">
        <v>30</v>
      </c>
      <c r="R320" s="1" t="s">
        <v>20</v>
      </c>
    </row>
    <row r="321" spans="1:18" x14ac:dyDescent="0.35">
      <c r="A321" s="1" t="s">
        <v>352</v>
      </c>
      <c r="B321" s="1" t="str">
        <f t="shared" si="20"/>
        <v>Female</v>
      </c>
      <c r="C321" s="1" t="s">
        <v>43</v>
      </c>
      <c r="D321" s="1" t="str">
        <f t="shared" si="21"/>
        <v>Yes</v>
      </c>
      <c r="E321" s="1" t="s">
        <v>24</v>
      </c>
      <c r="F321" s="1" t="s">
        <v>16</v>
      </c>
      <c r="G321" s="1" t="s">
        <v>25</v>
      </c>
      <c r="H321" s="1" t="str">
        <f t="shared" si="22"/>
        <v>No</v>
      </c>
      <c r="I321" s="1"/>
      <c r="J321" s="1">
        <v>11592</v>
      </c>
      <c r="K321" s="1">
        <v>873</v>
      </c>
      <c r="L321" s="1">
        <v>325</v>
      </c>
      <c r="M321" s="1">
        <f t="shared" si="23"/>
        <v>120</v>
      </c>
      <c r="N321" s="1">
        <v>120</v>
      </c>
      <c r="O321" s="1">
        <f t="shared" si="24"/>
        <v>0</v>
      </c>
      <c r="P321" s="1"/>
      <c r="Q321" s="1" t="s">
        <v>41</v>
      </c>
      <c r="R321" s="1" t="s">
        <v>26</v>
      </c>
    </row>
    <row r="322" spans="1:18" x14ac:dyDescent="0.35">
      <c r="A322" s="1" t="s">
        <v>353</v>
      </c>
      <c r="B322" s="1" t="str">
        <f t="shared" ref="B322:B385" si="25">IF(ISBLANK(C322),"Unknown", IF(LOWER(TRIM(C322))="male","Male","Female"))</f>
        <v>Male</v>
      </c>
      <c r="C322" s="1" t="s">
        <v>33</v>
      </c>
      <c r="D322" s="1" t="str">
        <f t="shared" ref="D322:D385" si="26">IF(ISBLANK(E322),"No",PROPER(TRIM(E322)))</f>
        <v>No</v>
      </c>
      <c r="E322" s="1"/>
      <c r="F322" s="1">
        <v>2</v>
      </c>
      <c r="G322" s="1" t="s">
        <v>17</v>
      </c>
      <c r="H322" s="1" t="str">
        <f t="shared" ref="H322:H385" si="27">IF(ISBLANK(I322),"No",PROPER(TRIM(I322)))</f>
        <v>No</v>
      </c>
      <c r="I322" s="1" t="s">
        <v>18</v>
      </c>
      <c r="J322" s="1">
        <v>12714</v>
      </c>
      <c r="K322" s="1">
        <v>2682</v>
      </c>
      <c r="L322" s="1">
        <v>383</v>
      </c>
      <c r="M322" s="1">
        <f t="shared" ref="M322:M385" si="28">IF(ISBLANK(N322),360,N322)</f>
        <v>120</v>
      </c>
      <c r="N322" s="1">
        <v>120</v>
      </c>
      <c r="O322" s="1">
        <f t="shared" ref="O322:O385" si="29">IF(ISBLANK(P322),0,P322)</f>
        <v>0</v>
      </c>
      <c r="P322" s="1"/>
      <c r="Q322" s="1" t="s">
        <v>19</v>
      </c>
      <c r="R322" s="1" t="s">
        <v>20</v>
      </c>
    </row>
    <row r="323" spans="1:18" x14ac:dyDescent="0.35">
      <c r="A323" s="1" t="s">
        <v>354</v>
      </c>
      <c r="B323" s="1" t="str">
        <f t="shared" si="25"/>
        <v>Unknown</v>
      </c>
      <c r="C323" s="1"/>
      <c r="D323" s="1" t="str">
        <f t="shared" si="26"/>
        <v>No</v>
      </c>
      <c r="E323" s="1"/>
      <c r="F323" s="1" t="s">
        <v>16</v>
      </c>
      <c r="G323" s="1" t="s">
        <v>25</v>
      </c>
      <c r="H323" s="1" t="str">
        <f t="shared" si="27"/>
        <v>Yes</v>
      </c>
      <c r="I323" s="1" t="s">
        <v>29</v>
      </c>
      <c r="J323" s="1">
        <v>2798</v>
      </c>
      <c r="K323" s="1">
        <v>3171</v>
      </c>
      <c r="L323" s="1">
        <v>509</v>
      </c>
      <c r="M323" s="1">
        <f t="shared" si="28"/>
        <v>180</v>
      </c>
      <c r="N323" s="1">
        <v>180</v>
      </c>
      <c r="O323" s="1">
        <f t="shared" si="29"/>
        <v>0</v>
      </c>
      <c r="P323" s="1">
        <v>0</v>
      </c>
      <c r="Q323" s="1" t="s">
        <v>30</v>
      </c>
      <c r="R323" s="1" t="s">
        <v>26</v>
      </c>
    </row>
    <row r="324" spans="1:18" x14ac:dyDescent="0.35">
      <c r="A324" s="1" t="s">
        <v>355</v>
      </c>
      <c r="B324" s="1" t="str">
        <f t="shared" si="25"/>
        <v>Unknown</v>
      </c>
      <c r="C324" s="1"/>
      <c r="D324" s="1" t="str">
        <f t="shared" si="26"/>
        <v>Yes</v>
      </c>
      <c r="E324" s="1" t="s">
        <v>29</v>
      </c>
      <c r="F324" s="1">
        <v>1</v>
      </c>
      <c r="G324" s="1" t="s">
        <v>25</v>
      </c>
      <c r="H324" s="1" t="str">
        <f t="shared" si="27"/>
        <v>Yes</v>
      </c>
      <c r="I324" s="1" t="s">
        <v>29</v>
      </c>
      <c r="J324" s="1">
        <v>19443</v>
      </c>
      <c r="K324" s="1">
        <v>323</v>
      </c>
      <c r="L324" s="1">
        <v>229</v>
      </c>
      <c r="M324" s="1">
        <f t="shared" si="28"/>
        <v>180</v>
      </c>
      <c r="N324" s="1">
        <v>180</v>
      </c>
      <c r="O324" s="1">
        <f t="shared" si="29"/>
        <v>0</v>
      </c>
      <c r="P324" s="1"/>
      <c r="Q324" s="1" t="s">
        <v>19</v>
      </c>
      <c r="R324" s="1" t="s">
        <v>26</v>
      </c>
    </row>
    <row r="325" spans="1:18" x14ac:dyDescent="0.35">
      <c r="A325" s="1" t="s">
        <v>356</v>
      </c>
      <c r="B325" s="1" t="str">
        <f t="shared" si="25"/>
        <v>Unknown</v>
      </c>
      <c r="C325" s="1"/>
      <c r="D325" s="1" t="str">
        <f t="shared" si="26"/>
        <v>No</v>
      </c>
      <c r="E325" s="1" t="s">
        <v>18</v>
      </c>
      <c r="F325" s="1" t="s">
        <v>16</v>
      </c>
      <c r="G325" s="1" t="s">
        <v>25</v>
      </c>
      <c r="H325" s="1" t="str">
        <f t="shared" si="27"/>
        <v>No</v>
      </c>
      <c r="I325" s="1"/>
      <c r="J325" s="1">
        <v>13895</v>
      </c>
      <c r="K325" s="1">
        <v>2806</v>
      </c>
      <c r="L325" s="1">
        <v>137</v>
      </c>
      <c r="M325" s="1">
        <f t="shared" si="28"/>
        <v>120</v>
      </c>
      <c r="N325" s="1">
        <v>120</v>
      </c>
      <c r="O325" s="1">
        <f t="shared" si="29"/>
        <v>0</v>
      </c>
      <c r="P325" s="1">
        <v>0</v>
      </c>
      <c r="Q325" s="1" t="s">
        <v>30</v>
      </c>
      <c r="R325" s="1" t="s">
        <v>26</v>
      </c>
    </row>
    <row r="326" spans="1:18" x14ac:dyDescent="0.35">
      <c r="A326" s="1" t="s">
        <v>357</v>
      </c>
      <c r="B326" s="1" t="str">
        <f t="shared" si="25"/>
        <v>Unknown</v>
      </c>
      <c r="C326" s="1"/>
      <c r="D326" s="1" t="str">
        <f t="shared" si="26"/>
        <v>Yes</v>
      </c>
      <c r="E326" s="1" t="s">
        <v>24</v>
      </c>
      <c r="F326" s="1" t="s">
        <v>16</v>
      </c>
      <c r="G326" s="1" t="s">
        <v>25</v>
      </c>
      <c r="H326" s="1" t="str">
        <f t="shared" si="27"/>
        <v>No</v>
      </c>
      <c r="I326" s="1"/>
      <c r="J326" s="1">
        <v>18012</v>
      </c>
      <c r="K326" s="1">
        <v>6789</v>
      </c>
      <c r="L326" s="1">
        <v>252</v>
      </c>
      <c r="M326" s="1">
        <f t="shared" si="28"/>
        <v>120</v>
      </c>
      <c r="N326" s="1">
        <v>120</v>
      </c>
      <c r="O326" s="1">
        <f t="shared" si="29"/>
        <v>1</v>
      </c>
      <c r="P326" s="1">
        <v>1</v>
      </c>
      <c r="Q326" s="1" t="s">
        <v>30</v>
      </c>
      <c r="R326" s="1" t="s">
        <v>26</v>
      </c>
    </row>
    <row r="327" spans="1:18" x14ac:dyDescent="0.35">
      <c r="A327" s="1" t="s">
        <v>358</v>
      </c>
      <c r="B327" s="1" t="str">
        <f t="shared" si="25"/>
        <v>Unknown</v>
      </c>
      <c r="C327" s="1"/>
      <c r="D327" s="1" t="str">
        <f t="shared" si="26"/>
        <v>No</v>
      </c>
      <c r="E327" s="1"/>
      <c r="F327" s="1">
        <v>0</v>
      </c>
      <c r="G327" s="1" t="s">
        <v>25</v>
      </c>
      <c r="H327" s="1" t="str">
        <f t="shared" si="27"/>
        <v>No</v>
      </c>
      <c r="I327" s="1"/>
      <c r="J327" s="1">
        <v>11259</v>
      </c>
      <c r="K327" s="1">
        <v>4266</v>
      </c>
      <c r="L327" s="1">
        <v>164</v>
      </c>
      <c r="M327" s="1">
        <f t="shared" si="28"/>
        <v>360</v>
      </c>
      <c r="N327" s="1"/>
      <c r="O327" s="1">
        <f t="shared" si="29"/>
        <v>0</v>
      </c>
      <c r="P327" s="1"/>
      <c r="Q327" s="1" t="s">
        <v>30</v>
      </c>
      <c r="R327" s="1" t="s">
        <v>20</v>
      </c>
    </row>
    <row r="328" spans="1:18" x14ac:dyDescent="0.35">
      <c r="A328" s="1" t="s">
        <v>359</v>
      </c>
      <c r="B328" s="1" t="str">
        <f t="shared" si="25"/>
        <v>Female</v>
      </c>
      <c r="C328" s="1" t="s">
        <v>43</v>
      </c>
      <c r="D328" s="1" t="str">
        <f t="shared" si="26"/>
        <v>No</v>
      </c>
      <c r="E328" s="1"/>
      <c r="F328" s="1">
        <v>0</v>
      </c>
      <c r="G328" s="1" t="s">
        <v>17</v>
      </c>
      <c r="H328" s="1" t="str">
        <f t="shared" si="27"/>
        <v>No</v>
      </c>
      <c r="I328" s="1" t="s">
        <v>18</v>
      </c>
      <c r="J328" s="1">
        <v>6761</v>
      </c>
      <c r="K328" s="1">
        <v>7584</v>
      </c>
      <c r="L328" s="1">
        <v>660</v>
      </c>
      <c r="M328" s="1">
        <f t="shared" si="28"/>
        <v>180</v>
      </c>
      <c r="N328" s="1">
        <v>180</v>
      </c>
      <c r="O328" s="1">
        <f t="shared" si="29"/>
        <v>0</v>
      </c>
      <c r="P328" s="1"/>
      <c r="Q328" s="1" t="s">
        <v>41</v>
      </c>
      <c r="R328" s="1" t="s">
        <v>20</v>
      </c>
    </row>
    <row r="329" spans="1:18" x14ac:dyDescent="0.35">
      <c r="A329" s="1" t="s">
        <v>360</v>
      </c>
      <c r="B329" s="1" t="str">
        <f t="shared" si="25"/>
        <v>Unknown</v>
      </c>
      <c r="C329" s="1"/>
      <c r="D329" s="1" t="str">
        <f t="shared" si="26"/>
        <v>Yes</v>
      </c>
      <c r="E329" s="1" t="s">
        <v>29</v>
      </c>
      <c r="F329" s="1">
        <v>1</v>
      </c>
      <c r="G329" s="1" t="s">
        <v>17</v>
      </c>
      <c r="H329" s="1" t="str">
        <f t="shared" si="27"/>
        <v>No</v>
      </c>
      <c r="I329" s="1" t="s">
        <v>18</v>
      </c>
      <c r="J329" s="1">
        <v>10644</v>
      </c>
      <c r="K329" s="1">
        <v>9684</v>
      </c>
      <c r="L329" s="1">
        <v>680</v>
      </c>
      <c r="M329" s="1">
        <f t="shared" si="28"/>
        <v>180</v>
      </c>
      <c r="N329" s="1">
        <v>180</v>
      </c>
      <c r="O329" s="1">
        <f t="shared" si="29"/>
        <v>0</v>
      </c>
      <c r="P329" s="1"/>
      <c r="Q329" s="1" t="s">
        <v>41</v>
      </c>
      <c r="R329" s="1" t="s">
        <v>26</v>
      </c>
    </row>
    <row r="330" spans="1:18" x14ac:dyDescent="0.35">
      <c r="A330" s="1" t="s">
        <v>361</v>
      </c>
      <c r="B330" s="1" t="str">
        <f t="shared" si="25"/>
        <v>Male</v>
      </c>
      <c r="C330" s="1" t="s">
        <v>33</v>
      </c>
      <c r="D330" s="1" t="str">
        <f t="shared" si="26"/>
        <v>No</v>
      </c>
      <c r="E330" s="1" t="s">
        <v>18</v>
      </c>
      <c r="F330" s="1">
        <v>2</v>
      </c>
      <c r="G330" s="1" t="s">
        <v>25</v>
      </c>
      <c r="H330" s="1" t="str">
        <f t="shared" si="27"/>
        <v>No</v>
      </c>
      <c r="I330" s="1"/>
      <c r="J330" s="1">
        <v>17652</v>
      </c>
      <c r="K330" s="1">
        <v>3635</v>
      </c>
      <c r="L330" s="1">
        <v>230</v>
      </c>
      <c r="M330" s="1">
        <f t="shared" si="28"/>
        <v>180</v>
      </c>
      <c r="N330" s="1">
        <v>180</v>
      </c>
      <c r="O330" s="1">
        <f t="shared" si="29"/>
        <v>0</v>
      </c>
      <c r="P330" s="1">
        <v>0</v>
      </c>
      <c r="Q330" s="1" t="s">
        <v>41</v>
      </c>
      <c r="R330" s="1" t="s">
        <v>20</v>
      </c>
    </row>
    <row r="331" spans="1:18" x14ac:dyDescent="0.35">
      <c r="A331" s="1" t="s">
        <v>362</v>
      </c>
      <c r="B331" s="1" t="str">
        <f t="shared" si="25"/>
        <v>Unknown</v>
      </c>
      <c r="C331" s="1"/>
      <c r="D331" s="1" t="str">
        <f t="shared" si="26"/>
        <v>No</v>
      </c>
      <c r="E331" s="1" t="s">
        <v>36</v>
      </c>
      <c r="F331" s="1">
        <v>1</v>
      </c>
      <c r="G331" s="1" t="s">
        <v>25</v>
      </c>
      <c r="H331" s="1" t="str">
        <f t="shared" si="27"/>
        <v>No</v>
      </c>
      <c r="I331" s="1"/>
      <c r="J331" s="1">
        <v>17954</v>
      </c>
      <c r="K331" s="1">
        <v>5053</v>
      </c>
      <c r="L331" s="1">
        <v>592</v>
      </c>
      <c r="M331" s="1">
        <f t="shared" si="28"/>
        <v>180</v>
      </c>
      <c r="N331" s="1">
        <v>180</v>
      </c>
      <c r="O331" s="1">
        <f t="shared" si="29"/>
        <v>0</v>
      </c>
      <c r="P331" s="1"/>
      <c r="Q331" s="1" t="s">
        <v>30</v>
      </c>
      <c r="R331" s="1" t="s">
        <v>20</v>
      </c>
    </row>
    <row r="332" spans="1:18" x14ac:dyDescent="0.35">
      <c r="A332" s="1" t="s">
        <v>363</v>
      </c>
      <c r="B332" s="1" t="str">
        <f t="shared" si="25"/>
        <v>Unknown</v>
      </c>
      <c r="C332" s="1"/>
      <c r="D332" s="1" t="str">
        <f t="shared" si="26"/>
        <v>Yes</v>
      </c>
      <c r="E332" s="1" t="s">
        <v>15</v>
      </c>
      <c r="F332" s="1">
        <v>1</v>
      </c>
      <c r="G332" s="1" t="s">
        <v>17</v>
      </c>
      <c r="H332" s="1" t="str">
        <f t="shared" si="27"/>
        <v>No</v>
      </c>
      <c r="I332" s="1"/>
      <c r="J332" s="1">
        <v>4650</v>
      </c>
      <c r="K332" s="1">
        <v>9335</v>
      </c>
      <c r="L332" s="1">
        <v>616</v>
      </c>
      <c r="M332" s="1">
        <f t="shared" si="28"/>
        <v>360</v>
      </c>
      <c r="N332" s="1">
        <v>360</v>
      </c>
      <c r="O332" s="1">
        <f t="shared" si="29"/>
        <v>0</v>
      </c>
      <c r="P332" s="1">
        <v>0</v>
      </c>
      <c r="Q332" s="1" t="s">
        <v>41</v>
      </c>
      <c r="R332" s="1" t="s">
        <v>26</v>
      </c>
    </row>
    <row r="333" spans="1:18" x14ac:dyDescent="0.35">
      <c r="A333" s="1" t="s">
        <v>364</v>
      </c>
      <c r="B333" s="1" t="str">
        <f t="shared" si="25"/>
        <v>Female</v>
      </c>
      <c r="C333" s="1" t="s">
        <v>43</v>
      </c>
      <c r="D333" s="1" t="str">
        <f t="shared" si="26"/>
        <v>No</v>
      </c>
      <c r="E333" s="1"/>
      <c r="F333" s="1">
        <v>0</v>
      </c>
      <c r="G333" s="1" t="s">
        <v>17</v>
      </c>
      <c r="H333" s="1" t="str">
        <f t="shared" si="27"/>
        <v>Yes</v>
      </c>
      <c r="I333" s="1" t="s">
        <v>29</v>
      </c>
      <c r="J333" s="1">
        <v>17348</v>
      </c>
      <c r="K333" s="1">
        <v>6308</v>
      </c>
      <c r="L333" s="1">
        <v>489</v>
      </c>
      <c r="M333" s="1">
        <f t="shared" si="28"/>
        <v>360</v>
      </c>
      <c r="N333" s="1">
        <v>360</v>
      </c>
      <c r="O333" s="1">
        <f t="shared" si="29"/>
        <v>0</v>
      </c>
      <c r="P333" s="1"/>
      <c r="Q333" s="1" t="s">
        <v>30</v>
      </c>
      <c r="R333" s="1" t="s">
        <v>20</v>
      </c>
    </row>
    <row r="334" spans="1:18" x14ac:dyDescent="0.35">
      <c r="A334" s="1" t="s">
        <v>365</v>
      </c>
      <c r="B334" s="1" t="str">
        <f t="shared" si="25"/>
        <v>Unknown</v>
      </c>
      <c r="C334" s="1"/>
      <c r="D334" s="1" t="str">
        <f t="shared" si="26"/>
        <v>No</v>
      </c>
      <c r="E334" s="1" t="s">
        <v>36</v>
      </c>
      <c r="F334" s="1">
        <v>0</v>
      </c>
      <c r="G334" s="1" t="s">
        <v>17</v>
      </c>
      <c r="H334" s="1" t="str">
        <f t="shared" si="27"/>
        <v>Yes</v>
      </c>
      <c r="I334" s="1" t="s">
        <v>29</v>
      </c>
      <c r="J334" s="1">
        <v>14334</v>
      </c>
      <c r="K334" s="1">
        <v>5916</v>
      </c>
      <c r="L334" s="1">
        <v>618</v>
      </c>
      <c r="M334" s="1">
        <f t="shared" si="28"/>
        <v>120</v>
      </c>
      <c r="N334" s="1">
        <v>120</v>
      </c>
      <c r="O334" s="1">
        <f t="shared" si="29"/>
        <v>0</v>
      </c>
      <c r="P334" s="1"/>
      <c r="Q334" s="1" t="s">
        <v>19</v>
      </c>
      <c r="R334" s="1" t="s">
        <v>26</v>
      </c>
    </row>
    <row r="335" spans="1:18" x14ac:dyDescent="0.35">
      <c r="A335" s="1" t="s">
        <v>366</v>
      </c>
      <c r="B335" s="1" t="str">
        <f t="shared" si="25"/>
        <v>Unknown</v>
      </c>
      <c r="C335" s="1"/>
      <c r="D335" s="1" t="str">
        <f t="shared" si="26"/>
        <v>No</v>
      </c>
      <c r="E335" s="1" t="s">
        <v>22</v>
      </c>
      <c r="F335" s="1" t="s">
        <v>16</v>
      </c>
      <c r="G335" s="1" t="s">
        <v>25</v>
      </c>
      <c r="H335" s="1" t="str">
        <f t="shared" si="27"/>
        <v>Yes</v>
      </c>
      <c r="I335" s="1" t="s">
        <v>24</v>
      </c>
      <c r="J335" s="1">
        <v>17544</v>
      </c>
      <c r="K335" s="1">
        <v>5376</v>
      </c>
      <c r="L335" s="1">
        <v>649</v>
      </c>
      <c r="M335" s="1">
        <f t="shared" si="28"/>
        <v>120</v>
      </c>
      <c r="N335" s="1">
        <v>120</v>
      </c>
      <c r="O335" s="1">
        <f t="shared" si="29"/>
        <v>1</v>
      </c>
      <c r="P335" s="1">
        <v>1</v>
      </c>
      <c r="Q335" s="1" t="s">
        <v>41</v>
      </c>
      <c r="R335" s="1" t="s">
        <v>20</v>
      </c>
    </row>
    <row r="336" spans="1:18" x14ac:dyDescent="0.35">
      <c r="A336" s="1" t="s">
        <v>367</v>
      </c>
      <c r="B336" s="1" t="str">
        <f t="shared" si="25"/>
        <v>Unknown</v>
      </c>
      <c r="C336" s="1"/>
      <c r="D336" s="1" t="str">
        <f t="shared" si="26"/>
        <v>No</v>
      </c>
      <c r="E336" s="1"/>
      <c r="F336" s="1">
        <v>0</v>
      </c>
      <c r="G336" s="1" t="s">
        <v>25</v>
      </c>
      <c r="H336" s="1" t="str">
        <f t="shared" si="27"/>
        <v>Yes</v>
      </c>
      <c r="I336" s="1" t="s">
        <v>24</v>
      </c>
      <c r="J336" s="1">
        <v>4994</v>
      </c>
      <c r="K336" s="1">
        <v>4892</v>
      </c>
      <c r="L336" s="1">
        <v>656</v>
      </c>
      <c r="M336" s="1">
        <f t="shared" si="28"/>
        <v>360</v>
      </c>
      <c r="N336" s="1"/>
      <c r="O336" s="1">
        <f t="shared" si="29"/>
        <v>0</v>
      </c>
      <c r="P336" s="1">
        <v>0</v>
      </c>
      <c r="Q336" s="1" t="s">
        <v>41</v>
      </c>
      <c r="R336" s="1" t="s">
        <v>20</v>
      </c>
    </row>
    <row r="337" spans="1:18" x14ac:dyDescent="0.35">
      <c r="A337" s="1" t="s">
        <v>368</v>
      </c>
      <c r="B337" s="1" t="str">
        <f t="shared" si="25"/>
        <v>Female</v>
      </c>
      <c r="C337" s="1" t="s">
        <v>43</v>
      </c>
      <c r="D337" s="1" t="str">
        <f t="shared" si="26"/>
        <v>No</v>
      </c>
      <c r="E337" s="1"/>
      <c r="F337" s="1">
        <v>2</v>
      </c>
      <c r="G337" s="1" t="s">
        <v>25</v>
      </c>
      <c r="H337" s="1" t="str">
        <f t="shared" si="27"/>
        <v>No</v>
      </c>
      <c r="I337" s="1"/>
      <c r="J337" s="1">
        <v>18839</v>
      </c>
      <c r="K337" s="1">
        <v>8887</v>
      </c>
      <c r="L337" s="1">
        <v>565</v>
      </c>
      <c r="M337" s="1">
        <f t="shared" si="28"/>
        <v>120</v>
      </c>
      <c r="N337" s="1">
        <v>120</v>
      </c>
      <c r="O337" s="1">
        <f t="shared" si="29"/>
        <v>0</v>
      </c>
      <c r="P337" s="1">
        <v>0</v>
      </c>
      <c r="Q337" s="1" t="s">
        <v>19</v>
      </c>
      <c r="R337" s="1" t="s">
        <v>26</v>
      </c>
    </row>
    <row r="338" spans="1:18" x14ac:dyDescent="0.35">
      <c r="A338" s="1" t="s">
        <v>369</v>
      </c>
      <c r="B338" s="1" t="str">
        <f t="shared" si="25"/>
        <v>Male</v>
      </c>
      <c r="C338" s="1" t="s">
        <v>33</v>
      </c>
      <c r="D338" s="1" t="str">
        <f t="shared" si="26"/>
        <v>No</v>
      </c>
      <c r="E338" s="1" t="s">
        <v>18</v>
      </c>
      <c r="F338" s="1">
        <v>1</v>
      </c>
      <c r="G338" s="1" t="s">
        <v>17</v>
      </c>
      <c r="H338" s="1" t="str">
        <f t="shared" si="27"/>
        <v>No</v>
      </c>
      <c r="I338" s="1" t="s">
        <v>22</v>
      </c>
      <c r="J338" s="1">
        <v>6182</v>
      </c>
      <c r="K338" s="1">
        <v>646</v>
      </c>
      <c r="L338" s="1">
        <v>577</v>
      </c>
      <c r="M338" s="1">
        <f t="shared" si="28"/>
        <v>180</v>
      </c>
      <c r="N338" s="1">
        <v>180</v>
      </c>
      <c r="O338" s="1">
        <f t="shared" si="29"/>
        <v>1</v>
      </c>
      <c r="P338" s="1">
        <v>1</v>
      </c>
      <c r="Q338" s="1" t="s">
        <v>41</v>
      </c>
      <c r="R338" s="1" t="s">
        <v>20</v>
      </c>
    </row>
    <row r="339" spans="1:18" x14ac:dyDescent="0.35">
      <c r="A339" s="1" t="s">
        <v>370</v>
      </c>
      <c r="B339" s="1" t="str">
        <f t="shared" si="25"/>
        <v>Male</v>
      </c>
      <c r="C339" s="1" t="s">
        <v>52</v>
      </c>
      <c r="D339" s="1" t="str">
        <f t="shared" si="26"/>
        <v>No</v>
      </c>
      <c r="E339" s="1"/>
      <c r="F339" s="1">
        <v>0</v>
      </c>
      <c r="G339" s="1" t="s">
        <v>17</v>
      </c>
      <c r="H339" s="1" t="str">
        <f t="shared" si="27"/>
        <v>No</v>
      </c>
      <c r="I339" s="1"/>
      <c r="J339" s="1">
        <v>7392</v>
      </c>
      <c r="K339" s="1">
        <v>4580</v>
      </c>
      <c r="L339" s="1">
        <v>300</v>
      </c>
      <c r="M339" s="1">
        <f t="shared" si="28"/>
        <v>180</v>
      </c>
      <c r="N339" s="1">
        <v>180</v>
      </c>
      <c r="O339" s="1">
        <f t="shared" si="29"/>
        <v>1</v>
      </c>
      <c r="P339" s="1">
        <v>1</v>
      </c>
      <c r="Q339" s="1" t="s">
        <v>19</v>
      </c>
      <c r="R339" s="1" t="s">
        <v>20</v>
      </c>
    </row>
    <row r="340" spans="1:18" x14ac:dyDescent="0.35">
      <c r="A340" s="1" t="s">
        <v>371</v>
      </c>
      <c r="B340" s="1" t="str">
        <f t="shared" si="25"/>
        <v>Male</v>
      </c>
      <c r="C340" s="1" t="s">
        <v>52</v>
      </c>
      <c r="D340" s="1" t="str">
        <f t="shared" si="26"/>
        <v>No</v>
      </c>
      <c r="E340" s="1" t="s">
        <v>22</v>
      </c>
      <c r="F340" s="1">
        <v>1</v>
      </c>
      <c r="G340" s="1" t="s">
        <v>25</v>
      </c>
      <c r="H340" s="1" t="str">
        <f t="shared" si="27"/>
        <v>Yes</v>
      </c>
      <c r="I340" s="1" t="s">
        <v>15</v>
      </c>
      <c r="J340" s="1">
        <v>12464</v>
      </c>
      <c r="K340" s="1">
        <v>4959</v>
      </c>
      <c r="L340" s="1">
        <v>359</v>
      </c>
      <c r="M340" s="1">
        <f t="shared" si="28"/>
        <v>360</v>
      </c>
      <c r="N340" s="1">
        <v>360</v>
      </c>
      <c r="O340" s="1">
        <f t="shared" si="29"/>
        <v>1</v>
      </c>
      <c r="P340" s="1">
        <v>1</v>
      </c>
      <c r="Q340" s="1" t="s">
        <v>30</v>
      </c>
      <c r="R340" s="1" t="s">
        <v>20</v>
      </c>
    </row>
    <row r="341" spans="1:18" x14ac:dyDescent="0.35">
      <c r="A341" s="1" t="s">
        <v>372</v>
      </c>
      <c r="B341" s="1" t="str">
        <f t="shared" si="25"/>
        <v>Unknown</v>
      </c>
      <c r="C341" s="1"/>
      <c r="D341" s="1" t="str">
        <f t="shared" si="26"/>
        <v>No</v>
      </c>
      <c r="E341" s="1" t="s">
        <v>22</v>
      </c>
      <c r="F341" s="1">
        <v>0</v>
      </c>
      <c r="G341" s="1" t="s">
        <v>17</v>
      </c>
      <c r="H341" s="1" t="str">
        <f t="shared" si="27"/>
        <v>No</v>
      </c>
      <c r="I341" s="1" t="s">
        <v>22</v>
      </c>
      <c r="J341" s="1">
        <v>6164</v>
      </c>
      <c r="K341" s="1">
        <v>1706</v>
      </c>
      <c r="L341" s="1">
        <v>302</v>
      </c>
      <c r="M341" s="1">
        <f t="shared" si="28"/>
        <v>180</v>
      </c>
      <c r="N341" s="1">
        <v>180</v>
      </c>
      <c r="O341" s="1">
        <f t="shared" si="29"/>
        <v>0</v>
      </c>
      <c r="P341" s="1"/>
      <c r="Q341" s="1" t="s">
        <v>41</v>
      </c>
      <c r="R341" s="1" t="s">
        <v>26</v>
      </c>
    </row>
    <row r="342" spans="1:18" x14ac:dyDescent="0.35">
      <c r="A342" s="1" t="s">
        <v>373</v>
      </c>
      <c r="B342" s="1" t="str">
        <f t="shared" si="25"/>
        <v>Unknown</v>
      </c>
      <c r="C342" s="1"/>
      <c r="D342" s="1" t="str">
        <f t="shared" si="26"/>
        <v>Yes</v>
      </c>
      <c r="E342" s="1" t="s">
        <v>29</v>
      </c>
      <c r="F342" s="1">
        <v>2</v>
      </c>
      <c r="G342" s="1" t="s">
        <v>25</v>
      </c>
      <c r="H342" s="1" t="str">
        <f t="shared" si="27"/>
        <v>Yes</v>
      </c>
      <c r="I342" s="1" t="s">
        <v>29</v>
      </c>
      <c r="J342" s="1">
        <v>14216</v>
      </c>
      <c r="K342" s="1">
        <v>7361</v>
      </c>
      <c r="L342" s="1">
        <v>145</v>
      </c>
      <c r="M342" s="1">
        <f t="shared" si="28"/>
        <v>180</v>
      </c>
      <c r="N342" s="1">
        <v>180</v>
      </c>
      <c r="O342" s="1">
        <f t="shared" si="29"/>
        <v>0</v>
      </c>
      <c r="P342" s="1"/>
      <c r="Q342" s="1" t="s">
        <v>41</v>
      </c>
      <c r="R342" s="1" t="s">
        <v>20</v>
      </c>
    </row>
    <row r="343" spans="1:18" x14ac:dyDescent="0.35">
      <c r="A343" s="1" t="s">
        <v>374</v>
      </c>
      <c r="B343" s="1" t="str">
        <f t="shared" si="25"/>
        <v>Unknown</v>
      </c>
      <c r="C343" s="1"/>
      <c r="D343" s="1" t="str">
        <f t="shared" si="26"/>
        <v>No</v>
      </c>
      <c r="E343" s="1" t="s">
        <v>18</v>
      </c>
      <c r="F343" s="1">
        <v>0</v>
      </c>
      <c r="G343" s="1" t="s">
        <v>17</v>
      </c>
      <c r="H343" s="1" t="str">
        <f t="shared" si="27"/>
        <v>No</v>
      </c>
      <c r="I343" s="1" t="s">
        <v>36</v>
      </c>
      <c r="J343" s="1">
        <v>10730</v>
      </c>
      <c r="K343" s="1">
        <v>2110</v>
      </c>
      <c r="L343" s="1">
        <v>568</v>
      </c>
      <c r="M343" s="1">
        <f t="shared" si="28"/>
        <v>360</v>
      </c>
      <c r="N343" s="1">
        <v>360</v>
      </c>
      <c r="O343" s="1">
        <f t="shared" si="29"/>
        <v>1</v>
      </c>
      <c r="P343" s="1">
        <v>1</v>
      </c>
      <c r="Q343" s="1" t="s">
        <v>41</v>
      </c>
      <c r="R343" s="1" t="s">
        <v>20</v>
      </c>
    </row>
    <row r="344" spans="1:18" x14ac:dyDescent="0.35">
      <c r="A344" s="1" t="s">
        <v>375</v>
      </c>
      <c r="B344" s="1" t="str">
        <f t="shared" si="25"/>
        <v>Unknown</v>
      </c>
      <c r="C344" s="1"/>
      <c r="D344" s="1" t="str">
        <f t="shared" si="26"/>
        <v>Yes</v>
      </c>
      <c r="E344" s="1" t="s">
        <v>29</v>
      </c>
      <c r="F344" s="1">
        <v>0</v>
      </c>
      <c r="G344" s="1" t="s">
        <v>25</v>
      </c>
      <c r="H344" s="1" t="str">
        <f t="shared" si="27"/>
        <v>No</v>
      </c>
      <c r="I344" s="1" t="s">
        <v>18</v>
      </c>
      <c r="J344" s="1">
        <v>10727</v>
      </c>
      <c r="K344" s="1">
        <v>8996</v>
      </c>
      <c r="L344" s="1">
        <v>633</v>
      </c>
      <c r="M344" s="1">
        <f t="shared" si="28"/>
        <v>120</v>
      </c>
      <c r="N344" s="1">
        <v>120</v>
      </c>
      <c r="O344" s="1">
        <f t="shared" si="29"/>
        <v>0</v>
      </c>
      <c r="P344" s="1"/>
      <c r="Q344" s="1" t="s">
        <v>41</v>
      </c>
      <c r="R344" s="1" t="s">
        <v>20</v>
      </c>
    </row>
    <row r="345" spans="1:18" x14ac:dyDescent="0.35">
      <c r="A345" s="1" t="s">
        <v>376</v>
      </c>
      <c r="B345" s="1" t="str">
        <f t="shared" si="25"/>
        <v>Female</v>
      </c>
      <c r="C345" s="1" t="s">
        <v>43</v>
      </c>
      <c r="D345" s="1" t="str">
        <f t="shared" si="26"/>
        <v>Yes</v>
      </c>
      <c r="E345" s="1" t="s">
        <v>24</v>
      </c>
      <c r="F345" s="1">
        <v>2</v>
      </c>
      <c r="G345" s="1" t="s">
        <v>17</v>
      </c>
      <c r="H345" s="1" t="str">
        <f t="shared" si="27"/>
        <v>No</v>
      </c>
      <c r="I345" s="1" t="s">
        <v>22</v>
      </c>
      <c r="J345" s="1">
        <v>5214</v>
      </c>
      <c r="K345" s="1">
        <v>831</v>
      </c>
      <c r="L345" s="1">
        <v>560</v>
      </c>
      <c r="M345" s="1">
        <f t="shared" si="28"/>
        <v>180</v>
      </c>
      <c r="N345" s="1">
        <v>180</v>
      </c>
      <c r="O345" s="1">
        <f t="shared" si="29"/>
        <v>0</v>
      </c>
      <c r="P345" s="1"/>
      <c r="Q345" s="1" t="s">
        <v>41</v>
      </c>
      <c r="R345" s="1" t="s">
        <v>26</v>
      </c>
    </row>
    <row r="346" spans="1:18" x14ac:dyDescent="0.35">
      <c r="A346" s="1" t="s">
        <v>377</v>
      </c>
      <c r="B346" s="1" t="str">
        <f t="shared" si="25"/>
        <v>Female</v>
      </c>
      <c r="C346" s="1" t="s">
        <v>61</v>
      </c>
      <c r="D346" s="1" t="str">
        <f t="shared" si="26"/>
        <v>No</v>
      </c>
      <c r="E346" s="1"/>
      <c r="F346" s="1">
        <v>1</v>
      </c>
      <c r="G346" s="1" t="s">
        <v>17</v>
      </c>
      <c r="H346" s="1" t="str">
        <f t="shared" si="27"/>
        <v>No</v>
      </c>
      <c r="I346" s="1"/>
      <c r="J346" s="1">
        <v>19544</v>
      </c>
      <c r="K346" s="1">
        <v>299</v>
      </c>
      <c r="L346" s="1">
        <v>149</v>
      </c>
      <c r="M346" s="1">
        <f t="shared" si="28"/>
        <v>120</v>
      </c>
      <c r="N346" s="1">
        <v>120</v>
      </c>
      <c r="O346" s="1">
        <f t="shared" si="29"/>
        <v>1</v>
      </c>
      <c r="P346" s="1">
        <v>1</v>
      </c>
      <c r="Q346" s="1" t="s">
        <v>30</v>
      </c>
      <c r="R346" s="1" t="s">
        <v>20</v>
      </c>
    </row>
    <row r="347" spans="1:18" x14ac:dyDescent="0.35">
      <c r="A347" s="1" t="s">
        <v>378</v>
      </c>
      <c r="B347" s="1" t="str">
        <f t="shared" si="25"/>
        <v>Male</v>
      </c>
      <c r="C347" s="1" t="s">
        <v>14</v>
      </c>
      <c r="D347" s="1" t="str">
        <f t="shared" si="26"/>
        <v>No</v>
      </c>
      <c r="E347" s="1"/>
      <c r="F347" s="1">
        <v>0</v>
      </c>
      <c r="G347" s="1" t="s">
        <v>17</v>
      </c>
      <c r="H347" s="1" t="str">
        <f t="shared" si="27"/>
        <v>No</v>
      </c>
      <c r="I347" s="1"/>
      <c r="J347" s="1">
        <v>7140</v>
      </c>
      <c r="K347" s="1">
        <v>8499</v>
      </c>
      <c r="L347" s="1">
        <v>254</v>
      </c>
      <c r="M347" s="1">
        <f t="shared" si="28"/>
        <v>180</v>
      </c>
      <c r="N347" s="1">
        <v>180</v>
      </c>
      <c r="O347" s="1">
        <f t="shared" si="29"/>
        <v>1</v>
      </c>
      <c r="P347" s="1">
        <v>1</v>
      </c>
      <c r="Q347" s="1" t="s">
        <v>30</v>
      </c>
      <c r="R347" s="1" t="s">
        <v>20</v>
      </c>
    </row>
    <row r="348" spans="1:18" x14ac:dyDescent="0.35">
      <c r="A348" s="1" t="s">
        <v>379</v>
      </c>
      <c r="B348" s="1" t="str">
        <f t="shared" si="25"/>
        <v>Female</v>
      </c>
      <c r="C348" s="1" t="s">
        <v>43</v>
      </c>
      <c r="D348" s="1" t="str">
        <f t="shared" si="26"/>
        <v>No</v>
      </c>
      <c r="E348" s="1"/>
      <c r="F348" s="1" t="s">
        <v>16</v>
      </c>
      <c r="G348" s="1" t="s">
        <v>25</v>
      </c>
      <c r="H348" s="1" t="str">
        <f t="shared" si="27"/>
        <v>No</v>
      </c>
      <c r="I348" s="1" t="s">
        <v>22</v>
      </c>
      <c r="J348" s="1">
        <v>11373</v>
      </c>
      <c r="K348" s="1">
        <v>8395</v>
      </c>
      <c r="L348" s="1">
        <v>608</v>
      </c>
      <c r="M348" s="1">
        <f t="shared" si="28"/>
        <v>360</v>
      </c>
      <c r="N348" s="1"/>
      <c r="O348" s="1">
        <f t="shared" si="29"/>
        <v>0</v>
      </c>
      <c r="P348" s="1"/>
      <c r="Q348" s="1" t="s">
        <v>30</v>
      </c>
      <c r="R348" s="1" t="s">
        <v>26</v>
      </c>
    </row>
    <row r="349" spans="1:18" x14ac:dyDescent="0.35">
      <c r="A349" s="1" t="s">
        <v>380</v>
      </c>
      <c r="B349" s="1" t="str">
        <f t="shared" si="25"/>
        <v>Male</v>
      </c>
      <c r="C349" s="1" t="s">
        <v>33</v>
      </c>
      <c r="D349" s="1" t="str">
        <f t="shared" si="26"/>
        <v>No</v>
      </c>
      <c r="E349" s="1"/>
      <c r="F349" s="1" t="s">
        <v>16</v>
      </c>
      <c r="G349" s="1" t="s">
        <v>17</v>
      </c>
      <c r="H349" s="1" t="str">
        <f t="shared" si="27"/>
        <v>No</v>
      </c>
      <c r="I349" s="1" t="s">
        <v>22</v>
      </c>
      <c r="J349" s="1">
        <v>19100</v>
      </c>
      <c r="K349" s="1">
        <v>3457</v>
      </c>
      <c r="L349" s="1">
        <v>59</v>
      </c>
      <c r="M349" s="1">
        <f t="shared" si="28"/>
        <v>120</v>
      </c>
      <c r="N349" s="1">
        <v>120</v>
      </c>
      <c r="O349" s="1">
        <f t="shared" si="29"/>
        <v>1</v>
      </c>
      <c r="P349" s="1">
        <v>1</v>
      </c>
      <c r="Q349" s="1" t="s">
        <v>41</v>
      </c>
      <c r="R349" s="1" t="s">
        <v>20</v>
      </c>
    </row>
    <row r="350" spans="1:18" x14ac:dyDescent="0.35">
      <c r="A350" s="1" t="s">
        <v>381</v>
      </c>
      <c r="B350" s="1" t="str">
        <f t="shared" si="25"/>
        <v>Unknown</v>
      </c>
      <c r="C350" s="1"/>
      <c r="D350" s="1" t="str">
        <f t="shared" si="26"/>
        <v>Yes</v>
      </c>
      <c r="E350" s="1" t="s">
        <v>29</v>
      </c>
      <c r="F350" s="1" t="s">
        <v>16</v>
      </c>
      <c r="G350" s="1" t="s">
        <v>17</v>
      </c>
      <c r="H350" s="1" t="str">
        <f t="shared" si="27"/>
        <v>No</v>
      </c>
      <c r="I350" s="1" t="s">
        <v>18</v>
      </c>
      <c r="J350" s="1">
        <v>1795</v>
      </c>
      <c r="K350" s="1">
        <v>1867</v>
      </c>
      <c r="L350" s="1">
        <v>442</v>
      </c>
      <c r="M350" s="1">
        <f t="shared" si="28"/>
        <v>360</v>
      </c>
      <c r="N350" s="1">
        <v>360</v>
      </c>
      <c r="O350" s="1">
        <f t="shared" si="29"/>
        <v>0</v>
      </c>
      <c r="P350" s="1">
        <v>0</v>
      </c>
      <c r="Q350" s="1" t="s">
        <v>41</v>
      </c>
      <c r="R350" s="1" t="s">
        <v>26</v>
      </c>
    </row>
    <row r="351" spans="1:18" x14ac:dyDescent="0.35">
      <c r="A351" s="1" t="s">
        <v>382</v>
      </c>
      <c r="B351" s="1" t="str">
        <f t="shared" si="25"/>
        <v>Male</v>
      </c>
      <c r="C351" s="1" t="s">
        <v>33</v>
      </c>
      <c r="D351" s="1" t="str">
        <f t="shared" si="26"/>
        <v>Yes</v>
      </c>
      <c r="E351" s="1" t="s">
        <v>24</v>
      </c>
      <c r="F351" s="1">
        <v>0</v>
      </c>
      <c r="G351" s="1" t="s">
        <v>17</v>
      </c>
      <c r="H351" s="1" t="str">
        <f t="shared" si="27"/>
        <v>No</v>
      </c>
      <c r="I351" s="1" t="s">
        <v>22</v>
      </c>
      <c r="J351" s="1">
        <v>9642</v>
      </c>
      <c r="K351" s="1">
        <v>398</v>
      </c>
      <c r="L351" s="1">
        <v>219</v>
      </c>
      <c r="M351" s="1">
        <f t="shared" si="28"/>
        <v>360</v>
      </c>
      <c r="N351" s="1"/>
      <c r="O351" s="1">
        <f t="shared" si="29"/>
        <v>0</v>
      </c>
      <c r="P351" s="1"/>
      <c r="Q351" s="1" t="s">
        <v>30</v>
      </c>
      <c r="R351" s="1" t="s">
        <v>20</v>
      </c>
    </row>
    <row r="352" spans="1:18" x14ac:dyDescent="0.35">
      <c r="A352" s="1" t="s">
        <v>383</v>
      </c>
      <c r="B352" s="1" t="str">
        <f t="shared" si="25"/>
        <v>Male</v>
      </c>
      <c r="C352" s="1" t="s">
        <v>52</v>
      </c>
      <c r="D352" s="1" t="str">
        <f t="shared" si="26"/>
        <v>No</v>
      </c>
      <c r="E352" s="1"/>
      <c r="F352" s="1">
        <v>1</v>
      </c>
      <c r="G352" s="1" t="s">
        <v>25</v>
      </c>
      <c r="H352" s="1" t="str">
        <f t="shared" si="27"/>
        <v>No</v>
      </c>
      <c r="I352" s="1" t="s">
        <v>36</v>
      </c>
      <c r="J352" s="1">
        <v>4607</v>
      </c>
      <c r="K352" s="1">
        <v>403</v>
      </c>
      <c r="L352" s="1">
        <v>673</v>
      </c>
      <c r="M352" s="1">
        <f t="shared" si="28"/>
        <v>120</v>
      </c>
      <c r="N352" s="1">
        <v>120</v>
      </c>
      <c r="O352" s="1">
        <f t="shared" si="29"/>
        <v>1</v>
      </c>
      <c r="P352" s="1">
        <v>1</v>
      </c>
      <c r="Q352" s="1" t="s">
        <v>30</v>
      </c>
      <c r="R352" s="1" t="s">
        <v>20</v>
      </c>
    </row>
    <row r="353" spans="1:18" x14ac:dyDescent="0.35">
      <c r="A353" s="1" t="s">
        <v>384</v>
      </c>
      <c r="B353" s="1" t="str">
        <f t="shared" si="25"/>
        <v>Unknown</v>
      </c>
      <c r="C353" s="1"/>
      <c r="D353" s="1" t="str">
        <f t="shared" si="26"/>
        <v>No</v>
      </c>
      <c r="E353" s="1" t="s">
        <v>18</v>
      </c>
      <c r="F353" s="1">
        <v>0</v>
      </c>
      <c r="G353" s="1" t="s">
        <v>17</v>
      </c>
      <c r="H353" s="1" t="str">
        <f t="shared" si="27"/>
        <v>No</v>
      </c>
      <c r="I353" s="1"/>
      <c r="J353" s="1">
        <v>12516</v>
      </c>
      <c r="K353" s="1">
        <v>3339</v>
      </c>
      <c r="L353" s="1">
        <v>603</v>
      </c>
      <c r="M353" s="1">
        <f t="shared" si="28"/>
        <v>120</v>
      </c>
      <c r="N353" s="1">
        <v>120</v>
      </c>
      <c r="O353" s="1">
        <f t="shared" si="29"/>
        <v>0</v>
      </c>
      <c r="P353" s="1">
        <v>0</v>
      </c>
      <c r="Q353" s="1" t="s">
        <v>19</v>
      </c>
      <c r="R353" s="1" t="s">
        <v>26</v>
      </c>
    </row>
    <row r="354" spans="1:18" x14ac:dyDescent="0.35">
      <c r="A354" s="1" t="s">
        <v>385</v>
      </c>
      <c r="B354" s="1" t="str">
        <f t="shared" si="25"/>
        <v>Male</v>
      </c>
      <c r="C354" s="1" t="s">
        <v>52</v>
      </c>
      <c r="D354" s="1" t="str">
        <f t="shared" si="26"/>
        <v>No</v>
      </c>
      <c r="E354" s="1"/>
      <c r="F354" s="1">
        <v>0</v>
      </c>
      <c r="G354" s="1" t="s">
        <v>17</v>
      </c>
      <c r="H354" s="1" t="str">
        <f t="shared" si="27"/>
        <v>No</v>
      </c>
      <c r="I354" s="1" t="s">
        <v>18</v>
      </c>
      <c r="J354" s="1">
        <v>8984</v>
      </c>
      <c r="K354" s="1">
        <v>4217</v>
      </c>
      <c r="L354" s="1">
        <v>362</v>
      </c>
      <c r="M354" s="1">
        <f t="shared" si="28"/>
        <v>180</v>
      </c>
      <c r="N354" s="1">
        <v>180</v>
      </c>
      <c r="O354" s="1">
        <f t="shared" si="29"/>
        <v>0</v>
      </c>
      <c r="P354" s="1">
        <v>0</v>
      </c>
      <c r="Q354" s="1" t="s">
        <v>30</v>
      </c>
      <c r="R354" s="1" t="s">
        <v>26</v>
      </c>
    </row>
    <row r="355" spans="1:18" x14ac:dyDescent="0.35">
      <c r="A355" s="1" t="s">
        <v>386</v>
      </c>
      <c r="B355" s="1" t="str">
        <f t="shared" si="25"/>
        <v>Male</v>
      </c>
      <c r="C355" s="1" t="s">
        <v>33</v>
      </c>
      <c r="D355" s="1" t="str">
        <f t="shared" si="26"/>
        <v>No</v>
      </c>
      <c r="E355" s="1" t="s">
        <v>36</v>
      </c>
      <c r="F355" s="1">
        <v>0</v>
      </c>
      <c r="G355" s="1" t="s">
        <v>25</v>
      </c>
      <c r="H355" s="1" t="str">
        <f t="shared" si="27"/>
        <v>No</v>
      </c>
      <c r="I355" s="1"/>
      <c r="J355" s="1">
        <v>9354</v>
      </c>
      <c r="K355" s="1">
        <v>2273</v>
      </c>
      <c r="L355" s="1">
        <v>474</v>
      </c>
      <c r="M355" s="1">
        <f t="shared" si="28"/>
        <v>360</v>
      </c>
      <c r="N355" s="1"/>
      <c r="O355" s="1">
        <f t="shared" si="29"/>
        <v>0</v>
      </c>
      <c r="P355" s="1"/>
      <c r="Q355" s="1" t="s">
        <v>30</v>
      </c>
      <c r="R355" s="1" t="s">
        <v>20</v>
      </c>
    </row>
    <row r="356" spans="1:18" x14ac:dyDescent="0.35">
      <c r="A356" s="1" t="s">
        <v>387</v>
      </c>
      <c r="B356" s="1" t="str">
        <f t="shared" si="25"/>
        <v>Male</v>
      </c>
      <c r="C356" s="1" t="s">
        <v>14</v>
      </c>
      <c r="D356" s="1" t="str">
        <f t="shared" si="26"/>
        <v>Yes</v>
      </c>
      <c r="E356" s="1" t="s">
        <v>15</v>
      </c>
      <c r="F356" s="1">
        <v>2</v>
      </c>
      <c r="G356" s="1" t="s">
        <v>25</v>
      </c>
      <c r="H356" s="1" t="str">
        <f t="shared" si="27"/>
        <v>Yes</v>
      </c>
      <c r="I356" s="1" t="s">
        <v>29</v>
      </c>
      <c r="J356" s="1">
        <v>18353</v>
      </c>
      <c r="K356" s="1">
        <v>9385</v>
      </c>
      <c r="L356" s="1">
        <v>592</v>
      </c>
      <c r="M356" s="1">
        <f t="shared" si="28"/>
        <v>360</v>
      </c>
      <c r="N356" s="1">
        <v>360</v>
      </c>
      <c r="O356" s="1">
        <f t="shared" si="29"/>
        <v>0</v>
      </c>
      <c r="P356" s="1"/>
      <c r="Q356" s="1" t="s">
        <v>19</v>
      </c>
      <c r="R356" s="1" t="s">
        <v>26</v>
      </c>
    </row>
    <row r="357" spans="1:18" x14ac:dyDescent="0.35">
      <c r="A357" s="1" t="s">
        <v>388</v>
      </c>
      <c r="B357" s="1" t="str">
        <f t="shared" si="25"/>
        <v>Unknown</v>
      </c>
      <c r="C357" s="1"/>
      <c r="D357" s="1" t="str">
        <f t="shared" si="26"/>
        <v>Yes</v>
      </c>
      <c r="E357" s="1" t="s">
        <v>24</v>
      </c>
      <c r="F357" s="1" t="s">
        <v>16</v>
      </c>
      <c r="G357" s="1" t="s">
        <v>25</v>
      </c>
      <c r="H357" s="1" t="str">
        <f t="shared" si="27"/>
        <v>No</v>
      </c>
      <c r="I357" s="1"/>
      <c r="J357" s="1">
        <v>8844</v>
      </c>
      <c r="K357" s="1">
        <v>887</v>
      </c>
      <c r="L357" s="1">
        <v>650</v>
      </c>
      <c r="M357" s="1">
        <f t="shared" si="28"/>
        <v>120</v>
      </c>
      <c r="N357" s="1">
        <v>120</v>
      </c>
      <c r="O357" s="1">
        <f t="shared" si="29"/>
        <v>1</v>
      </c>
      <c r="P357" s="1">
        <v>1</v>
      </c>
      <c r="Q357" s="1" t="s">
        <v>19</v>
      </c>
      <c r="R357" s="1" t="s">
        <v>20</v>
      </c>
    </row>
    <row r="358" spans="1:18" x14ac:dyDescent="0.35">
      <c r="A358" s="1" t="s">
        <v>389</v>
      </c>
      <c r="B358" s="1" t="str">
        <f t="shared" si="25"/>
        <v>Male</v>
      </c>
      <c r="C358" s="1" t="s">
        <v>14</v>
      </c>
      <c r="D358" s="1" t="str">
        <f t="shared" si="26"/>
        <v>No</v>
      </c>
      <c r="E358" s="1" t="s">
        <v>22</v>
      </c>
      <c r="F358" s="1">
        <v>1</v>
      </c>
      <c r="G358" s="1" t="s">
        <v>17</v>
      </c>
      <c r="H358" s="1" t="str">
        <f t="shared" si="27"/>
        <v>No</v>
      </c>
      <c r="I358" s="1" t="s">
        <v>22</v>
      </c>
      <c r="J358" s="1">
        <v>15345</v>
      </c>
      <c r="K358" s="1">
        <v>1900</v>
      </c>
      <c r="L358" s="1">
        <v>78</v>
      </c>
      <c r="M358" s="1">
        <f t="shared" si="28"/>
        <v>360</v>
      </c>
      <c r="N358" s="1"/>
      <c r="O358" s="1">
        <f t="shared" si="29"/>
        <v>1</v>
      </c>
      <c r="P358" s="1">
        <v>1</v>
      </c>
      <c r="Q358" s="1" t="s">
        <v>41</v>
      </c>
      <c r="R358" s="1" t="s">
        <v>26</v>
      </c>
    </row>
    <row r="359" spans="1:18" x14ac:dyDescent="0.35">
      <c r="A359" s="1" t="s">
        <v>390</v>
      </c>
      <c r="B359" s="1" t="str">
        <f t="shared" si="25"/>
        <v>Female</v>
      </c>
      <c r="C359" s="1" t="s">
        <v>28</v>
      </c>
      <c r="D359" s="1" t="str">
        <f t="shared" si="26"/>
        <v>Yes</v>
      </c>
      <c r="E359" s="1" t="s">
        <v>15</v>
      </c>
      <c r="F359" s="1">
        <v>1</v>
      </c>
      <c r="G359" s="1" t="s">
        <v>25</v>
      </c>
      <c r="H359" s="1" t="str">
        <f t="shared" si="27"/>
        <v>Yes</v>
      </c>
      <c r="I359" s="1" t="s">
        <v>29</v>
      </c>
      <c r="J359" s="1">
        <v>10112</v>
      </c>
      <c r="K359" s="1">
        <v>4066</v>
      </c>
      <c r="L359" s="1">
        <v>118</v>
      </c>
      <c r="M359" s="1">
        <f t="shared" si="28"/>
        <v>180</v>
      </c>
      <c r="N359" s="1">
        <v>180</v>
      </c>
      <c r="O359" s="1">
        <f t="shared" si="29"/>
        <v>0</v>
      </c>
      <c r="P359" s="1">
        <v>0</v>
      </c>
      <c r="Q359" s="1" t="s">
        <v>41</v>
      </c>
      <c r="R359" s="1" t="s">
        <v>20</v>
      </c>
    </row>
    <row r="360" spans="1:18" x14ac:dyDescent="0.35">
      <c r="A360" s="1" t="s">
        <v>391</v>
      </c>
      <c r="B360" s="1" t="str">
        <f t="shared" si="25"/>
        <v>Male</v>
      </c>
      <c r="C360" s="1" t="s">
        <v>52</v>
      </c>
      <c r="D360" s="1" t="str">
        <f t="shared" si="26"/>
        <v>No</v>
      </c>
      <c r="E360" s="1" t="s">
        <v>18</v>
      </c>
      <c r="F360" s="1">
        <v>1</v>
      </c>
      <c r="G360" s="1" t="s">
        <v>17</v>
      </c>
      <c r="H360" s="1" t="str">
        <f t="shared" si="27"/>
        <v>Yes</v>
      </c>
      <c r="I360" s="1" t="s">
        <v>15</v>
      </c>
      <c r="J360" s="1">
        <v>6847</v>
      </c>
      <c r="K360" s="1">
        <v>6122</v>
      </c>
      <c r="L360" s="1">
        <v>292</v>
      </c>
      <c r="M360" s="1">
        <f t="shared" si="28"/>
        <v>360</v>
      </c>
      <c r="N360" s="1"/>
      <c r="O360" s="1">
        <f t="shared" si="29"/>
        <v>1</v>
      </c>
      <c r="P360" s="1">
        <v>1</v>
      </c>
      <c r="Q360" s="1" t="s">
        <v>30</v>
      </c>
      <c r="R360" s="1" t="s">
        <v>26</v>
      </c>
    </row>
    <row r="361" spans="1:18" x14ac:dyDescent="0.35">
      <c r="A361" s="1" t="s">
        <v>392</v>
      </c>
      <c r="B361" s="1" t="str">
        <f t="shared" si="25"/>
        <v>Unknown</v>
      </c>
      <c r="C361" s="1"/>
      <c r="D361" s="1" t="str">
        <f t="shared" si="26"/>
        <v>No</v>
      </c>
      <c r="E361" s="1" t="s">
        <v>36</v>
      </c>
      <c r="F361" s="1">
        <v>0</v>
      </c>
      <c r="G361" s="1" t="s">
        <v>25</v>
      </c>
      <c r="H361" s="1" t="str">
        <f t="shared" si="27"/>
        <v>No</v>
      </c>
      <c r="I361" s="1" t="s">
        <v>22</v>
      </c>
      <c r="J361" s="1">
        <v>12732</v>
      </c>
      <c r="K361" s="1">
        <v>1751</v>
      </c>
      <c r="L361" s="1">
        <v>671</v>
      </c>
      <c r="M361" s="1">
        <f t="shared" si="28"/>
        <v>120</v>
      </c>
      <c r="N361" s="1">
        <v>120</v>
      </c>
      <c r="O361" s="1">
        <f t="shared" si="29"/>
        <v>0</v>
      </c>
      <c r="P361" s="1">
        <v>0</v>
      </c>
      <c r="Q361" s="1" t="s">
        <v>41</v>
      </c>
      <c r="R361" s="1" t="s">
        <v>26</v>
      </c>
    </row>
    <row r="362" spans="1:18" x14ac:dyDescent="0.35">
      <c r="A362" s="1" t="s">
        <v>393</v>
      </c>
      <c r="B362" s="1" t="str">
        <f t="shared" si="25"/>
        <v>Female</v>
      </c>
      <c r="C362" s="1" t="s">
        <v>61</v>
      </c>
      <c r="D362" s="1" t="str">
        <f t="shared" si="26"/>
        <v>No</v>
      </c>
      <c r="E362" s="1"/>
      <c r="F362" s="1">
        <v>1</v>
      </c>
      <c r="G362" s="1" t="s">
        <v>25</v>
      </c>
      <c r="H362" s="1" t="str">
        <f t="shared" si="27"/>
        <v>Yes</v>
      </c>
      <c r="I362" s="1" t="s">
        <v>29</v>
      </c>
      <c r="J362" s="1">
        <v>19509</v>
      </c>
      <c r="K362" s="1">
        <v>9573</v>
      </c>
      <c r="L362" s="1">
        <v>624</v>
      </c>
      <c r="M362" s="1">
        <f t="shared" si="28"/>
        <v>360</v>
      </c>
      <c r="N362" s="1">
        <v>360</v>
      </c>
      <c r="O362" s="1">
        <f t="shared" si="29"/>
        <v>0</v>
      </c>
      <c r="P362" s="1"/>
      <c r="Q362" s="1" t="s">
        <v>41</v>
      </c>
      <c r="R362" s="1" t="s">
        <v>26</v>
      </c>
    </row>
    <row r="363" spans="1:18" x14ac:dyDescent="0.35">
      <c r="A363" s="1" t="s">
        <v>394</v>
      </c>
      <c r="B363" s="1" t="str">
        <f t="shared" si="25"/>
        <v>Unknown</v>
      </c>
      <c r="C363" s="1"/>
      <c r="D363" s="1" t="str">
        <f t="shared" si="26"/>
        <v>No</v>
      </c>
      <c r="E363" s="1"/>
      <c r="F363" s="1">
        <v>0</v>
      </c>
      <c r="G363" s="1" t="s">
        <v>17</v>
      </c>
      <c r="H363" s="1" t="str">
        <f t="shared" si="27"/>
        <v>No</v>
      </c>
      <c r="I363" s="1" t="s">
        <v>36</v>
      </c>
      <c r="J363" s="1">
        <v>17651</v>
      </c>
      <c r="K363" s="1">
        <v>781</v>
      </c>
      <c r="L363" s="1">
        <v>635</v>
      </c>
      <c r="M363" s="1">
        <f t="shared" si="28"/>
        <v>120</v>
      </c>
      <c r="N363" s="1">
        <v>120</v>
      </c>
      <c r="O363" s="1">
        <f t="shared" si="29"/>
        <v>0</v>
      </c>
      <c r="P363" s="1">
        <v>0</v>
      </c>
      <c r="Q363" s="1" t="s">
        <v>41</v>
      </c>
      <c r="R363" s="1" t="s">
        <v>26</v>
      </c>
    </row>
    <row r="364" spans="1:18" x14ac:dyDescent="0.35">
      <c r="A364" s="1" t="s">
        <v>395</v>
      </c>
      <c r="B364" s="1" t="str">
        <f t="shared" si="25"/>
        <v>Female</v>
      </c>
      <c r="C364" s="1" t="s">
        <v>43</v>
      </c>
      <c r="D364" s="1" t="str">
        <f t="shared" si="26"/>
        <v>No</v>
      </c>
      <c r="E364" s="1"/>
      <c r="F364" s="1">
        <v>1</v>
      </c>
      <c r="G364" s="1" t="s">
        <v>25</v>
      </c>
      <c r="H364" s="1" t="str">
        <f t="shared" si="27"/>
        <v>No</v>
      </c>
      <c r="I364" s="1"/>
      <c r="J364" s="1">
        <v>16912</v>
      </c>
      <c r="K364" s="1">
        <v>8336</v>
      </c>
      <c r="L364" s="1">
        <v>549</v>
      </c>
      <c r="M364" s="1">
        <f t="shared" si="28"/>
        <v>120</v>
      </c>
      <c r="N364" s="1">
        <v>120</v>
      </c>
      <c r="O364" s="1">
        <f t="shared" si="29"/>
        <v>1</v>
      </c>
      <c r="P364" s="1">
        <v>1</v>
      </c>
      <c r="Q364" s="1" t="s">
        <v>19</v>
      </c>
      <c r="R364" s="1" t="s">
        <v>20</v>
      </c>
    </row>
    <row r="365" spans="1:18" x14ac:dyDescent="0.35">
      <c r="A365" s="1" t="s">
        <v>396</v>
      </c>
      <c r="B365" s="1" t="str">
        <f t="shared" si="25"/>
        <v>Female</v>
      </c>
      <c r="C365" s="1" t="s">
        <v>61</v>
      </c>
      <c r="D365" s="1" t="str">
        <f t="shared" si="26"/>
        <v>No</v>
      </c>
      <c r="E365" s="1"/>
      <c r="F365" s="1">
        <v>2</v>
      </c>
      <c r="G365" s="1" t="s">
        <v>17</v>
      </c>
      <c r="H365" s="1" t="str">
        <f t="shared" si="27"/>
        <v>No</v>
      </c>
      <c r="I365" s="1"/>
      <c r="J365" s="1">
        <v>8085</v>
      </c>
      <c r="K365" s="1">
        <v>1969</v>
      </c>
      <c r="L365" s="1">
        <v>422</v>
      </c>
      <c r="M365" s="1">
        <f t="shared" si="28"/>
        <v>360</v>
      </c>
      <c r="N365" s="1">
        <v>360</v>
      </c>
      <c r="O365" s="1">
        <f t="shared" si="29"/>
        <v>0</v>
      </c>
      <c r="P365" s="1">
        <v>0</v>
      </c>
      <c r="Q365" s="1" t="s">
        <v>41</v>
      </c>
      <c r="R365" s="1" t="s">
        <v>26</v>
      </c>
    </row>
    <row r="366" spans="1:18" x14ac:dyDescent="0.35">
      <c r="A366" s="1" t="s">
        <v>397</v>
      </c>
      <c r="B366" s="1" t="str">
        <f t="shared" si="25"/>
        <v>Male</v>
      </c>
      <c r="C366" s="1" t="s">
        <v>33</v>
      </c>
      <c r="D366" s="1" t="str">
        <f t="shared" si="26"/>
        <v>No</v>
      </c>
      <c r="E366" s="1"/>
      <c r="F366" s="1" t="s">
        <v>16</v>
      </c>
      <c r="G366" s="1" t="s">
        <v>17</v>
      </c>
      <c r="H366" s="1" t="str">
        <f t="shared" si="27"/>
        <v>No</v>
      </c>
      <c r="I366" s="1" t="s">
        <v>36</v>
      </c>
      <c r="J366" s="1">
        <v>2093</v>
      </c>
      <c r="K366" s="1">
        <v>7536</v>
      </c>
      <c r="L366" s="1">
        <v>286</v>
      </c>
      <c r="M366" s="1">
        <f t="shared" si="28"/>
        <v>180</v>
      </c>
      <c r="N366" s="1">
        <v>180</v>
      </c>
      <c r="O366" s="1">
        <f t="shared" si="29"/>
        <v>0</v>
      </c>
      <c r="P366" s="1"/>
      <c r="Q366" s="1" t="s">
        <v>30</v>
      </c>
      <c r="R366" s="1" t="s">
        <v>26</v>
      </c>
    </row>
    <row r="367" spans="1:18" x14ac:dyDescent="0.35">
      <c r="A367" s="1" t="s">
        <v>398</v>
      </c>
      <c r="B367" s="1" t="str">
        <f t="shared" si="25"/>
        <v>Male</v>
      </c>
      <c r="C367" s="1" t="s">
        <v>14</v>
      </c>
      <c r="D367" s="1" t="str">
        <f t="shared" si="26"/>
        <v>No</v>
      </c>
      <c r="E367" s="1" t="s">
        <v>18</v>
      </c>
      <c r="F367" s="1">
        <v>2</v>
      </c>
      <c r="G367" s="1" t="s">
        <v>17</v>
      </c>
      <c r="H367" s="1" t="str">
        <f t="shared" si="27"/>
        <v>No</v>
      </c>
      <c r="I367" s="1" t="s">
        <v>22</v>
      </c>
      <c r="J367" s="1">
        <v>9924</v>
      </c>
      <c r="K367" s="1">
        <v>7700</v>
      </c>
      <c r="L367" s="1">
        <v>632</v>
      </c>
      <c r="M367" s="1">
        <f t="shared" si="28"/>
        <v>360</v>
      </c>
      <c r="N367" s="1">
        <v>360</v>
      </c>
      <c r="O367" s="1">
        <f t="shared" si="29"/>
        <v>1</v>
      </c>
      <c r="P367" s="1">
        <v>1</v>
      </c>
      <c r="Q367" s="1" t="s">
        <v>19</v>
      </c>
      <c r="R367" s="1" t="s">
        <v>20</v>
      </c>
    </row>
    <row r="368" spans="1:18" x14ac:dyDescent="0.35">
      <c r="A368" s="1" t="s">
        <v>399</v>
      </c>
      <c r="B368" s="1" t="str">
        <f t="shared" si="25"/>
        <v>Unknown</v>
      </c>
      <c r="C368" s="1"/>
      <c r="D368" s="1" t="str">
        <f t="shared" si="26"/>
        <v>No</v>
      </c>
      <c r="E368" s="1"/>
      <c r="F368" s="1">
        <v>1</v>
      </c>
      <c r="G368" s="1" t="s">
        <v>17</v>
      </c>
      <c r="H368" s="1" t="str">
        <f t="shared" si="27"/>
        <v>No</v>
      </c>
      <c r="I368" s="1"/>
      <c r="J368" s="1">
        <v>15736</v>
      </c>
      <c r="K368" s="1">
        <v>121</v>
      </c>
      <c r="L368" s="1">
        <v>442</v>
      </c>
      <c r="M368" s="1">
        <f t="shared" si="28"/>
        <v>360</v>
      </c>
      <c r="N368" s="1">
        <v>360</v>
      </c>
      <c r="O368" s="1">
        <f t="shared" si="29"/>
        <v>1</v>
      </c>
      <c r="P368" s="1">
        <v>1</v>
      </c>
      <c r="Q368" s="1" t="s">
        <v>30</v>
      </c>
      <c r="R368" s="1" t="s">
        <v>26</v>
      </c>
    </row>
    <row r="369" spans="1:18" x14ac:dyDescent="0.35">
      <c r="A369" s="1" t="s">
        <v>400</v>
      </c>
      <c r="B369" s="1" t="str">
        <f t="shared" si="25"/>
        <v>Female</v>
      </c>
      <c r="C369" s="1" t="s">
        <v>61</v>
      </c>
      <c r="D369" s="1" t="str">
        <f t="shared" si="26"/>
        <v>Yes</v>
      </c>
      <c r="E369" s="1" t="s">
        <v>29</v>
      </c>
      <c r="F369" s="1">
        <v>2</v>
      </c>
      <c r="G369" s="1" t="s">
        <v>17</v>
      </c>
      <c r="H369" s="1" t="str">
        <f t="shared" si="27"/>
        <v>Yes</v>
      </c>
      <c r="I369" s="1" t="s">
        <v>29</v>
      </c>
      <c r="J369" s="1">
        <v>11488</v>
      </c>
      <c r="K369" s="1">
        <v>1091</v>
      </c>
      <c r="L369" s="1">
        <v>623</v>
      </c>
      <c r="M369" s="1">
        <f t="shared" si="28"/>
        <v>180</v>
      </c>
      <c r="N369" s="1">
        <v>180</v>
      </c>
      <c r="O369" s="1">
        <f t="shared" si="29"/>
        <v>0</v>
      </c>
      <c r="P369" s="1"/>
      <c r="Q369" s="1" t="s">
        <v>30</v>
      </c>
      <c r="R369" s="1" t="s">
        <v>26</v>
      </c>
    </row>
    <row r="370" spans="1:18" x14ac:dyDescent="0.35">
      <c r="A370" s="1" t="s">
        <v>401</v>
      </c>
      <c r="B370" s="1" t="str">
        <f t="shared" si="25"/>
        <v>Male</v>
      </c>
      <c r="C370" s="1" t="s">
        <v>14</v>
      </c>
      <c r="D370" s="1" t="str">
        <f t="shared" si="26"/>
        <v>No</v>
      </c>
      <c r="E370" s="1" t="s">
        <v>22</v>
      </c>
      <c r="F370" s="1" t="s">
        <v>16</v>
      </c>
      <c r="G370" s="1" t="s">
        <v>17</v>
      </c>
      <c r="H370" s="1" t="str">
        <f t="shared" si="27"/>
        <v>No</v>
      </c>
      <c r="I370" s="1"/>
      <c r="J370" s="1">
        <v>6294</v>
      </c>
      <c r="K370" s="1">
        <v>2668</v>
      </c>
      <c r="L370" s="1">
        <v>628</v>
      </c>
      <c r="M370" s="1">
        <f t="shared" si="28"/>
        <v>120</v>
      </c>
      <c r="N370" s="1">
        <v>120</v>
      </c>
      <c r="O370" s="1">
        <f t="shared" si="29"/>
        <v>0</v>
      </c>
      <c r="P370" s="1"/>
      <c r="Q370" s="1" t="s">
        <v>30</v>
      </c>
      <c r="R370" s="1" t="s">
        <v>26</v>
      </c>
    </row>
    <row r="371" spans="1:18" x14ac:dyDescent="0.35">
      <c r="A371" s="1" t="s">
        <v>402</v>
      </c>
      <c r="B371" s="1" t="str">
        <f t="shared" si="25"/>
        <v>Male</v>
      </c>
      <c r="C371" s="1" t="s">
        <v>14</v>
      </c>
      <c r="D371" s="1" t="str">
        <f t="shared" si="26"/>
        <v>Yes</v>
      </c>
      <c r="E371" s="1" t="s">
        <v>29</v>
      </c>
      <c r="F371" s="1">
        <v>2</v>
      </c>
      <c r="G371" s="1" t="s">
        <v>25</v>
      </c>
      <c r="H371" s="1" t="str">
        <f t="shared" si="27"/>
        <v>No</v>
      </c>
      <c r="I371" s="1" t="s">
        <v>36</v>
      </c>
      <c r="J371" s="1">
        <v>2339</v>
      </c>
      <c r="K371" s="1">
        <v>6686</v>
      </c>
      <c r="L371" s="1">
        <v>473</v>
      </c>
      <c r="M371" s="1">
        <f t="shared" si="28"/>
        <v>120</v>
      </c>
      <c r="N371" s="1">
        <v>120</v>
      </c>
      <c r="O371" s="1">
        <f t="shared" si="29"/>
        <v>0</v>
      </c>
      <c r="P371" s="1">
        <v>0</v>
      </c>
      <c r="Q371" s="1" t="s">
        <v>30</v>
      </c>
      <c r="R371" s="1" t="s">
        <v>26</v>
      </c>
    </row>
    <row r="372" spans="1:18" x14ac:dyDescent="0.35">
      <c r="A372" s="1" t="s">
        <v>403</v>
      </c>
      <c r="B372" s="1" t="str">
        <f t="shared" si="25"/>
        <v>Unknown</v>
      </c>
      <c r="C372" s="1"/>
      <c r="D372" s="1" t="str">
        <f t="shared" si="26"/>
        <v>No</v>
      </c>
      <c r="E372" s="1"/>
      <c r="F372" s="1" t="s">
        <v>16</v>
      </c>
      <c r="G372" s="1" t="s">
        <v>17</v>
      </c>
      <c r="H372" s="1" t="str">
        <f t="shared" si="27"/>
        <v>Yes</v>
      </c>
      <c r="I372" s="1" t="s">
        <v>24</v>
      </c>
      <c r="J372" s="1">
        <v>19956</v>
      </c>
      <c r="K372" s="1">
        <v>7830</v>
      </c>
      <c r="L372" s="1">
        <v>603</v>
      </c>
      <c r="M372" s="1">
        <f t="shared" si="28"/>
        <v>360</v>
      </c>
      <c r="N372" s="1"/>
      <c r="O372" s="1">
        <f t="shared" si="29"/>
        <v>1</v>
      </c>
      <c r="P372" s="1">
        <v>1</v>
      </c>
      <c r="Q372" s="1" t="s">
        <v>30</v>
      </c>
      <c r="R372" s="1" t="s">
        <v>26</v>
      </c>
    </row>
    <row r="373" spans="1:18" x14ac:dyDescent="0.35">
      <c r="A373" s="1" t="s">
        <v>404</v>
      </c>
      <c r="B373" s="1" t="str">
        <f t="shared" si="25"/>
        <v>Male</v>
      </c>
      <c r="C373" s="1" t="s">
        <v>33</v>
      </c>
      <c r="D373" s="1" t="str">
        <f t="shared" si="26"/>
        <v>No</v>
      </c>
      <c r="E373" s="1"/>
      <c r="F373" s="1">
        <v>0</v>
      </c>
      <c r="G373" s="1" t="s">
        <v>25</v>
      </c>
      <c r="H373" s="1" t="str">
        <f t="shared" si="27"/>
        <v>Yes</v>
      </c>
      <c r="I373" s="1" t="s">
        <v>15</v>
      </c>
      <c r="J373" s="1">
        <v>5605</v>
      </c>
      <c r="K373" s="1">
        <v>3613</v>
      </c>
      <c r="L373" s="1">
        <v>675</v>
      </c>
      <c r="M373" s="1">
        <f t="shared" si="28"/>
        <v>360</v>
      </c>
      <c r="N373" s="1"/>
      <c r="O373" s="1">
        <f t="shared" si="29"/>
        <v>0</v>
      </c>
      <c r="P373" s="1"/>
      <c r="Q373" s="1" t="s">
        <v>19</v>
      </c>
      <c r="R373" s="1" t="s">
        <v>20</v>
      </c>
    </row>
    <row r="374" spans="1:18" x14ac:dyDescent="0.35">
      <c r="A374" s="1" t="s">
        <v>405</v>
      </c>
      <c r="B374" s="1" t="str">
        <f t="shared" si="25"/>
        <v>Male</v>
      </c>
      <c r="C374" s="1" t="s">
        <v>33</v>
      </c>
      <c r="D374" s="1" t="str">
        <f t="shared" si="26"/>
        <v>No</v>
      </c>
      <c r="E374" s="1"/>
      <c r="F374" s="1">
        <v>0</v>
      </c>
      <c r="G374" s="1" t="s">
        <v>17</v>
      </c>
      <c r="H374" s="1" t="str">
        <f t="shared" si="27"/>
        <v>Yes</v>
      </c>
      <c r="I374" s="1" t="s">
        <v>15</v>
      </c>
      <c r="J374" s="1">
        <v>18435</v>
      </c>
      <c r="K374" s="1">
        <v>7247</v>
      </c>
      <c r="L374" s="1">
        <v>557</v>
      </c>
      <c r="M374" s="1">
        <f t="shared" si="28"/>
        <v>120</v>
      </c>
      <c r="N374" s="1">
        <v>120</v>
      </c>
      <c r="O374" s="1">
        <f t="shared" si="29"/>
        <v>0</v>
      </c>
      <c r="P374" s="1"/>
      <c r="Q374" s="1" t="s">
        <v>19</v>
      </c>
      <c r="R374" s="1" t="s">
        <v>20</v>
      </c>
    </row>
    <row r="375" spans="1:18" x14ac:dyDescent="0.35">
      <c r="A375" s="1" t="s">
        <v>406</v>
      </c>
      <c r="B375" s="1" t="str">
        <f t="shared" si="25"/>
        <v>Unknown</v>
      </c>
      <c r="C375" s="1"/>
      <c r="D375" s="1" t="str">
        <f t="shared" si="26"/>
        <v>Yes</v>
      </c>
      <c r="E375" s="1" t="s">
        <v>29</v>
      </c>
      <c r="F375" s="1">
        <v>0</v>
      </c>
      <c r="G375" s="1" t="s">
        <v>25</v>
      </c>
      <c r="H375" s="1" t="str">
        <f t="shared" si="27"/>
        <v>No</v>
      </c>
      <c r="I375" s="1"/>
      <c r="J375" s="1">
        <v>5234</v>
      </c>
      <c r="K375" s="1">
        <v>9377</v>
      </c>
      <c r="L375" s="1">
        <v>307</v>
      </c>
      <c r="M375" s="1">
        <f t="shared" si="28"/>
        <v>360</v>
      </c>
      <c r="N375" s="1"/>
      <c r="O375" s="1">
        <f t="shared" si="29"/>
        <v>0</v>
      </c>
      <c r="P375" s="1">
        <v>0</v>
      </c>
      <c r="Q375" s="1" t="s">
        <v>19</v>
      </c>
      <c r="R375" s="1" t="s">
        <v>20</v>
      </c>
    </row>
    <row r="376" spans="1:18" x14ac:dyDescent="0.35">
      <c r="A376" s="1" t="s">
        <v>407</v>
      </c>
      <c r="B376" s="1" t="str">
        <f t="shared" si="25"/>
        <v>Male</v>
      </c>
      <c r="C376" s="1" t="s">
        <v>33</v>
      </c>
      <c r="D376" s="1" t="str">
        <f t="shared" si="26"/>
        <v>No</v>
      </c>
      <c r="E376" s="1"/>
      <c r="F376" s="1">
        <v>1</v>
      </c>
      <c r="G376" s="1" t="s">
        <v>17</v>
      </c>
      <c r="H376" s="1" t="str">
        <f t="shared" si="27"/>
        <v>Yes</v>
      </c>
      <c r="I376" s="1" t="s">
        <v>29</v>
      </c>
      <c r="J376" s="1">
        <v>17587</v>
      </c>
      <c r="K376" s="1">
        <v>1074</v>
      </c>
      <c r="L376" s="1">
        <v>367</v>
      </c>
      <c r="M376" s="1">
        <f t="shared" si="28"/>
        <v>360</v>
      </c>
      <c r="N376" s="1"/>
      <c r="O376" s="1">
        <f t="shared" si="29"/>
        <v>0</v>
      </c>
      <c r="P376" s="1">
        <v>0</v>
      </c>
      <c r="Q376" s="1" t="s">
        <v>41</v>
      </c>
      <c r="R376" s="1" t="s">
        <v>20</v>
      </c>
    </row>
    <row r="377" spans="1:18" x14ac:dyDescent="0.35">
      <c r="A377" s="1" t="s">
        <v>408</v>
      </c>
      <c r="B377" s="1" t="str">
        <f t="shared" si="25"/>
        <v>Unknown</v>
      </c>
      <c r="C377" s="1"/>
      <c r="D377" s="1" t="str">
        <f t="shared" si="26"/>
        <v>No</v>
      </c>
      <c r="E377" s="1"/>
      <c r="F377" s="1">
        <v>0</v>
      </c>
      <c r="G377" s="1" t="s">
        <v>17</v>
      </c>
      <c r="H377" s="1" t="str">
        <f t="shared" si="27"/>
        <v>No</v>
      </c>
      <c r="I377" s="1" t="s">
        <v>22</v>
      </c>
      <c r="J377" s="1">
        <v>4295</v>
      </c>
      <c r="K377" s="1">
        <v>4295</v>
      </c>
      <c r="L377" s="1">
        <v>614</v>
      </c>
      <c r="M377" s="1">
        <f t="shared" si="28"/>
        <v>360</v>
      </c>
      <c r="N377" s="1">
        <v>360</v>
      </c>
      <c r="O377" s="1">
        <f t="shared" si="29"/>
        <v>0</v>
      </c>
      <c r="P377" s="1">
        <v>0</v>
      </c>
      <c r="Q377" s="1" t="s">
        <v>19</v>
      </c>
      <c r="R377" s="1" t="s">
        <v>26</v>
      </c>
    </row>
    <row r="378" spans="1:18" x14ac:dyDescent="0.35">
      <c r="A378" s="1" t="s">
        <v>409</v>
      </c>
      <c r="B378" s="1" t="str">
        <f t="shared" si="25"/>
        <v>Male</v>
      </c>
      <c r="C378" s="1" t="s">
        <v>52</v>
      </c>
      <c r="D378" s="1" t="str">
        <f t="shared" si="26"/>
        <v>Yes</v>
      </c>
      <c r="E378" s="1" t="s">
        <v>29</v>
      </c>
      <c r="F378" s="1" t="s">
        <v>16</v>
      </c>
      <c r="G378" s="1" t="s">
        <v>17</v>
      </c>
      <c r="H378" s="1" t="str">
        <f t="shared" si="27"/>
        <v>No</v>
      </c>
      <c r="I378" s="1"/>
      <c r="J378" s="1">
        <v>2921</v>
      </c>
      <c r="K378" s="1">
        <v>9254</v>
      </c>
      <c r="L378" s="1">
        <v>570</v>
      </c>
      <c r="M378" s="1">
        <f t="shared" si="28"/>
        <v>120</v>
      </c>
      <c r="N378" s="1">
        <v>120</v>
      </c>
      <c r="O378" s="1">
        <f t="shared" si="29"/>
        <v>0</v>
      </c>
      <c r="P378" s="1"/>
      <c r="Q378" s="1" t="s">
        <v>19</v>
      </c>
      <c r="R378" s="1" t="s">
        <v>20</v>
      </c>
    </row>
    <row r="379" spans="1:18" x14ac:dyDescent="0.35">
      <c r="A379" s="1" t="s">
        <v>410</v>
      </c>
      <c r="B379" s="1" t="str">
        <f t="shared" si="25"/>
        <v>Female</v>
      </c>
      <c r="C379" s="1" t="s">
        <v>43</v>
      </c>
      <c r="D379" s="1" t="str">
        <f t="shared" si="26"/>
        <v>Yes</v>
      </c>
      <c r="E379" s="1" t="s">
        <v>29</v>
      </c>
      <c r="F379" s="1">
        <v>1</v>
      </c>
      <c r="G379" s="1" t="s">
        <v>17</v>
      </c>
      <c r="H379" s="1" t="str">
        <f t="shared" si="27"/>
        <v>Yes</v>
      </c>
      <c r="I379" s="1" t="s">
        <v>29</v>
      </c>
      <c r="J379" s="1">
        <v>13546</v>
      </c>
      <c r="K379" s="1">
        <v>535</v>
      </c>
      <c r="L379" s="1">
        <v>304</v>
      </c>
      <c r="M379" s="1">
        <f t="shared" si="28"/>
        <v>360</v>
      </c>
      <c r="N379" s="1"/>
      <c r="O379" s="1">
        <f t="shared" si="29"/>
        <v>0</v>
      </c>
      <c r="P379" s="1">
        <v>0</v>
      </c>
      <c r="Q379" s="1" t="s">
        <v>41</v>
      </c>
      <c r="R379" s="1" t="s">
        <v>26</v>
      </c>
    </row>
    <row r="380" spans="1:18" x14ac:dyDescent="0.35">
      <c r="A380" s="1" t="s">
        <v>411</v>
      </c>
      <c r="B380" s="1" t="str">
        <f t="shared" si="25"/>
        <v>Female</v>
      </c>
      <c r="C380" s="1" t="s">
        <v>61</v>
      </c>
      <c r="D380" s="1" t="str">
        <f t="shared" si="26"/>
        <v>No</v>
      </c>
      <c r="E380" s="1" t="s">
        <v>36</v>
      </c>
      <c r="F380" s="1" t="s">
        <v>16</v>
      </c>
      <c r="G380" s="1" t="s">
        <v>25</v>
      </c>
      <c r="H380" s="1" t="str">
        <f t="shared" si="27"/>
        <v>No</v>
      </c>
      <c r="I380" s="1"/>
      <c r="J380" s="1">
        <v>17366</v>
      </c>
      <c r="K380" s="1">
        <v>4374</v>
      </c>
      <c r="L380" s="1">
        <v>205</v>
      </c>
      <c r="M380" s="1">
        <f t="shared" si="28"/>
        <v>180</v>
      </c>
      <c r="N380" s="1">
        <v>180</v>
      </c>
      <c r="O380" s="1">
        <f t="shared" si="29"/>
        <v>1</v>
      </c>
      <c r="P380" s="1">
        <v>1</v>
      </c>
      <c r="Q380" s="1" t="s">
        <v>19</v>
      </c>
      <c r="R380" s="1" t="s">
        <v>20</v>
      </c>
    </row>
    <row r="381" spans="1:18" x14ac:dyDescent="0.35">
      <c r="A381" s="1" t="s">
        <v>412</v>
      </c>
      <c r="B381" s="1" t="str">
        <f t="shared" si="25"/>
        <v>Unknown</v>
      </c>
      <c r="C381" s="1"/>
      <c r="D381" s="1" t="str">
        <f t="shared" si="26"/>
        <v>Yes</v>
      </c>
      <c r="E381" s="1" t="s">
        <v>15</v>
      </c>
      <c r="F381" s="1">
        <v>0</v>
      </c>
      <c r="G381" s="1" t="s">
        <v>17</v>
      </c>
      <c r="H381" s="1" t="str">
        <f t="shared" si="27"/>
        <v>No</v>
      </c>
      <c r="I381" s="1" t="s">
        <v>22</v>
      </c>
      <c r="J381" s="1">
        <v>2064</v>
      </c>
      <c r="K381" s="1">
        <v>3697</v>
      </c>
      <c r="L381" s="1">
        <v>148</v>
      </c>
      <c r="M381" s="1">
        <f t="shared" si="28"/>
        <v>360</v>
      </c>
      <c r="N381" s="1"/>
      <c r="O381" s="1">
        <f t="shared" si="29"/>
        <v>0</v>
      </c>
      <c r="P381" s="1"/>
      <c r="Q381" s="1" t="s">
        <v>19</v>
      </c>
      <c r="R381" s="1" t="s">
        <v>26</v>
      </c>
    </row>
    <row r="382" spans="1:18" x14ac:dyDescent="0.35">
      <c r="A382" s="1" t="s">
        <v>413</v>
      </c>
      <c r="B382" s="1" t="str">
        <f t="shared" si="25"/>
        <v>Male</v>
      </c>
      <c r="C382" s="1" t="s">
        <v>52</v>
      </c>
      <c r="D382" s="1" t="str">
        <f t="shared" si="26"/>
        <v>No</v>
      </c>
      <c r="E382" s="1" t="s">
        <v>18</v>
      </c>
      <c r="F382" s="1">
        <v>2</v>
      </c>
      <c r="G382" s="1" t="s">
        <v>17</v>
      </c>
      <c r="H382" s="1" t="str">
        <f t="shared" si="27"/>
        <v>Yes</v>
      </c>
      <c r="I382" s="1" t="s">
        <v>24</v>
      </c>
      <c r="J382" s="1">
        <v>15786</v>
      </c>
      <c r="K382" s="1">
        <v>9963</v>
      </c>
      <c r="L382" s="1">
        <v>698</v>
      </c>
      <c r="M382" s="1">
        <f t="shared" si="28"/>
        <v>120</v>
      </c>
      <c r="N382" s="1">
        <v>120</v>
      </c>
      <c r="O382" s="1">
        <f t="shared" si="29"/>
        <v>1</v>
      </c>
      <c r="P382" s="1">
        <v>1</v>
      </c>
      <c r="Q382" s="1" t="s">
        <v>19</v>
      </c>
      <c r="R382" s="1" t="s">
        <v>20</v>
      </c>
    </row>
    <row r="383" spans="1:18" x14ac:dyDescent="0.35">
      <c r="A383" s="1" t="s">
        <v>414</v>
      </c>
      <c r="B383" s="1" t="str">
        <f t="shared" si="25"/>
        <v>Female</v>
      </c>
      <c r="C383" s="1" t="s">
        <v>28</v>
      </c>
      <c r="D383" s="1" t="str">
        <f t="shared" si="26"/>
        <v>Yes</v>
      </c>
      <c r="E383" s="1" t="s">
        <v>29</v>
      </c>
      <c r="F383" s="1" t="s">
        <v>16</v>
      </c>
      <c r="G383" s="1" t="s">
        <v>17</v>
      </c>
      <c r="H383" s="1" t="str">
        <f t="shared" si="27"/>
        <v>No</v>
      </c>
      <c r="I383" s="1"/>
      <c r="J383" s="1">
        <v>3481</v>
      </c>
      <c r="K383" s="1">
        <v>2283</v>
      </c>
      <c r="L383" s="1">
        <v>169</v>
      </c>
      <c r="M383" s="1">
        <f t="shared" si="28"/>
        <v>180</v>
      </c>
      <c r="N383" s="1">
        <v>180</v>
      </c>
      <c r="O383" s="1">
        <f t="shared" si="29"/>
        <v>0</v>
      </c>
      <c r="P383" s="1"/>
      <c r="Q383" s="1" t="s">
        <v>41</v>
      </c>
      <c r="R383" s="1" t="s">
        <v>26</v>
      </c>
    </row>
    <row r="384" spans="1:18" x14ac:dyDescent="0.35">
      <c r="A384" s="1" t="s">
        <v>415</v>
      </c>
      <c r="B384" s="1" t="str">
        <f t="shared" si="25"/>
        <v>Female</v>
      </c>
      <c r="C384" s="1" t="s">
        <v>43</v>
      </c>
      <c r="D384" s="1" t="str">
        <f t="shared" si="26"/>
        <v>No</v>
      </c>
      <c r="E384" s="1" t="s">
        <v>22</v>
      </c>
      <c r="F384" s="1">
        <v>2</v>
      </c>
      <c r="G384" s="1" t="s">
        <v>25</v>
      </c>
      <c r="H384" s="1" t="str">
        <f t="shared" si="27"/>
        <v>No</v>
      </c>
      <c r="I384" s="1"/>
      <c r="J384" s="1">
        <v>5332</v>
      </c>
      <c r="K384" s="1">
        <v>485</v>
      </c>
      <c r="L384" s="1">
        <v>426</v>
      </c>
      <c r="M384" s="1">
        <f t="shared" si="28"/>
        <v>120</v>
      </c>
      <c r="N384" s="1">
        <v>120</v>
      </c>
      <c r="O384" s="1">
        <f t="shared" si="29"/>
        <v>0</v>
      </c>
      <c r="P384" s="1"/>
      <c r="Q384" s="1" t="s">
        <v>19</v>
      </c>
      <c r="R384" s="1" t="s">
        <v>20</v>
      </c>
    </row>
    <row r="385" spans="1:18" x14ac:dyDescent="0.35">
      <c r="A385" s="1" t="s">
        <v>416</v>
      </c>
      <c r="B385" s="1" t="str">
        <f t="shared" si="25"/>
        <v>Female</v>
      </c>
      <c r="C385" s="1" t="s">
        <v>28</v>
      </c>
      <c r="D385" s="1" t="str">
        <f t="shared" si="26"/>
        <v>Yes</v>
      </c>
      <c r="E385" s="1" t="s">
        <v>29</v>
      </c>
      <c r="F385" s="1">
        <v>1</v>
      </c>
      <c r="G385" s="1" t="s">
        <v>25</v>
      </c>
      <c r="H385" s="1" t="str">
        <f t="shared" si="27"/>
        <v>Yes</v>
      </c>
      <c r="I385" s="1" t="s">
        <v>29</v>
      </c>
      <c r="J385" s="1">
        <v>11933</v>
      </c>
      <c r="K385" s="1">
        <v>5596</v>
      </c>
      <c r="L385" s="1">
        <v>600</v>
      </c>
      <c r="M385" s="1">
        <f t="shared" si="28"/>
        <v>120</v>
      </c>
      <c r="N385" s="1">
        <v>120</v>
      </c>
      <c r="O385" s="1">
        <f t="shared" si="29"/>
        <v>0</v>
      </c>
      <c r="P385" s="1"/>
      <c r="Q385" s="1" t="s">
        <v>19</v>
      </c>
      <c r="R385" s="1" t="s">
        <v>26</v>
      </c>
    </row>
    <row r="386" spans="1:18" x14ac:dyDescent="0.35">
      <c r="A386" s="1" t="s">
        <v>417</v>
      </c>
      <c r="B386" s="1" t="str">
        <f t="shared" ref="B386:B449" si="30">IF(ISBLANK(C386),"Unknown", IF(LOWER(TRIM(C386))="male","Male","Female"))</f>
        <v>Male</v>
      </c>
      <c r="C386" s="1" t="s">
        <v>33</v>
      </c>
      <c r="D386" s="1" t="str">
        <f t="shared" ref="D386:D449" si="31">IF(ISBLANK(E386),"No",PROPER(TRIM(E386)))</f>
        <v>No</v>
      </c>
      <c r="E386" s="1"/>
      <c r="F386" s="1">
        <v>2</v>
      </c>
      <c r="G386" s="1" t="s">
        <v>17</v>
      </c>
      <c r="H386" s="1" t="str">
        <f t="shared" ref="H386:H449" si="32">IF(ISBLANK(I386),"No",PROPER(TRIM(I386)))</f>
        <v>No</v>
      </c>
      <c r="I386" s="1"/>
      <c r="J386" s="1">
        <v>6383</v>
      </c>
      <c r="K386" s="1">
        <v>8523</v>
      </c>
      <c r="L386" s="1">
        <v>269</v>
      </c>
      <c r="M386" s="1">
        <f t="shared" ref="M386:M449" si="33">IF(ISBLANK(N386),360,N386)</f>
        <v>180</v>
      </c>
      <c r="N386" s="1">
        <v>180</v>
      </c>
      <c r="O386" s="1">
        <f t="shared" ref="O386:O449" si="34">IF(ISBLANK(P386),0,P386)</f>
        <v>0</v>
      </c>
      <c r="P386" s="1">
        <v>0</v>
      </c>
      <c r="Q386" s="1" t="s">
        <v>30</v>
      </c>
      <c r="R386" s="1" t="s">
        <v>26</v>
      </c>
    </row>
    <row r="387" spans="1:18" x14ac:dyDescent="0.35">
      <c r="A387" s="1" t="s">
        <v>418</v>
      </c>
      <c r="B387" s="1" t="str">
        <f t="shared" si="30"/>
        <v>Male</v>
      </c>
      <c r="C387" s="1" t="s">
        <v>52</v>
      </c>
      <c r="D387" s="1" t="str">
        <f t="shared" si="31"/>
        <v>Yes</v>
      </c>
      <c r="E387" s="1" t="s">
        <v>29</v>
      </c>
      <c r="F387" s="1">
        <v>1</v>
      </c>
      <c r="G387" s="1" t="s">
        <v>25</v>
      </c>
      <c r="H387" s="1" t="str">
        <f t="shared" si="32"/>
        <v>No</v>
      </c>
      <c r="I387" s="1" t="s">
        <v>36</v>
      </c>
      <c r="J387" s="1">
        <v>12687</v>
      </c>
      <c r="K387" s="1">
        <v>463</v>
      </c>
      <c r="L387" s="1">
        <v>452</v>
      </c>
      <c r="M387" s="1">
        <f t="shared" si="33"/>
        <v>180</v>
      </c>
      <c r="N387" s="1">
        <v>180</v>
      </c>
      <c r="O387" s="1">
        <f t="shared" si="34"/>
        <v>0</v>
      </c>
      <c r="P387" s="1"/>
      <c r="Q387" s="1" t="s">
        <v>19</v>
      </c>
      <c r="R387" s="1" t="s">
        <v>26</v>
      </c>
    </row>
    <row r="388" spans="1:18" x14ac:dyDescent="0.35">
      <c r="A388" s="1" t="s">
        <v>419</v>
      </c>
      <c r="B388" s="1" t="str">
        <f t="shared" si="30"/>
        <v>Female</v>
      </c>
      <c r="C388" s="1" t="s">
        <v>61</v>
      </c>
      <c r="D388" s="1" t="str">
        <f t="shared" si="31"/>
        <v>No</v>
      </c>
      <c r="E388" s="1" t="s">
        <v>18</v>
      </c>
      <c r="F388" s="1">
        <v>1</v>
      </c>
      <c r="G388" s="1" t="s">
        <v>17</v>
      </c>
      <c r="H388" s="1" t="str">
        <f t="shared" si="32"/>
        <v>Yes</v>
      </c>
      <c r="I388" s="1" t="s">
        <v>15</v>
      </c>
      <c r="J388" s="1">
        <v>7921</v>
      </c>
      <c r="K388" s="1">
        <v>2299</v>
      </c>
      <c r="L388" s="1">
        <v>177</v>
      </c>
      <c r="M388" s="1">
        <f t="shared" si="33"/>
        <v>360</v>
      </c>
      <c r="N388" s="1">
        <v>360</v>
      </c>
      <c r="O388" s="1">
        <f t="shared" si="34"/>
        <v>0</v>
      </c>
      <c r="P388" s="1">
        <v>0</v>
      </c>
      <c r="Q388" s="1" t="s">
        <v>30</v>
      </c>
      <c r="R388" s="1" t="s">
        <v>26</v>
      </c>
    </row>
    <row r="389" spans="1:18" x14ac:dyDescent="0.35">
      <c r="A389" s="1" t="s">
        <v>420</v>
      </c>
      <c r="B389" s="1" t="str">
        <f t="shared" si="30"/>
        <v>Male</v>
      </c>
      <c r="C389" s="1" t="s">
        <v>33</v>
      </c>
      <c r="D389" s="1" t="str">
        <f t="shared" si="31"/>
        <v>No</v>
      </c>
      <c r="E389" s="1"/>
      <c r="F389" s="1">
        <v>0</v>
      </c>
      <c r="G389" s="1" t="s">
        <v>17</v>
      </c>
      <c r="H389" s="1" t="str">
        <f t="shared" si="32"/>
        <v>No</v>
      </c>
      <c r="I389" s="1"/>
      <c r="J389" s="1">
        <v>10500</v>
      </c>
      <c r="K389" s="1">
        <v>6215</v>
      </c>
      <c r="L389" s="1">
        <v>611</v>
      </c>
      <c r="M389" s="1">
        <f t="shared" si="33"/>
        <v>360</v>
      </c>
      <c r="N389" s="1"/>
      <c r="O389" s="1">
        <f t="shared" si="34"/>
        <v>0</v>
      </c>
      <c r="P389" s="1"/>
      <c r="Q389" s="1" t="s">
        <v>30</v>
      </c>
      <c r="R389" s="1" t="s">
        <v>26</v>
      </c>
    </row>
    <row r="390" spans="1:18" x14ac:dyDescent="0.35">
      <c r="A390" s="1" t="s">
        <v>421</v>
      </c>
      <c r="B390" s="1" t="str">
        <f t="shared" si="30"/>
        <v>Female</v>
      </c>
      <c r="C390" s="1" t="s">
        <v>61</v>
      </c>
      <c r="D390" s="1" t="str">
        <f t="shared" si="31"/>
        <v>No</v>
      </c>
      <c r="E390" s="1" t="s">
        <v>36</v>
      </c>
      <c r="F390" s="1">
        <v>0</v>
      </c>
      <c r="G390" s="1" t="s">
        <v>25</v>
      </c>
      <c r="H390" s="1" t="str">
        <f t="shared" si="32"/>
        <v>Yes</v>
      </c>
      <c r="I390" s="1" t="s">
        <v>29</v>
      </c>
      <c r="J390" s="1">
        <v>7274</v>
      </c>
      <c r="K390" s="1">
        <v>2053</v>
      </c>
      <c r="L390" s="1">
        <v>139</v>
      </c>
      <c r="M390" s="1">
        <f t="shared" si="33"/>
        <v>360</v>
      </c>
      <c r="N390" s="1">
        <v>360</v>
      </c>
      <c r="O390" s="1">
        <f t="shared" si="34"/>
        <v>0</v>
      </c>
      <c r="P390" s="1"/>
      <c r="Q390" s="1" t="s">
        <v>30</v>
      </c>
      <c r="R390" s="1" t="s">
        <v>26</v>
      </c>
    </row>
    <row r="391" spans="1:18" x14ac:dyDescent="0.35">
      <c r="A391" s="1" t="s">
        <v>422</v>
      </c>
      <c r="B391" s="1" t="str">
        <f t="shared" si="30"/>
        <v>Female</v>
      </c>
      <c r="C391" s="1" t="s">
        <v>61</v>
      </c>
      <c r="D391" s="1" t="str">
        <f t="shared" si="31"/>
        <v>No</v>
      </c>
      <c r="E391" s="1" t="s">
        <v>18</v>
      </c>
      <c r="F391" s="1">
        <v>1</v>
      </c>
      <c r="G391" s="1" t="s">
        <v>25</v>
      </c>
      <c r="H391" s="1" t="str">
        <f t="shared" si="32"/>
        <v>No</v>
      </c>
      <c r="I391" s="1"/>
      <c r="J391" s="1">
        <v>11089</v>
      </c>
      <c r="K391" s="1">
        <v>1212</v>
      </c>
      <c r="L391" s="1">
        <v>408</v>
      </c>
      <c r="M391" s="1">
        <f t="shared" si="33"/>
        <v>120</v>
      </c>
      <c r="N391" s="1">
        <v>120</v>
      </c>
      <c r="O391" s="1">
        <f t="shared" si="34"/>
        <v>0</v>
      </c>
      <c r="P391" s="1"/>
      <c r="Q391" s="1" t="s">
        <v>30</v>
      </c>
      <c r="R391" s="1" t="s">
        <v>26</v>
      </c>
    </row>
    <row r="392" spans="1:18" x14ac:dyDescent="0.35">
      <c r="A392" s="1" t="s">
        <v>423</v>
      </c>
      <c r="B392" s="1" t="str">
        <f t="shared" si="30"/>
        <v>Unknown</v>
      </c>
      <c r="C392" s="1"/>
      <c r="D392" s="1" t="str">
        <f t="shared" si="31"/>
        <v>Yes</v>
      </c>
      <c r="E392" s="1" t="s">
        <v>29</v>
      </c>
      <c r="F392" s="1">
        <v>0</v>
      </c>
      <c r="G392" s="1" t="s">
        <v>17</v>
      </c>
      <c r="H392" s="1" t="str">
        <f t="shared" si="32"/>
        <v>Yes</v>
      </c>
      <c r="I392" s="1" t="s">
        <v>15</v>
      </c>
      <c r="J392" s="1">
        <v>18047</v>
      </c>
      <c r="K392" s="1">
        <v>5671</v>
      </c>
      <c r="L392" s="1">
        <v>422</v>
      </c>
      <c r="M392" s="1">
        <f t="shared" si="33"/>
        <v>360</v>
      </c>
      <c r="N392" s="1">
        <v>360</v>
      </c>
      <c r="O392" s="1">
        <f t="shared" si="34"/>
        <v>0</v>
      </c>
      <c r="P392" s="1"/>
      <c r="Q392" s="1" t="s">
        <v>30</v>
      </c>
      <c r="R392" s="1" t="s">
        <v>20</v>
      </c>
    </row>
    <row r="393" spans="1:18" x14ac:dyDescent="0.35">
      <c r="A393" s="1" t="s">
        <v>424</v>
      </c>
      <c r="B393" s="1" t="str">
        <f t="shared" si="30"/>
        <v>Male</v>
      </c>
      <c r="C393" s="1" t="s">
        <v>52</v>
      </c>
      <c r="D393" s="1" t="str">
        <f t="shared" si="31"/>
        <v>No</v>
      </c>
      <c r="E393" s="1"/>
      <c r="F393" s="1">
        <v>1</v>
      </c>
      <c r="G393" s="1" t="s">
        <v>25</v>
      </c>
      <c r="H393" s="1" t="str">
        <f t="shared" si="32"/>
        <v>No</v>
      </c>
      <c r="I393" s="1"/>
      <c r="J393" s="1">
        <v>2104</v>
      </c>
      <c r="K393" s="1">
        <v>417</v>
      </c>
      <c r="L393" s="1">
        <v>230</v>
      </c>
      <c r="M393" s="1">
        <f t="shared" si="33"/>
        <v>360</v>
      </c>
      <c r="N393" s="1"/>
      <c r="O393" s="1">
        <f t="shared" si="34"/>
        <v>0</v>
      </c>
      <c r="P393" s="1">
        <v>0</v>
      </c>
      <c r="Q393" s="1" t="s">
        <v>30</v>
      </c>
      <c r="R393" s="1" t="s">
        <v>20</v>
      </c>
    </row>
    <row r="394" spans="1:18" x14ac:dyDescent="0.35">
      <c r="A394" s="1" t="s">
        <v>425</v>
      </c>
      <c r="B394" s="1" t="str">
        <f t="shared" si="30"/>
        <v>Male</v>
      </c>
      <c r="C394" s="1" t="s">
        <v>14</v>
      </c>
      <c r="D394" s="1" t="str">
        <f t="shared" si="31"/>
        <v>Yes</v>
      </c>
      <c r="E394" s="1" t="s">
        <v>29</v>
      </c>
      <c r="F394" s="1">
        <v>0</v>
      </c>
      <c r="G394" s="1" t="s">
        <v>25</v>
      </c>
      <c r="H394" s="1" t="str">
        <f t="shared" si="32"/>
        <v>Yes</v>
      </c>
      <c r="I394" s="1" t="s">
        <v>24</v>
      </c>
      <c r="J394" s="1">
        <v>17127</v>
      </c>
      <c r="K394" s="1">
        <v>6427</v>
      </c>
      <c r="L394" s="1">
        <v>689</v>
      </c>
      <c r="M394" s="1">
        <f t="shared" si="33"/>
        <v>120</v>
      </c>
      <c r="N394" s="1">
        <v>120</v>
      </c>
      <c r="O394" s="1">
        <f t="shared" si="34"/>
        <v>0</v>
      </c>
      <c r="P394" s="1"/>
      <c r="Q394" s="1" t="s">
        <v>30</v>
      </c>
      <c r="R394" s="1" t="s">
        <v>20</v>
      </c>
    </row>
    <row r="395" spans="1:18" x14ac:dyDescent="0.35">
      <c r="A395" s="1" t="s">
        <v>426</v>
      </c>
      <c r="B395" s="1" t="str">
        <f t="shared" si="30"/>
        <v>Unknown</v>
      </c>
      <c r="C395" s="1"/>
      <c r="D395" s="1" t="str">
        <f t="shared" si="31"/>
        <v>No</v>
      </c>
      <c r="E395" s="1"/>
      <c r="F395" s="1" t="s">
        <v>16</v>
      </c>
      <c r="G395" s="1" t="s">
        <v>25</v>
      </c>
      <c r="H395" s="1" t="str">
        <f t="shared" si="32"/>
        <v>Yes</v>
      </c>
      <c r="I395" s="1" t="s">
        <v>29</v>
      </c>
      <c r="J395" s="1">
        <v>16987</v>
      </c>
      <c r="K395" s="1">
        <v>9516</v>
      </c>
      <c r="L395" s="1">
        <v>482</v>
      </c>
      <c r="M395" s="1">
        <f t="shared" si="33"/>
        <v>360</v>
      </c>
      <c r="N395" s="1"/>
      <c r="O395" s="1">
        <f t="shared" si="34"/>
        <v>0</v>
      </c>
      <c r="P395" s="1">
        <v>0</v>
      </c>
      <c r="Q395" s="1" t="s">
        <v>41</v>
      </c>
      <c r="R395" s="1" t="s">
        <v>20</v>
      </c>
    </row>
    <row r="396" spans="1:18" x14ac:dyDescent="0.35">
      <c r="A396" s="1" t="s">
        <v>427</v>
      </c>
      <c r="B396" s="1" t="str">
        <f t="shared" si="30"/>
        <v>Male</v>
      </c>
      <c r="C396" s="1" t="s">
        <v>52</v>
      </c>
      <c r="D396" s="1" t="str">
        <f t="shared" si="31"/>
        <v>No</v>
      </c>
      <c r="E396" s="1"/>
      <c r="F396" s="1" t="s">
        <v>16</v>
      </c>
      <c r="G396" s="1" t="s">
        <v>17</v>
      </c>
      <c r="H396" s="1" t="str">
        <f t="shared" si="32"/>
        <v>No</v>
      </c>
      <c r="I396" s="1" t="s">
        <v>22</v>
      </c>
      <c r="J396" s="1">
        <v>11010</v>
      </c>
      <c r="K396" s="1">
        <v>9279</v>
      </c>
      <c r="L396" s="1">
        <v>502</v>
      </c>
      <c r="M396" s="1">
        <f t="shared" si="33"/>
        <v>360</v>
      </c>
      <c r="N396" s="1"/>
      <c r="O396" s="1">
        <f t="shared" si="34"/>
        <v>0</v>
      </c>
      <c r="P396" s="1">
        <v>0</v>
      </c>
      <c r="Q396" s="1" t="s">
        <v>19</v>
      </c>
      <c r="R396" s="1" t="s">
        <v>26</v>
      </c>
    </row>
    <row r="397" spans="1:18" x14ac:dyDescent="0.35">
      <c r="A397" s="1" t="s">
        <v>428</v>
      </c>
      <c r="B397" s="1" t="str">
        <f t="shared" si="30"/>
        <v>Male</v>
      </c>
      <c r="C397" s="1" t="s">
        <v>52</v>
      </c>
      <c r="D397" s="1" t="str">
        <f t="shared" si="31"/>
        <v>Yes</v>
      </c>
      <c r="E397" s="1" t="s">
        <v>29</v>
      </c>
      <c r="F397" s="1" t="s">
        <v>16</v>
      </c>
      <c r="G397" s="1" t="s">
        <v>17</v>
      </c>
      <c r="H397" s="1" t="str">
        <f t="shared" si="32"/>
        <v>No</v>
      </c>
      <c r="I397" s="1"/>
      <c r="J397" s="1">
        <v>10161</v>
      </c>
      <c r="K397" s="1">
        <v>9014</v>
      </c>
      <c r="L397" s="1">
        <v>147</v>
      </c>
      <c r="M397" s="1">
        <f t="shared" si="33"/>
        <v>180</v>
      </c>
      <c r="N397" s="1">
        <v>180</v>
      </c>
      <c r="O397" s="1">
        <f t="shared" si="34"/>
        <v>0</v>
      </c>
      <c r="P397" s="1">
        <v>0</v>
      </c>
      <c r="Q397" s="1" t="s">
        <v>19</v>
      </c>
      <c r="R397" s="1" t="s">
        <v>26</v>
      </c>
    </row>
    <row r="398" spans="1:18" x14ac:dyDescent="0.35">
      <c r="A398" s="1" t="s">
        <v>429</v>
      </c>
      <c r="B398" s="1" t="str">
        <f t="shared" si="30"/>
        <v>Female</v>
      </c>
      <c r="C398" s="1" t="s">
        <v>28</v>
      </c>
      <c r="D398" s="1" t="str">
        <f t="shared" si="31"/>
        <v>No</v>
      </c>
      <c r="E398" s="1"/>
      <c r="F398" s="1">
        <v>2</v>
      </c>
      <c r="G398" s="1" t="s">
        <v>25</v>
      </c>
      <c r="H398" s="1" t="str">
        <f t="shared" si="32"/>
        <v>Yes</v>
      </c>
      <c r="I398" s="1" t="s">
        <v>24</v>
      </c>
      <c r="J398" s="1">
        <v>16037</v>
      </c>
      <c r="K398" s="1">
        <v>4942</v>
      </c>
      <c r="L398" s="1">
        <v>563</v>
      </c>
      <c r="M398" s="1">
        <f t="shared" si="33"/>
        <v>360</v>
      </c>
      <c r="N398" s="1">
        <v>360</v>
      </c>
      <c r="O398" s="1">
        <f t="shared" si="34"/>
        <v>0</v>
      </c>
      <c r="P398" s="1">
        <v>0</v>
      </c>
      <c r="Q398" s="1" t="s">
        <v>19</v>
      </c>
      <c r="R398" s="1" t="s">
        <v>20</v>
      </c>
    </row>
    <row r="399" spans="1:18" x14ac:dyDescent="0.35">
      <c r="A399" s="1" t="s">
        <v>430</v>
      </c>
      <c r="B399" s="1" t="str">
        <f t="shared" si="30"/>
        <v>Unknown</v>
      </c>
      <c r="C399" s="1"/>
      <c r="D399" s="1" t="str">
        <f t="shared" si="31"/>
        <v>No</v>
      </c>
      <c r="E399" s="1" t="s">
        <v>18</v>
      </c>
      <c r="F399" s="1">
        <v>1</v>
      </c>
      <c r="G399" s="1" t="s">
        <v>25</v>
      </c>
      <c r="H399" s="1" t="str">
        <f t="shared" si="32"/>
        <v>Yes</v>
      </c>
      <c r="I399" s="1" t="s">
        <v>15</v>
      </c>
      <c r="J399" s="1">
        <v>3280</v>
      </c>
      <c r="K399" s="1">
        <v>9954</v>
      </c>
      <c r="L399" s="1">
        <v>552</v>
      </c>
      <c r="M399" s="1">
        <f t="shared" si="33"/>
        <v>120</v>
      </c>
      <c r="N399" s="1">
        <v>120</v>
      </c>
      <c r="O399" s="1">
        <f t="shared" si="34"/>
        <v>0</v>
      </c>
      <c r="P399" s="1">
        <v>0</v>
      </c>
      <c r="Q399" s="1" t="s">
        <v>41</v>
      </c>
      <c r="R399" s="1" t="s">
        <v>20</v>
      </c>
    </row>
    <row r="400" spans="1:18" x14ac:dyDescent="0.35">
      <c r="A400" s="1" t="s">
        <v>431</v>
      </c>
      <c r="B400" s="1" t="str">
        <f t="shared" si="30"/>
        <v>Male</v>
      </c>
      <c r="C400" s="1" t="s">
        <v>33</v>
      </c>
      <c r="D400" s="1" t="str">
        <f t="shared" si="31"/>
        <v>Yes</v>
      </c>
      <c r="E400" s="1" t="s">
        <v>24</v>
      </c>
      <c r="F400" s="1" t="s">
        <v>16</v>
      </c>
      <c r="G400" s="1" t="s">
        <v>17</v>
      </c>
      <c r="H400" s="1" t="str">
        <f t="shared" si="32"/>
        <v>Yes</v>
      </c>
      <c r="I400" s="1" t="s">
        <v>15</v>
      </c>
      <c r="J400" s="1">
        <v>9320</v>
      </c>
      <c r="K400" s="1">
        <v>9269</v>
      </c>
      <c r="L400" s="1">
        <v>323</v>
      </c>
      <c r="M400" s="1">
        <f t="shared" si="33"/>
        <v>360</v>
      </c>
      <c r="N400" s="1"/>
      <c r="O400" s="1">
        <f t="shared" si="34"/>
        <v>1</v>
      </c>
      <c r="P400" s="1">
        <v>1</v>
      </c>
      <c r="Q400" s="1" t="s">
        <v>30</v>
      </c>
      <c r="R400" s="1" t="s">
        <v>20</v>
      </c>
    </row>
    <row r="401" spans="1:18" x14ac:dyDescent="0.35">
      <c r="A401" s="1" t="s">
        <v>432</v>
      </c>
      <c r="B401" s="1" t="str">
        <f t="shared" si="30"/>
        <v>Unknown</v>
      </c>
      <c r="C401" s="1"/>
      <c r="D401" s="1" t="str">
        <f t="shared" si="31"/>
        <v>Yes</v>
      </c>
      <c r="E401" s="1" t="s">
        <v>24</v>
      </c>
      <c r="F401" s="1">
        <v>1</v>
      </c>
      <c r="G401" s="1" t="s">
        <v>17</v>
      </c>
      <c r="H401" s="1" t="str">
        <f t="shared" si="32"/>
        <v>No</v>
      </c>
      <c r="I401" s="1" t="s">
        <v>36</v>
      </c>
      <c r="J401" s="1">
        <v>18012</v>
      </c>
      <c r="K401" s="1">
        <v>1740</v>
      </c>
      <c r="L401" s="1">
        <v>590</v>
      </c>
      <c r="M401" s="1">
        <f t="shared" si="33"/>
        <v>120</v>
      </c>
      <c r="N401" s="1">
        <v>120</v>
      </c>
      <c r="O401" s="1">
        <f t="shared" si="34"/>
        <v>0</v>
      </c>
      <c r="P401" s="1">
        <v>0</v>
      </c>
      <c r="Q401" s="1" t="s">
        <v>19</v>
      </c>
      <c r="R401" s="1" t="s">
        <v>20</v>
      </c>
    </row>
    <row r="402" spans="1:18" x14ac:dyDescent="0.35">
      <c r="A402" s="1" t="s">
        <v>433</v>
      </c>
      <c r="B402" s="1" t="str">
        <f t="shared" si="30"/>
        <v>Male</v>
      </c>
      <c r="C402" s="1" t="s">
        <v>52</v>
      </c>
      <c r="D402" s="1" t="str">
        <f t="shared" si="31"/>
        <v>No</v>
      </c>
      <c r="E402" s="1" t="s">
        <v>22</v>
      </c>
      <c r="F402" s="1" t="s">
        <v>16</v>
      </c>
      <c r="G402" s="1" t="s">
        <v>17</v>
      </c>
      <c r="H402" s="1" t="str">
        <f t="shared" si="32"/>
        <v>Yes</v>
      </c>
      <c r="I402" s="1" t="s">
        <v>15</v>
      </c>
      <c r="J402" s="1">
        <v>19166</v>
      </c>
      <c r="K402" s="1">
        <v>2877</v>
      </c>
      <c r="L402" s="1">
        <v>625</v>
      </c>
      <c r="M402" s="1">
        <f t="shared" si="33"/>
        <v>360</v>
      </c>
      <c r="N402" s="1"/>
      <c r="O402" s="1">
        <f t="shared" si="34"/>
        <v>1</v>
      </c>
      <c r="P402" s="1">
        <v>1</v>
      </c>
      <c r="Q402" s="1" t="s">
        <v>41</v>
      </c>
      <c r="R402" s="1" t="s">
        <v>26</v>
      </c>
    </row>
    <row r="403" spans="1:18" x14ac:dyDescent="0.35">
      <c r="A403" s="1" t="s">
        <v>434</v>
      </c>
      <c r="B403" s="1" t="str">
        <f t="shared" si="30"/>
        <v>Unknown</v>
      </c>
      <c r="C403" s="1"/>
      <c r="D403" s="1" t="str">
        <f t="shared" si="31"/>
        <v>No</v>
      </c>
      <c r="E403" s="1" t="s">
        <v>22</v>
      </c>
      <c r="F403" s="1">
        <v>0</v>
      </c>
      <c r="G403" s="1" t="s">
        <v>25</v>
      </c>
      <c r="H403" s="1" t="str">
        <f t="shared" si="32"/>
        <v>Yes</v>
      </c>
      <c r="I403" s="1" t="s">
        <v>15</v>
      </c>
      <c r="J403" s="1">
        <v>19423</v>
      </c>
      <c r="K403" s="1">
        <v>9934</v>
      </c>
      <c r="L403" s="1">
        <v>179</v>
      </c>
      <c r="M403" s="1">
        <f t="shared" si="33"/>
        <v>180</v>
      </c>
      <c r="N403" s="1">
        <v>180</v>
      </c>
      <c r="O403" s="1">
        <f t="shared" si="34"/>
        <v>0</v>
      </c>
      <c r="P403" s="1">
        <v>0</v>
      </c>
      <c r="Q403" s="1" t="s">
        <v>30</v>
      </c>
      <c r="R403" s="1" t="s">
        <v>20</v>
      </c>
    </row>
    <row r="404" spans="1:18" x14ac:dyDescent="0.35">
      <c r="A404" s="1" t="s">
        <v>435</v>
      </c>
      <c r="B404" s="1" t="str">
        <f t="shared" si="30"/>
        <v>Male</v>
      </c>
      <c r="C404" s="1" t="s">
        <v>14</v>
      </c>
      <c r="D404" s="1" t="str">
        <f t="shared" si="31"/>
        <v>Yes</v>
      </c>
      <c r="E404" s="1" t="s">
        <v>29</v>
      </c>
      <c r="F404" s="1" t="s">
        <v>16</v>
      </c>
      <c r="G404" s="1" t="s">
        <v>25</v>
      </c>
      <c r="H404" s="1" t="str">
        <f t="shared" si="32"/>
        <v>Yes</v>
      </c>
      <c r="I404" s="1" t="s">
        <v>24</v>
      </c>
      <c r="J404" s="1">
        <v>11997</v>
      </c>
      <c r="K404" s="1">
        <v>8712</v>
      </c>
      <c r="L404" s="1">
        <v>442</v>
      </c>
      <c r="M404" s="1">
        <f t="shared" si="33"/>
        <v>180</v>
      </c>
      <c r="N404" s="1">
        <v>180</v>
      </c>
      <c r="O404" s="1">
        <f t="shared" si="34"/>
        <v>0</v>
      </c>
      <c r="P404" s="1"/>
      <c r="Q404" s="1" t="s">
        <v>19</v>
      </c>
      <c r="R404" s="1" t="s">
        <v>20</v>
      </c>
    </row>
    <row r="405" spans="1:18" x14ac:dyDescent="0.35">
      <c r="A405" s="1" t="s">
        <v>436</v>
      </c>
      <c r="B405" s="1" t="str">
        <f t="shared" si="30"/>
        <v>Unknown</v>
      </c>
      <c r="C405" s="1"/>
      <c r="D405" s="1" t="str">
        <f t="shared" si="31"/>
        <v>No</v>
      </c>
      <c r="E405" s="1" t="s">
        <v>22</v>
      </c>
      <c r="F405" s="1">
        <v>1</v>
      </c>
      <c r="G405" s="1" t="s">
        <v>17</v>
      </c>
      <c r="H405" s="1" t="str">
        <f t="shared" si="32"/>
        <v>Yes</v>
      </c>
      <c r="I405" s="1" t="s">
        <v>15</v>
      </c>
      <c r="J405" s="1">
        <v>12600</v>
      </c>
      <c r="K405" s="1">
        <v>7535</v>
      </c>
      <c r="L405" s="1">
        <v>296</v>
      </c>
      <c r="M405" s="1">
        <f t="shared" si="33"/>
        <v>360</v>
      </c>
      <c r="N405" s="1"/>
      <c r="O405" s="1">
        <f t="shared" si="34"/>
        <v>0</v>
      </c>
      <c r="P405" s="1">
        <v>0</v>
      </c>
      <c r="Q405" s="1" t="s">
        <v>41</v>
      </c>
      <c r="R405" s="1" t="s">
        <v>20</v>
      </c>
    </row>
    <row r="406" spans="1:18" x14ac:dyDescent="0.35">
      <c r="A406" s="1" t="s">
        <v>437</v>
      </c>
      <c r="B406" s="1" t="str">
        <f t="shared" si="30"/>
        <v>Unknown</v>
      </c>
      <c r="C406" s="1"/>
      <c r="D406" s="1" t="str">
        <f t="shared" si="31"/>
        <v>Yes</v>
      </c>
      <c r="E406" s="1" t="s">
        <v>24</v>
      </c>
      <c r="F406" s="1">
        <v>0</v>
      </c>
      <c r="G406" s="1" t="s">
        <v>25</v>
      </c>
      <c r="H406" s="1" t="str">
        <f t="shared" si="32"/>
        <v>No</v>
      </c>
      <c r="I406" s="1" t="s">
        <v>18</v>
      </c>
      <c r="J406" s="1">
        <v>16889</v>
      </c>
      <c r="K406" s="1">
        <v>3592</v>
      </c>
      <c r="L406" s="1">
        <v>625</v>
      </c>
      <c r="M406" s="1">
        <f t="shared" si="33"/>
        <v>360</v>
      </c>
      <c r="N406" s="1">
        <v>360</v>
      </c>
      <c r="O406" s="1">
        <f t="shared" si="34"/>
        <v>1</v>
      </c>
      <c r="P406" s="1">
        <v>1</v>
      </c>
      <c r="Q406" s="1" t="s">
        <v>19</v>
      </c>
      <c r="R406" s="1" t="s">
        <v>20</v>
      </c>
    </row>
    <row r="407" spans="1:18" x14ac:dyDescent="0.35">
      <c r="A407" s="1" t="s">
        <v>438</v>
      </c>
      <c r="B407" s="1" t="str">
        <f t="shared" si="30"/>
        <v>Female</v>
      </c>
      <c r="C407" s="1" t="s">
        <v>43</v>
      </c>
      <c r="D407" s="1" t="str">
        <f t="shared" si="31"/>
        <v>Yes</v>
      </c>
      <c r="E407" s="1" t="s">
        <v>29</v>
      </c>
      <c r="F407" s="1">
        <v>0</v>
      </c>
      <c r="G407" s="1" t="s">
        <v>17</v>
      </c>
      <c r="H407" s="1" t="str">
        <f t="shared" si="32"/>
        <v>No</v>
      </c>
      <c r="I407" s="1"/>
      <c r="J407" s="1">
        <v>17019</v>
      </c>
      <c r="K407" s="1">
        <v>5515</v>
      </c>
      <c r="L407" s="1">
        <v>86</v>
      </c>
      <c r="M407" s="1">
        <f t="shared" si="33"/>
        <v>180</v>
      </c>
      <c r="N407" s="1">
        <v>180</v>
      </c>
      <c r="O407" s="1">
        <f t="shared" si="34"/>
        <v>0</v>
      </c>
      <c r="P407" s="1"/>
      <c r="Q407" s="1" t="s">
        <v>19</v>
      </c>
      <c r="R407" s="1" t="s">
        <v>20</v>
      </c>
    </row>
    <row r="408" spans="1:18" x14ac:dyDescent="0.35">
      <c r="A408" s="1" t="s">
        <v>439</v>
      </c>
      <c r="B408" s="1" t="str">
        <f t="shared" si="30"/>
        <v>Female</v>
      </c>
      <c r="C408" s="1" t="s">
        <v>43</v>
      </c>
      <c r="D408" s="1" t="str">
        <f t="shared" si="31"/>
        <v>Yes</v>
      </c>
      <c r="E408" s="1" t="s">
        <v>29</v>
      </c>
      <c r="F408" s="1">
        <v>2</v>
      </c>
      <c r="G408" s="1" t="s">
        <v>25</v>
      </c>
      <c r="H408" s="1" t="str">
        <f t="shared" si="32"/>
        <v>No</v>
      </c>
      <c r="I408" s="1"/>
      <c r="J408" s="1">
        <v>15016</v>
      </c>
      <c r="K408" s="1">
        <v>7783</v>
      </c>
      <c r="L408" s="1">
        <v>664</v>
      </c>
      <c r="M408" s="1">
        <f t="shared" si="33"/>
        <v>360</v>
      </c>
      <c r="N408" s="1"/>
      <c r="O408" s="1">
        <f t="shared" si="34"/>
        <v>1</v>
      </c>
      <c r="P408" s="1">
        <v>1</v>
      </c>
      <c r="Q408" s="1" t="s">
        <v>30</v>
      </c>
      <c r="R408" s="1" t="s">
        <v>26</v>
      </c>
    </row>
    <row r="409" spans="1:18" x14ac:dyDescent="0.35">
      <c r="A409" s="1" t="s">
        <v>440</v>
      </c>
      <c r="B409" s="1" t="str">
        <f t="shared" si="30"/>
        <v>Male</v>
      </c>
      <c r="C409" s="1" t="s">
        <v>52</v>
      </c>
      <c r="D409" s="1" t="str">
        <f t="shared" si="31"/>
        <v>No</v>
      </c>
      <c r="E409" s="1" t="s">
        <v>18</v>
      </c>
      <c r="F409" s="1">
        <v>0</v>
      </c>
      <c r="G409" s="1" t="s">
        <v>25</v>
      </c>
      <c r="H409" s="1" t="str">
        <f t="shared" si="32"/>
        <v>No</v>
      </c>
      <c r="I409" s="1" t="s">
        <v>22</v>
      </c>
      <c r="J409" s="1">
        <v>5585</v>
      </c>
      <c r="K409" s="1">
        <v>9967</v>
      </c>
      <c r="L409" s="1">
        <v>194</v>
      </c>
      <c r="M409" s="1">
        <f t="shared" si="33"/>
        <v>360</v>
      </c>
      <c r="N409" s="1"/>
      <c r="O409" s="1">
        <f t="shared" si="34"/>
        <v>0</v>
      </c>
      <c r="P409" s="1"/>
      <c r="Q409" s="1" t="s">
        <v>41</v>
      </c>
      <c r="R409" s="1" t="s">
        <v>26</v>
      </c>
    </row>
    <row r="410" spans="1:18" x14ac:dyDescent="0.35">
      <c r="A410" s="1" t="s">
        <v>441</v>
      </c>
      <c r="B410" s="1" t="str">
        <f t="shared" si="30"/>
        <v>Unknown</v>
      </c>
      <c r="C410" s="1"/>
      <c r="D410" s="1" t="str">
        <f t="shared" si="31"/>
        <v>No</v>
      </c>
      <c r="E410" s="1" t="s">
        <v>36</v>
      </c>
      <c r="F410" s="1">
        <v>2</v>
      </c>
      <c r="G410" s="1" t="s">
        <v>25</v>
      </c>
      <c r="H410" s="1" t="str">
        <f t="shared" si="32"/>
        <v>Yes</v>
      </c>
      <c r="I410" s="1" t="s">
        <v>29</v>
      </c>
      <c r="J410" s="1">
        <v>9838</v>
      </c>
      <c r="K410" s="1">
        <v>6996</v>
      </c>
      <c r="L410" s="1">
        <v>562</v>
      </c>
      <c r="M410" s="1">
        <f t="shared" si="33"/>
        <v>360</v>
      </c>
      <c r="N410" s="1"/>
      <c r="O410" s="1">
        <f t="shared" si="34"/>
        <v>1</v>
      </c>
      <c r="P410" s="1">
        <v>1</v>
      </c>
      <c r="Q410" s="1" t="s">
        <v>41</v>
      </c>
      <c r="R410" s="1" t="s">
        <v>20</v>
      </c>
    </row>
    <row r="411" spans="1:18" x14ac:dyDescent="0.35">
      <c r="A411" s="1" t="s">
        <v>442</v>
      </c>
      <c r="B411" s="1" t="str">
        <f t="shared" si="30"/>
        <v>Unknown</v>
      </c>
      <c r="C411" s="1"/>
      <c r="D411" s="1" t="str">
        <f t="shared" si="31"/>
        <v>Yes</v>
      </c>
      <c r="E411" s="1" t="s">
        <v>15</v>
      </c>
      <c r="F411" s="1" t="s">
        <v>16</v>
      </c>
      <c r="G411" s="1" t="s">
        <v>17</v>
      </c>
      <c r="H411" s="1" t="str">
        <f t="shared" si="32"/>
        <v>No</v>
      </c>
      <c r="I411" s="1"/>
      <c r="J411" s="1">
        <v>19480</v>
      </c>
      <c r="K411" s="1">
        <v>1190</v>
      </c>
      <c r="L411" s="1">
        <v>573</v>
      </c>
      <c r="M411" s="1">
        <f t="shared" si="33"/>
        <v>120</v>
      </c>
      <c r="N411" s="1">
        <v>120</v>
      </c>
      <c r="O411" s="1">
        <f t="shared" si="34"/>
        <v>0</v>
      </c>
      <c r="P411" s="1">
        <v>0</v>
      </c>
      <c r="Q411" s="1" t="s">
        <v>30</v>
      </c>
      <c r="R411" s="1" t="s">
        <v>20</v>
      </c>
    </row>
    <row r="412" spans="1:18" x14ac:dyDescent="0.35">
      <c r="A412" s="1" t="s">
        <v>443</v>
      </c>
      <c r="B412" s="1" t="str">
        <f t="shared" si="30"/>
        <v>Female</v>
      </c>
      <c r="C412" s="1" t="s">
        <v>43</v>
      </c>
      <c r="D412" s="1" t="str">
        <f t="shared" si="31"/>
        <v>Yes</v>
      </c>
      <c r="E412" s="1" t="s">
        <v>29</v>
      </c>
      <c r="F412" s="1">
        <v>2</v>
      </c>
      <c r="G412" s="1" t="s">
        <v>25</v>
      </c>
      <c r="H412" s="1" t="str">
        <f t="shared" si="32"/>
        <v>Yes</v>
      </c>
      <c r="I412" s="1" t="s">
        <v>15</v>
      </c>
      <c r="J412" s="1">
        <v>9918</v>
      </c>
      <c r="K412" s="1">
        <v>57</v>
      </c>
      <c r="L412" s="1">
        <v>93</v>
      </c>
      <c r="M412" s="1">
        <f t="shared" si="33"/>
        <v>360</v>
      </c>
      <c r="N412" s="1">
        <v>360</v>
      </c>
      <c r="O412" s="1">
        <f t="shared" si="34"/>
        <v>0</v>
      </c>
      <c r="P412" s="1">
        <v>0</v>
      </c>
      <c r="Q412" s="1" t="s">
        <v>30</v>
      </c>
      <c r="R412" s="1" t="s">
        <v>20</v>
      </c>
    </row>
    <row r="413" spans="1:18" x14ac:dyDescent="0.35">
      <c r="A413" s="1" t="s">
        <v>444</v>
      </c>
      <c r="B413" s="1" t="str">
        <f t="shared" si="30"/>
        <v>Female</v>
      </c>
      <c r="C413" s="1" t="s">
        <v>43</v>
      </c>
      <c r="D413" s="1" t="str">
        <f t="shared" si="31"/>
        <v>Yes</v>
      </c>
      <c r="E413" s="1" t="s">
        <v>29</v>
      </c>
      <c r="F413" s="1" t="s">
        <v>16</v>
      </c>
      <c r="G413" s="1" t="s">
        <v>17</v>
      </c>
      <c r="H413" s="1" t="str">
        <f t="shared" si="32"/>
        <v>No</v>
      </c>
      <c r="I413" s="1" t="s">
        <v>22</v>
      </c>
      <c r="J413" s="1">
        <v>8393</v>
      </c>
      <c r="K413" s="1">
        <v>7236</v>
      </c>
      <c r="L413" s="1">
        <v>124</v>
      </c>
      <c r="M413" s="1">
        <f t="shared" si="33"/>
        <v>360</v>
      </c>
      <c r="N413" s="1"/>
      <c r="O413" s="1">
        <f t="shared" si="34"/>
        <v>0</v>
      </c>
      <c r="P413" s="1"/>
      <c r="Q413" s="1" t="s">
        <v>41</v>
      </c>
      <c r="R413" s="1" t="s">
        <v>20</v>
      </c>
    </row>
    <row r="414" spans="1:18" x14ac:dyDescent="0.35">
      <c r="A414" s="1" t="s">
        <v>445</v>
      </c>
      <c r="B414" s="1" t="str">
        <f t="shared" si="30"/>
        <v>Unknown</v>
      </c>
      <c r="C414" s="1"/>
      <c r="D414" s="1" t="str">
        <f t="shared" si="31"/>
        <v>Yes</v>
      </c>
      <c r="E414" s="1" t="s">
        <v>24</v>
      </c>
      <c r="F414" s="1">
        <v>0</v>
      </c>
      <c r="G414" s="1" t="s">
        <v>17</v>
      </c>
      <c r="H414" s="1" t="str">
        <f t="shared" si="32"/>
        <v>Yes</v>
      </c>
      <c r="I414" s="1" t="s">
        <v>29</v>
      </c>
      <c r="J414" s="1">
        <v>7069</v>
      </c>
      <c r="K414" s="1">
        <v>7378</v>
      </c>
      <c r="L414" s="1">
        <v>255</v>
      </c>
      <c r="M414" s="1">
        <f t="shared" si="33"/>
        <v>180</v>
      </c>
      <c r="N414" s="1">
        <v>180</v>
      </c>
      <c r="O414" s="1">
        <f t="shared" si="34"/>
        <v>1</v>
      </c>
      <c r="P414" s="1">
        <v>1</v>
      </c>
      <c r="Q414" s="1" t="s">
        <v>41</v>
      </c>
      <c r="R414" s="1" t="s">
        <v>26</v>
      </c>
    </row>
    <row r="415" spans="1:18" x14ac:dyDescent="0.35">
      <c r="A415" s="1" t="s">
        <v>446</v>
      </c>
      <c r="B415" s="1" t="str">
        <f t="shared" si="30"/>
        <v>Unknown</v>
      </c>
      <c r="C415" s="1"/>
      <c r="D415" s="1" t="str">
        <f t="shared" si="31"/>
        <v>No</v>
      </c>
      <c r="E415" s="1"/>
      <c r="F415" s="1">
        <v>1</v>
      </c>
      <c r="G415" s="1" t="s">
        <v>25</v>
      </c>
      <c r="H415" s="1" t="str">
        <f t="shared" si="32"/>
        <v>No</v>
      </c>
      <c r="I415" s="1"/>
      <c r="J415" s="1">
        <v>19561</v>
      </c>
      <c r="K415" s="1">
        <v>3368</v>
      </c>
      <c r="L415" s="1">
        <v>275</v>
      </c>
      <c r="M415" s="1">
        <f t="shared" si="33"/>
        <v>180</v>
      </c>
      <c r="N415" s="1">
        <v>180</v>
      </c>
      <c r="O415" s="1">
        <f t="shared" si="34"/>
        <v>0</v>
      </c>
      <c r="P415" s="1"/>
      <c r="Q415" s="1" t="s">
        <v>19</v>
      </c>
      <c r="R415" s="1" t="s">
        <v>26</v>
      </c>
    </row>
    <row r="416" spans="1:18" x14ac:dyDescent="0.35">
      <c r="A416" s="1" t="s">
        <v>447</v>
      </c>
      <c r="B416" s="1" t="str">
        <f t="shared" si="30"/>
        <v>Male</v>
      </c>
      <c r="C416" s="1" t="s">
        <v>52</v>
      </c>
      <c r="D416" s="1" t="str">
        <f t="shared" si="31"/>
        <v>No</v>
      </c>
      <c r="E416" s="1" t="s">
        <v>18</v>
      </c>
      <c r="F416" s="1">
        <v>2</v>
      </c>
      <c r="G416" s="1" t="s">
        <v>25</v>
      </c>
      <c r="H416" s="1" t="str">
        <f t="shared" si="32"/>
        <v>No</v>
      </c>
      <c r="I416" s="1" t="s">
        <v>36</v>
      </c>
      <c r="J416" s="1">
        <v>17812</v>
      </c>
      <c r="K416" s="1">
        <v>2194</v>
      </c>
      <c r="L416" s="1">
        <v>83</v>
      </c>
      <c r="M416" s="1">
        <f t="shared" si="33"/>
        <v>360</v>
      </c>
      <c r="N416" s="1"/>
      <c r="O416" s="1">
        <f t="shared" si="34"/>
        <v>0</v>
      </c>
      <c r="P416" s="1">
        <v>0</v>
      </c>
      <c r="Q416" s="1" t="s">
        <v>30</v>
      </c>
      <c r="R416" s="1" t="s">
        <v>20</v>
      </c>
    </row>
    <row r="417" spans="1:18" x14ac:dyDescent="0.35">
      <c r="A417" s="1" t="s">
        <v>448</v>
      </c>
      <c r="B417" s="1" t="str">
        <f t="shared" si="30"/>
        <v>Unknown</v>
      </c>
      <c r="C417" s="1"/>
      <c r="D417" s="1" t="str">
        <f t="shared" si="31"/>
        <v>No</v>
      </c>
      <c r="E417" s="1"/>
      <c r="F417" s="1" t="s">
        <v>16</v>
      </c>
      <c r="G417" s="1" t="s">
        <v>25</v>
      </c>
      <c r="H417" s="1" t="str">
        <f t="shared" si="32"/>
        <v>No</v>
      </c>
      <c r="I417" s="1" t="s">
        <v>22</v>
      </c>
      <c r="J417" s="1">
        <v>9498</v>
      </c>
      <c r="K417" s="1">
        <v>7399</v>
      </c>
      <c r="L417" s="1">
        <v>411</v>
      </c>
      <c r="M417" s="1">
        <f t="shared" si="33"/>
        <v>120</v>
      </c>
      <c r="N417" s="1">
        <v>120</v>
      </c>
      <c r="O417" s="1">
        <f t="shared" si="34"/>
        <v>1</v>
      </c>
      <c r="P417" s="1">
        <v>1</v>
      </c>
      <c r="Q417" s="1" t="s">
        <v>30</v>
      </c>
      <c r="R417" s="1" t="s">
        <v>26</v>
      </c>
    </row>
    <row r="418" spans="1:18" x14ac:dyDescent="0.35">
      <c r="A418" s="1" t="s">
        <v>449</v>
      </c>
      <c r="B418" s="1" t="str">
        <f t="shared" si="30"/>
        <v>Unknown</v>
      </c>
      <c r="C418" s="1"/>
      <c r="D418" s="1" t="str">
        <f t="shared" si="31"/>
        <v>Yes</v>
      </c>
      <c r="E418" s="1" t="s">
        <v>24</v>
      </c>
      <c r="F418" s="1">
        <v>1</v>
      </c>
      <c r="G418" s="1" t="s">
        <v>25</v>
      </c>
      <c r="H418" s="1" t="str">
        <f t="shared" si="32"/>
        <v>No</v>
      </c>
      <c r="I418" s="1"/>
      <c r="J418" s="1">
        <v>3274</v>
      </c>
      <c r="K418" s="1">
        <v>760</v>
      </c>
      <c r="L418" s="1">
        <v>408</v>
      </c>
      <c r="M418" s="1">
        <f t="shared" si="33"/>
        <v>360</v>
      </c>
      <c r="N418" s="1">
        <v>360</v>
      </c>
      <c r="O418" s="1">
        <f t="shared" si="34"/>
        <v>0</v>
      </c>
      <c r="P418" s="1">
        <v>0</v>
      </c>
      <c r="Q418" s="1" t="s">
        <v>30</v>
      </c>
      <c r="R418" s="1" t="s">
        <v>26</v>
      </c>
    </row>
    <row r="419" spans="1:18" x14ac:dyDescent="0.35">
      <c r="A419" s="1" t="s">
        <v>450</v>
      </c>
      <c r="B419" s="1" t="str">
        <f t="shared" si="30"/>
        <v>Unknown</v>
      </c>
      <c r="C419" s="1"/>
      <c r="D419" s="1" t="str">
        <f t="shared" si="31"/>
        <v>No</v>
      </c>
      <c r="E419" s="1"/>
      <c r="F419" s="1">
        <v>0</v>
      </c>
      <c r="G419" s="1" t="s">
        <v>25</v>
      </c>
      <c r="H419" s="1" t="str">
        <f t="shared" si="32"/>
        <v>No</v>
      </c>
      <c r="I419" s="1" t="s">
        <v>36</v>
      </c>
      <c r="J419" s="1">
        <v>11055</v>
      </c>
      <c r="K419" s="1">
        <v>8204</v>
      </c>
      <c r="L419" s="1">
        <v>322</v>
      </c>
      <c r="M419" s="1">
        <f t="shared" si="33"/>
        <v>120</v>
      </c>
      <c r="N419" s="1">
        <v>120</v>
      </c>
      <c r="O419" s="1">
        <f t="shared" si="34"/>
        <v>0</v>
      </c>
      <c r="P419" s="1">
        <v>0</v>
      </c>
      <c r="Q419" s="1" t="s">
        <v>19</v>
      </c>
      <c r="R419" s="1" t="s">
        <v>26</v>
      </c>
    </row>
    <row r="420" spans="1:18" x14ac:dyDescent="0.35">
      <c r="A420" s="1" t="s">
        <v>451</v>
      </c>
      <c r="B420" s="1" t="str">
        <f t="shared" si="30"/>
        <v>Male</v>
      </c>
      <c r="C420" s="1" t="s">
        <v>52</v>
      </c>
      <c r="D420" s="1" t="str">
        <f t="shared" si="31"/>
        <v>No</v>
      </c>
      <c r="E420" s="1"/>
      <c r="F420" s="1">
        <v>0</v>
      </c>
      <c r="G420" s="1" t="s">
        <v>25</v>
      </c>
      <c r="H420" s="1" t="str">
        <f t="shared" si="32"/>
        <v>No</v>
      </c>
      <c r="I420" s="1" t="s">
        <v>18</v>
      </c>
      <c r="J420" s="1">
        <v>16638</v>
      </c>
      <c r="K420" s="1">
        <v>8442</v>
      </c>
      <c r="L420" s="1">
        <v>616</v>
      </c>
      <c r="M420" s="1">
        <f t="shared" si="33"/>
        <v>360</v>
      </c>
      <c r="N420" s="1"/>
      <c r="O420" s="1">
        <f t="shared" si="34"/>
        <v>0</v>
      </c>
      <c r="P420" s="1"/>
      <c r="Q420" s="1" t="s">
        <v>30</v>
      </c>
      <c r="R420" s="1" t="s">
        <v>26</v>
      </c>
    </row>
    <row r="421" spans="1:18" x14ac:dyDescent="0.35">
      <c r="A421" s="1" t="s">
        <v>452</v>
      </c>
      <c r="B421" s="1" t="str">
        <f t="shared" si="30"/>
        <v>Female</v>
      </c>
      <c r="C421" s="1" t="s">
        <v>28</v>
      </c>
      <c r="D421" s="1" t="str">
        <f t="shared" si="31"/>
        <v>No</v>
      </c>
      <c r="E421" s="1"/>
      <c r="F421" s="1">
        <v>0</v>
      </c>
      <c r="G421" s="1" t="s">
        <v>17</v>
      </c>
      <c r="H421" s="1" t="str">
        <f t="shared" si="32"/>
        <v>No</v>
      </c>
      <c r="I421" s="1" t="s">
        <v>36</v>
      </c>
      <c r="J421" s="1">
        <v>6678</v>
      </c>
      <c r="K421" s="1">
        <v>2961</v>
      </c>
      <c r="L421" s="1">
        <v>145</v>
      </c>
      <c r="M421" s="1">
        <f t="shared" si="33"/>
        <v>360</v>
      </c>
      <c r="N421" s="1">
        <v>360</v>
      </c>
      <c r="O421" s="1">
        <f t="shared" si="34"/>
        <v>0</v>
      </c>
      <c r="P421" s="1"/>
      <c r="Q421" s="1" t="s">
        <v>41</v>
      </c>
      <c r="R421" s="1" t="s">
        <v>26</v>
      </c>
    </row>
    <row r="422" spans="1:18" x14ac:dyDescent="0.35">
      <c r="A422" s="1" t="s">
        <v>453</v>
      </c>
      <c r="B422" s="1" t="str">
        <f t="shared" si="30"/>
        <v>Unknown</v>
      </c>
      <c r="C422" s="1"/>
      <c r="D422" s="1" t="str">
        <f t="shared" si="31"/>
        <v>No</v>
      </c>
      <c r="E422" s="1"/>
      <c r="F422" s="1">
        <v>0</v>
      </c>
      <c r="G422" s="1" t="s">
        <v>17</v>
      </c>
      <c r="H422" s="1" t="str">
        <f t="shared" si="32"/>
        <v>No</v>
      </c>
      <c r="I422" s="1" t="s">
        <v>22</v>
      </c>
      <c r="J422" s="1">
        <v>3325</v>
      </c>
      <c r="K422" s="1">
        <v>5113</v>
      </c>
      <c r="L422" s="1">
        <v>533</v>
      </c>
      <c r="M422" s="1">
        <f t="shared" si="33"/>
        <v>120</v>
      </c>
      <c r="N422" s="1">
        <v>120</v>
      </c>
      <c r="O422" s="1">
        <f t="shared" si="34"/>
        <v>1</v>
      </c>
      <c r="P422" s="1">
        <v>1</v>
      </c>
      <c r="Q422" s="1" t="s">
        <v>19</v>
      </c>
      <c r="R422" s="1" t="s">
        <v>20</v>
      </c>
    </row>
    <row r="423" spans="1:18" x14ac:dyDescent="0.35">
      <c r="A423" s="1" t="s">
        <v>454</v>
      </c>
      <c r="B423" s="1" t="str">
        <f t="shared" si="30"/>
        <v>Unknown</v>
      </c>
      <c r="C423" s="1"/>
      <c r="D423" s="1" t="str">
        <f t="shared" si="31"/>
        <v>Yes</v>
      </c>
      <c r="E423" s="1" t="s">
        <v>15</v>
      </c>
      <c r="F423" s="1" t="s">
        <v>16</v>
      </c>
      <c r="G423" s="1" t="s">
        <v>17</v>
      </c>
      <c r="H423" s="1" t="str">
        <f t="shared" si="32"/>
        <v>No</v>
      </c>
      <c r="I423" s="1"/>
      <c r="J423" s="1">
        <v>14219</v>
      </c>
      <c r="K423" s="1">
        <v>8918</v>
      </c>
      <c r="L423" s="1">
        <v>240</v>
      </c>
      <c r="M423" s="1">
        <f t="shared" si="33"/>
        <v>120</v>
      </c>
      <c r="N423" s="1">
        <v>120</v>
      </c>
      <c r="O423" s="1">
        <f t="shared" si="34"/>
        <v>0</v>
      </c>
      <c r="P423" s="1">
        <v>0</v>
      </c>
      <c r="Q423" s="1" t="s">
        <v>30</v>
      </c>
      <c r="R423" s="1" t="s">
        <v>20</v>
      </c>
    </row>
    <row r="424" spans="1:18" x14ac:dyDescent="0.35">
      <c r="A424" s="1" t="s">
        <v>455</v>
      </c>
      <c r="B424" s="1" t="str">
        <f t="shared" si="30"/>
        <v>Male</v>
      </c>
      <c r="C424" s="1" t="s">
        <v>52</v>
      </c>
      <c r="D424" s="1" t="str">
        <f t="shared" si="31"/>
        <v>Yes</v>
      </c>
      <c r="E424" s="1" t="s">
        <v>29</v>
      </c>
      <c r="F424" s="1">
        <v>1</v>
      </c>
      <c r="G424" s="1" t="s">
        <v>17</v>
      </c>
      <c r="H424" s="1" t="str">
        <f t="shared" si="32"/>
        <v>No</v>
      </c>
      <c r="I424" s="1" t="s">
        <v>18</v>
      </c>
      <c r="J424" s="1">
        <v>11910</v>
      </c>
      <c r="K424" s="1">
        <v>3779</v>
      </c>
      <c r="L424" s="1">
        <v>538</v>
      </c>
      <c r="M424" s="1">
        <f t="shared" si="33"/>
        <v>180</v>
      </c>
      <c r="N424" s="1">
        <v>180</v>
      </c>
      <c r="O424" s="1">
        <f t="shared" si="34"/>
        <v>0</v>
      </c>
      <c r="P424" s="1"/>
      <c r="Q424" s="1" t="s">
        <v>30</v>
      </c>
      <c r="R424" s="1" t="s">
        <v>20</v>
      </c>
    </row>
    <row r="425" spans="1:18" x14ac:dyDescent="0.35">
      <c r="A425" s="1" t="s">
        <v>456</v>
      </c>
      <c r="B425" s="1" t="str">
        <f t="shared" si="30"/>
        <v>Unknown</v>
      </c>
      <c r="C425" s="1"/>
      <c r="D425" s="1" t="str">
        <f t="shared" si="31"/>
        <v>No</v>
      </c>
      <c r="E425" s="1" t="s">
        <v>36</v>
      </c>
      <c r="F425" s="1">
        <v>1</v>
      </c>
      <c r="G425" s="1" t="s">
        <v>25</v>
      </c>
      <c r="H425" s="1" t="str">
        <f t="shared" si="32"/>
        <v>Yes</v>
      </c>
      <c r="I425" s="1" t="s">
        <v>15</v>
      </c>
      <c r="J425" s="1">
        <v>13192</v>
      </c>
      <c r="K425" s="1">
        <v>3081</v>
      </c>
      <c r="L425" s="1">
        <v>317</v>
      </c>
      <c r="M425" s="1">
        <f t="shared" si="33"/>
        <v>360</v>
      </c>
      <c r="N425" s="1"/>
      <c r="O425" s="1">
        <f t="shared" si="34"/>
        <v>0</v>
      </c>
      <c r="P425" s="1">
        <v>0</v>
      </c>
      <c r="Q425" s="1" t="s">
        <v>41</v>
      </c>
      <c r="R425" s="1" t="s">
        <v>26</v>
      </c>
    </row>
    <row r="426" spans="1:18" x14ac:dyDescent="0.35">
      <c r="A426" s="1" t="s">
        <v>457</v>
      </c>
      <c r="B426" s="1" t="str">
        <f t="shared" si="30"/>
        <v>Male</v>
      </c>
      <c r="C426" s="1" t="s">
        <v>33</v>
      </c>
      <c r="D426" s="1" t="str">
        <f t="shared" si="31"/>
        <v>No</v>
      </c>
      <c r="E426" s="1" t="s">
        <v>22</v>
      </c>
      <c r="F426" s="1" t="s">
        <v>16</v>
      </c>
      <c r="G426" s="1" t="s">
        <v>17</v>
      </c>
      <c r="H426" s="1" t="str">
        <f t="shared" si="32"/>
        <v>No</v>
      </c>
      <c r="I426" s="1"/>
      <c r="J426" s="1">
        <v>3583</v>
      </c>
      <c r="K426" s="1">
        <v>3659</v>
      </c>
      <c r="L426" s="1">
        <v>85</v>
      </c>
      <c r="M426" s="1">
        <f t="shared" si="33"/>
        <v>180</v>
      </c>
      <c r="N426" s="1">
        <v>180</v>
      </c>
      <c r="O426" s="1">
        <f t="shared" si="34"/>
        <v>1</v>
      </c>
      <c r="P426" s="1">
        <v>1</v>
      </c>
      <c r="Q426" s="1" t="s">
        <v>30</v>
      </c>
      <c r="R426" s="1" t="s">
        <v>26</v>
      </c>
    </row>
    <row r="427" spans="1:18" x14ac:dyDescent="0.35">
      <c r="A427" s="1" t="s">
        <v>458</v>
      </c>
      <c r="B427" s="1" t="str">
        <f t="shared" si="30"/>
        <v>Male</v>
      </c>
      <c r="C427" s="1" t="s">
        <v>52</v>
      </c>
      <c r="D427" s="1" t="str">
        <f t="shared" si="31"/>
        <v>No</v>
      </c>
      <c r="E427" s="1"/>
      <c r="F427" s="1">
        <v>2</v>
      </c>
      <c r="G427" s="1" t="s">
        <v>25</v>
      </c>
      <c r="H427" s="1" t="str">
        <f t="shared" si="32"/>
        <v>Yes</v>
      </c>
      <c r="I427" s="1" t="s">
        <v>29</v>
      </c>
      <c r="J427" s="1">
        <v>14746</v>
      </c>
      <c r="K427" s="1">
        <v>6743</v>
      </c>
      <c r="L427" s="1">
        <v>227</v>
      </c>
      <c r="M427" s="1">
        <f t="shared" si="33"/>
        <v>180</v>
      </c>
      <c r="N427" s="1">
        <v>180</v>
      </c>
      <c r="O427" s="1">
        <f t="shared" si="34"/>
        <v>1</v>
      </c>
      <c r="P427" s="1">
        <v>1</v>
      </c>
      <c r="Q427" s="1" t="s">
        <v>19</v>
      </c>
      <c r="R427" s="1" t="s">
        <v>20</v>
      </c>
    </row>
    <row r="428" spans="1:18" x14ac:dyDescent="0.35">
      <c r="A428" s="1" t="s">
        <v>459</v>
      </c>
      <c r="B428" s="1" t="str">
        <f t="shared" si="30"/>
        <v>Male</v>
      </c>
      <c r="C428" s="1" t="s">
        <v>52</v>
      </c>
      <c r="D428" s="1" t="str">
        <f t="shared" si="31"/>
        <v>No</v>
      </c>
      <c r="E428" s="1"/>
      <c r="F428" s="1">
        <v>0</v>
      </c>
      <c r="G428" s="1" t="s">
        <v>25</v>
      </c>
      <c r="H428" s="1" t="str">
        <f t="shared" si="32"/>
        <v>Yes</v>
      </c>
      <c r="I428" s="1" t="s">
        <v>15</v>
      </c>
      <c r="J428" s="1">
        <v>11387</v>
      </c>
      <c r="K428" s="1">
        <v>7711</v>
      </c>
      <c r="L428" s="1">
        <v>493</v>
      </c>
      <c r="M428" s="1">
        <f t="shared" si="33"/>
        <v>360</v>
      </c>
      <c r="N428" s="1"/>
      <c r="O428" s="1">
        <f t="shared" si="34"/>
        <v>1</v>
      </c>
      <c r="P428" s="1">
        <v>1</v>
      </c>
      <c r="Q428" s="1" t="s">
        <v>30</v>
      </c>
      <c r="R428" s="1" t="s">
        <v>20</v>
      </c>
    </row>
    <row r="429" spans="1:18" x14ac:dyDescent="0.35">
      <c r="A429" s="1" t="s">
        <v>460</v>
      </c>
      <c r="B429" s="1" t="str">
        <f t="shared" si="30"/>
        <v>Male</v>
      </c>
      <c r="C429" s="1" t="s">
        <v>52</v>
      </c>
      <c r="D429" s="1" t="str">
        <f t="shared" si="31"/>
        <v>No</v>
      </c>
      <c r="E429" s="1" t="s">
        <v>22</v>
      </c>
      <c r="F429" s="1">
        <v>1</v>
      </c>
      <c r="G429" s="1" t="s">
        <v>17</v>
      </c>
      <c r="H429" s="1" t="str">
        <f t="shared" si="32"/>
        <v>No</v>
      </c>
      <c r="I429" s="1" t="s">
        <v>36</v>
      </c>
      <c r="J429" s="1">
        <v>4305</v>
      </c>
      <c r="K429" s="1">
        <v>9095</v>
      </c>
      <c r="L429" s="1">
        <v>250</v>
      </c>
      <c r="M429" s="1">
        <f t="shared" si="33"/>
        <v>120</v>
      </c>
      <c r="N429" s="1">
        <v>120</v>
      </c>
      <c r="O429" s="1">
        <f t="shared" si="34"/>
        <v>1</v>
      </c>
      <c r="P429" s="1">
        <v>1</v>
      </c>
      <c r="Q429" s="1" t="s">
        <v>30</v>
      </c>
      <c r="R429" s="1" t="s">
        <v>20</v>
      </c>
    </row>
    <row r="430" spans="1:18" x14ac:dyDescent="0.35">
      <c r="A430" s="1" t="s">
        <v>461</v>
      </c>
      <c r="B430" s="1" t="str">
        <f t="shared" si="30"/>
        <v>Male</v>
      </c>
      <c r="C430" s="1" t="s">
        <v>14</v>
      </c>
      <c r="D430" s="1" t="str">
        <f t="shared" si="31"/>
        <v>No</v>
      </c>
      <c r="E430" s="1" t="s">
        <v>22</v>
      </c>
      <c r="F430" s="1">
        <v>1</v>
      </c>
      <c r="G430" s="1" t="s">
        <v>25</v>
      </c>
      <c r="H430" s="1" t="str">
        <f t="shared" si="32"/>
        <v>No</v>
      </c>
      <c r="I430" s="1" t="s">
        <v>18</v>
      </c>
      <c r="J430" s="1">
        <v>10307</v>
      </c>
      <c r="K430" s="1">
        <v>5884</v>
      </c>
      <c r="L430" s="1">
        <v>191</v>
      </c>
      <c r="M430" s="1">
        <f t="shared" si="33"/>
        <v>360</v>
      </c>
      <c r="N430" s="1">
        <v>360</v>
      </c>
      <c r="O430" s="1">
        <f t="shared" si="34"/>
        <v>0</v>
      </c>
      <c r="P430" s="1">
        <v>0</v>
      </c>
      <c r="Q430" s="1" t="s">
        <v>30</v>
      </c>
      <c r="R430" s="1" t="s">
        <v>26</v>
      </c>
    </row>
    <row r="431" spans="1:18" x14ac:dyDescent="0.35">
      <c r="A431" s="1" t="s">
        <v>462</v>
      </c>
      <c r="B431" s="1" t="str">
        <f t="shared" si="30"/>
        <v>Unknown</v>
      </c>
      <c r="C431" s="1"/>
      <c r="D431" s="1" t="str">
        <f t="shared" si="31"/>
        <v>No</v>
      </c>
      <c r="E431" s="1"/>
      <c r="F431" s="1" t="s">
        <v>16</v>
      </c>
      <c r="G431" s="1" t="s">
        <v>17</v>
      </c>
      <c r="H431" s="1" t="str">
        <f t="shared" si="32"/>
        <v>Yes</v>
      </c>
      <c r="I431" s="1" t="s">
        <v>15</v>
      </c>
      <c r="J431" s="1">
        <v>17280</v>
      </c>
      <c r="K431" s="1">
        <v>7448</v>
      </c>
      <c r="L431" s="1">
        <v>634</v>
      </c>
      <c r="M431" s="1">
        <f t="shared" si="33"/>
        <v>120</v>
      </c>
      <c r="N431" s="1">
        <v>120</v>
      </c>
      <c r="O431" s="1">
        <f t="shared" si="34"/>
        <v>0</v>
      </c>
      <c r="P431" s="1">
        <v>0</v>
      </c>
      <c r="Q431" s="1" t="s">
        <v>19</v>
      </c>
      <c r="R431" s="1" t="s">
        <v>20</v>
      </c>
    </row>
    <row r="432" spans="1:18" x14ac:dyDescent="0.35">
      <c r="A432" s="1" t="s">
        <v>463</v>
      </c>
      <c r="B432" s="1" t="str">
        <f t="shared" si="30"/>
        <v>Male</v>
      </c>
      <c r="C432" s="1" t="s">
        <v>33</v>
      </c>
      <c r="D432" s="1" t="str">
        <f t="shared" si="31"/>
        <v>No</v>
      </c>
      <c r="E432" s="1" t="s">
        <v>36</v>
      </c>
      <c r="F432" s="1">
        <v>0</v>
      </c>
      <c r="G432" s="1" t="s">
        <v>25</v>
      </c>
      <c r="H432" s="1" t="str">
        <f t="shared" si="32"/>
        <v>Yes</v>
      </c>
      <c r="I432" s="1" t="s">
        <v>24</v>
      </c>
      <c r="J432" s="1">
        <v>19886</v>
      </c>
      <c r="K432" s="1">
        <v>184</v>
      </c>
      <c r="L432" s="1">
        <v>204</v>
      </c>
      <c r="M432" s="1">
        <f t="shared" si="33"/>
        <v>120</v>
      </c>
      <c r="N432" s="1">
        <v>120</v>
      </c>
      <c r="O432" s="1">
        <f t="shared" si="34"/>
        <v>0</v>
      </c>
      <c r="P432" s="1">
        <v>0</v>
      </c>
      <c r="Q432" s="1" t="s">
        <v>30</v>
      </c>
      <c r="R432" s="1" t="s">
        <v>26</v>
      </c>
    </row>
    <row r="433" spans="1:18" x14ac:dyDescent="0.35">
      <c r="A433" s="1" t="s">
        <v>464</v>
      </c>
      <c r="B433" s="1" t="str">
        <f t="shared" si="30"/>
        <v>Female</v>
      </c>
      <c r="C433" s="1" t="s">
        <v>28</v>
      </c>
      <c r="D433" s="1" t="str">
        <f t="shared" si="31"/>
        <v>No</v>
      </c>
      <c r="E433" s="1"/>
      <c r="F433" s="1">
        <v>0</v>
      </c>
      <c r="G433" s="1" t="s">
        <v>25</v>
      </c>
      <c r="H433" s="1" t="str">
        <f t="shared" si="32"/>
        <v>No</v>
      </c>
      <c r="I433" s="1" t="s">
        <v>18</v>
      </c>
      <c r="J433" s="1">
        <v>16129</v>
      </c>
      <c r="K433" s="1">
        <v>4582</v>
      </c>
      <c r="L433" s="1">
        <v>256</v>
      </c>
      <c r="M433" s="1">
        <f t="shared" si="33"/>
        <v>360</v>
      </c>
      <c r="N433" s="1">
        <v>360</v>
      </c>
      <c r="O433" s="1">
        <f t="shared" si="34"/>
        <v>0</v>
      </c>
      <c r="P433" s="1">
        <v>0</v>
      </c>
      <c r="Q433" s="1" t="s">
        <v>19</v>
      </c>
      <c r="R433" s="1" t="s">
        <v>26</v>
      </c>
    </row>
    <row r="434" spans="1:18" x14ac:dyDescent="0.35">
      <c r="A434" s="1" t="s">
        <v>465</v>
      </c>
      <c r="B434" s="1" t="str">
        <f t="shared" si="30"/>
        <v>Male</v>
      </c>
      <c r="C434" s="1" t="s">
        <v>52</v>
      </c>
      <c r="D434" s="1" t="str">
        <f t="shared" si="31"/>
        <v>No</v>
      </c>
      <c r="E434" s="1" t="s">
        <v>22</v>
      </c>
      <c r="F434" s="1">
        <v>1</v>
      </c>
      <c r="G434" s="1" t="s">
        <v>17</v>
      </c>
      <c r="H434" s="1" t="str">
        <f t="shared" si="32"/>
        <v>No</v>
      </c>
      <c r="I434" s="1"/>
      <c r="J434" s="1">
        <v>9160</v>
      </c>
      <c r="K434" s="1">
        <v>7097</v>
      </c>
      <c r="L434" s="1">
        <v>602</v>
      </c>
      <c r="M434" s="1">
        <f t="shared" si="33"/>
        <v>360</v>
      </c>
      <c r="N434" s="1">
        <v>360</v>
      </c>
      <c r="O434" s="1">
        <f t="shared" si="34"/>
        <v>1</v>
      </c>
      <c r="P434" s="1">
        <v>1</v>
      </c>
      <c r="Q434" s="1" t="s">
        <v>30</v>
      </c>
      <c r="R434" s="1" t="s">
        <v>20</v>
      </c>
    </row>
    <row r="435" spans="1:18" x14ac:dyDescent="0.35">
      <c r="A435" s="1" t="s">
        <v>466</v>
      </c>
      <c r="B435" s="1" t="str">
        <f t="shared" si="30"/>
        <v>Female</v>
      </c>
      <c r="C435" s="1" t="s">
        <v>43</v>
      </c>
      <c r="D435" s="1" t="str">
        <f t="shared" si="31"/>
        <v>No</v>
      </c>
      <c r="E435" s="1" t="s">
        <v>18</v>
      </c>
      <c r="F435" s="1">
        <v>1</v>
      </c>
      <c r="G435" s="1" t="s">
        <v>25</v>
      </c>
      <c r="H435" s="1" t="str">
        <f t="shared" si="32"/>
        <v>Yes</v>
      </c>
      <c r="I435" s="1" t="s">
        <v>29</v>
      </c>
      <c r="J435" s="1">
        <v>8777</v>
      </c>
      <c r="K435" s="1">
        <v>7857</v>
      </c>
      <c r="L435" s="1">
        <v>333</v>
      </c>
      <c r="M435" s="1">
        <f t="shared" si="33"/>
        <v>360</v>
      </c>
      <c r="N435" s="1"/>
      <c r="O435" s="1">
        <f t="shared" si="34"/>
        <v>0</v>
      </c>
      <c r="P435" s="1"/>
      <c r="Q435" s="1" t="s">
        <v>19</v>
      </c>
      <c r="R435" s="1" t="s">
        <v>26</v>
      </c>
    </row>
    <row r="436" spans="1:18" x14ac:dyDescent="0.35">
      <c r="A436" s="1" t="s">
        <v>467</v>
      </c>
      <c r="B436" s="1" t="str">
        <f t="shared" si="30"/>
        <v>Male</v>
      </c>
      <c r="C436" s="1" t="s">
        <v>33</v>
      </c>
      <c r="D436" s="1" t="str">
        <f t="shared" si="31"/>
        <v>No</v>
      </c>
      <c r="E436" s="1" t="s">
        <v>22</v>
      </c>
      <c r="F436" s="1">
        <v>1</v>
      </c>
      <c r="G436" s="1" t="s">
        <v>17</v>
      </c>
      <c r="H436" s="1" t="str">
        <f t="shared" si="32"/>
        <v>No</v>
      </c>
      <c r="I436" s="1" t="s">
        <v>22</v>
      </c>
      <c r="J436" s="1">
        <v>9819</v>
      </c>
      <c r="K436" s="1">
        <v>3470</v>
      </c>
      <c r="L436" s="1">
        <v>85</v>
      </c>
      <c r="M436" s="1">
        <f t="shared" si="33"/>
        <v>360</v>
      </c>
      <c r="N436" s="1">
        <v>360</v>
      </c>
      <c r="O436" s="1">
        <f t="shared" si="34"/>
        <v>0</v>
      </c>
      <c r="P436" s="1">
        <v>0</v>
      </c>
      <c r="Q436" s="1" t="s">
        <v>19</v>
      </c>
      <c r="R436" s="1" t="s">
        <v>26</v>
      </c>
    </row>
    <row r="437" spans="1:18" x14ac:dyDescent="0.35">
      <c r="A437" s="1" t="s">
        <v>468</v>
      </c>
      <c r="B437" s="1" t="str">
        <f t="shared" si="30"/>
        <v>Female</v>
      </c>
      <c r="C437" s="1" t="s">
        <v>43</v>
      </c>
      <c r="D437" s="1" t="str">
        <f t="shared" si="31"/>
        <v>No</v>
      </c>
      <c r="E437" s="1" t="s">
        <v>22</v>
      </c>
      <c r="F437" s="1">
        <v>1</v>
      </c>
      <c r="G437" s="1" t="s">
        <v>25</v>
      </c>
      <c r="H437" s="1" t="str">
        <f t="shared" si="32"/>
        <v>No</v>
      </c>
      <c r="I437" s="1"/>
      <c r="J437" s="1">
        <v>7431</v>
      </c>
      <c r="K437" s="1">
        <v>9770</v>
      </c>
      <c r="L437" s="1">
        <v>175</v>
      </c>
      <c r="M437" s="1">
        <f t="shared" si="33"/>
        <v>360</v>
      </c>
      <c r="N437" s="1">
        <v>360</v>
      </c>
      <c r="O437" s="1">
        <f t="shared" si="34"/>
        <v>0</v>
      </c>
      <c r="P437" s="1">
        <v>0</v>
      </c>
      <c r="Q437" s="1" t="s">
        <v>41</v>
      </c>
      <c r="R437" s="1" t="s">
        <v>26</v>
      </c>
    </row>
    <row r="438" spans="1:18" x14ac:dyDescent="0.35">
      <c r="A438" s="1" t="s">
        <v>469</v>
      </c>
      <c r="B438" s="1" t="str">
        <f t="shared" si="30"/>
        <v>Unknown</v>
      </c>
      <c r="C438" s="1"/>
      <c r="D438" s="1" t="str">
        <f t="shared" si="31"/>
        <v>No</v>
      </c>
      <c r="E438" s="1"/>
      <c r="F438" s="1">
        <v>2</v>
      </c>
      <c r="G438" s="1" t="s">
        <v>25</v>
      </c>
      <c r="H438" s="1" t="str">
        <f t="shared" si="32"/>
        <v>No</v>
      </c>
      <c r="I438" s="1" t="s">
        <v>36</v>
      </c>
      <c r="J438" s="1">
        <v>10040</v>
      </c>
      <c r="K438" s="1">
        <v>6439</v>
      </c>
      <c r="L438" s="1">
        <v>460</v>
      </c>
      <c r="M438" s="1">
        <f t="shared" si="33"/>
        <v>180</v>
      </c>
      <c r="N438" s="1">
        <v>180</v>
      </c>
      <c r="O438" s="1">
        <f t="shared" si="34"/>
        <v>0</v>
      </c>
      <c r="P438" s="1">
        <v>0</v>
      </c>
      <c r="Q438" s="1" t="s">
        <v>30</v>
      </c>
      <c r="R438" s="1" t="s">
        <v>26</v>
      </c>
    </row>
    <row r="439" spans="1:18" x14ac:dyDescent="0.35">
      <c r="A439" s="1" t="s">
        <v>470</v>
      </c>
      <c r="B439" s="1" t="str">
        <f t="shared" si="30"/>
        <v>Unknown</v>
      </c>
      <c r="C439" s="1"/>
      <c r="D439" s="1" t="str">
        <f t="shared" si="31"/>
        <v>No</v>
      </c>
      <c r="E439" s="1"/>
      <c r="F439" s="1" t="s">
        <v>16</v>
      </c>
      <c r="G439" s="1" t="s">
        <v>17</v>
      </c>
      <c r="H439" s="1" t="str">
        <f t="shared" si="32"/>
        <v>No</v>
      </c>
      <c r="I439" s="1" t="s">
        <v>36</v>
      </c>
      <c r="J439" s="1">
        <v>9550</v>
      </c>
      <c r="K439" s="1">
        <v>5106</v>
      </c>
      <c r="L439" s="1">
        <v>244</v>
      </c>
      <c r="M439" s="1">
        <f t="shared" si="33"/>
        <v>120</v>
      </c>
      <c r="N439" s="1">
        <v>120</v>
      </c>
      <c r="O439" s="1">
        <f t="shared" si="34"/>
        <v>0</v>
      </c>
      <c r="P439" s="1">
        <v>0</v>
      </c>
      <c r="Q439" s="1" t="s">
        <v>41</v>
      </c>
      <c r="R439" s="1" t="s">
        <v>20</v>
      </c>
    </row>
    <row r="440" spans="1:18" x14ac:dyDescent="0.35">
      <c r="A440" s="1" t="s">
        <v>471</v>
      </c>
      <c r="B440" s="1" t="str">
        <f t="shared" si="30"/>
        <v>Unknown</v>
      </c>
      <c r="C440" s="1"/>
      <c r="D440" s="1" t="str">
        <f t="shared" si="31"/>
        <v>No</v>
      </c>
      <c r="E440" s="1" t="s">
        <v>22</v>
      </c>
      <c r="F440" s="1">
        <v>0</v>
      </c>
      <c r="G440" s="1" t="s">
        <v>25</v>
      </c>
      <c r="H440" s="1" t="str">
        <f t="shared" si="32"/>
        <v>No</v>
      </c>
      <c r="I440" s="1"/>
      <c r="J440" s="1">
        <v>6255</v>
      </c>
      <c r="K440" s="1">
        <v>2258</v>
      </c>
      <c r="L440" s="1">
        <v>87</v>
      </c>
      <c r="M440" s="1">
        <f t="shared" si="33"/>
        <v>360</v>
      </c>
      <c r="N440" s="1">
        <v>360</v>
      </c>
      <c r="O440" s="1">
        <f t="shared" si="34"/>
        <v>0</v>
      </c>
      <c r="P440" s="1">
        <v>0</v>
      </c>
      <c r="Q440" s="1" t="s">
        <v>41</v>
      </c>
      <c r="R440" s="1" t="s">
        <v>20</v>
      </c>
    </row>
    <row r="441" spans="1:18" x14ac:dyDescent="0.35">
      <c r="A441" s="1" t="s">
        <v>472</v>
      </c>
      <c r="B441" s="1" t="str">
        <f t="shared" si="30"/>
        <v>Unknown</v>
      </c>
      <c r="C441" s="1"/>
      <c r="D441" s="1" t="str">
        <f t="shared" si="31"/>
        <v>Yes</v>
      </c>
      <c r="E441" s="1" t="s">
        <v>15</v>
      </c>
      <c r="F441" s="1">
        <v>1</v>
      </c>
      <c r="G441" s="1" t="s">
        <v>25</v>
      </c>
      <c r="H441" s="1" t="str">
        <f t="shared" si="32"/>
        <v>No</v>
      </c>
      <c r="I441" s="1" t="s">
        <v>18</v>
      </c>
      <c r="J441" s="1">
        <v>11223</v>
      </c>
      <c r="K441" s="1">
        <v>9144</v>
      </c>
      <c r="L441" s="1">
        <v>436</v>
      </c>
      <c r="M441" s="1">
        <f t="shared" si="33"/>
        <v>120</v>
      </c>
      <c r="N441" s="1">
        <v>120</v>
      </c>
      <c r="O441" s="1">
        <f t="shared" si="34"/>
        <v>1</v>
      </c>
      <c r="P441" s="1">
        <v>1</v>
      </c>
      <c r="Q441" s="1" t="s">
        <v>30</v>
      </c>
      <c r="R441" s="1" t="s">
        <v>26</v>
      </c>
    </row>
    <row r="442" spans="1:18" x14ac:dyDescent="0.35">
      <c r="A442" s="1" t="s">
        <v>473</v>
      </c>
      <c r="B442" s="1" t="str">
        <f t="shared" si="30"/>
        <v>Female</v>
      </c>
      <c r="C442" s="1" t="s">
        <v>28</v>
      </c>
      <c r="D442" s="1" t="str">
        <f t="shared" si="31"/>
        <v>No</v>
      </c>
      <c r="E442" s="1"/>
      <c r="F442" s="1" t="s">
        <v>16</v>
      </c>
      <c r="G442" s="1" t="s">
        <v>25</v>
      </c>
      <c r="H442" s="1" t="str">
        <f t="shared" si="32"/>
        <v>No</v>
      </c>
      <c r="I442" s="1" t="s">
        <v>18</v>
      </c>
      <c r="J442" s="1">
        <v>8610</v>
      </c>
      <c r="K442" s="1">
        <v>4690</v>
      </c>
      <c r="L442" s="1">
        <v>238</v>
      </c>
      <c r="M442" s="1">
        <f t="shared" si="33"/>
        <v>360</v>
      </c>
      <c r="N442" s="1"/>
      <c r="O442" s="1">
        <f t="shared" si="34"/>
        <v>0</v>
      </c>
      <c r="P442" s="1"/>
      <c r="Q442" s="1" t="s">
        <v>30</v>
      </c>
      <c r="R442" s="1" t="s">
        <v>26</v>
      </c>
    </row>
    <row r="443" spans="1:18" x14ac:dyDescent="0.35">
      <c r="A443" s="1" t="s">
        <v>474</v>
      </c>
      <c r="B443" s="1" t="str">
        <f t="shared" si="30"/>
        <v>Female</v>
      </c>
      <c r="C443" s="1" t="s">
        <v>28</v>
      </c>
      <c r="D443" s="1" t="str">
        <f t="shared" si="31"/>
        <v>No</v>
      </c>
      <c r="E443" s="1"/>
      <c r="F443" s="1" t="s">
        <v>16</v>
      </c>
      <c r="G443" s="1" t="s">
        <v>17</v>
      </c>
      <c r="H443" s="1" t="str">
        <f t="shared" si="32"/>
        <v>No</v>
      </c>
      <c r="I443" s="1" t="s">
        <v>18</v>
      </c>
      <c r="J443" s="1">
        <v>14806</v>
      </c>
      <c r="K443" s="1">
        <v>3589</v>
      </c>
      <c r="L443" s="1">
        <v>318</v>
      </c>
      <c r="M443" s="1">
        <f t="shared" si="33"/>
        <v>120</v>
      </c>
      <c r="N443" s="1">
        <v>120</v>
      </c>
      <c r="O443" s="1">
        <f t="shared" si="34"/>
        <v>1</v>
      </c>
      <c r="P443" s="1">
        <v>1</v>
      </c>
      <c r="Q443" s="1" t="s">
        <v>30</v>
      </c>
      <c r="R443" s="1" t="s">
        <v>26</v>
      </c>
    </row>
    <row r="444" spans="1:18" x14ac:dyDescent="0.35">
      <c r="A444" s="1" t="s">
        <v>475</v>
      </c>
      <c r="B444" s="1" t="str">
        <f t="shared" si="30"/>
        <v>Male</v>
      </c>
      <c r="C444" s="1" t="s">
        <v>14</v>
      </c>
      <c r="D444" s="1" t="str">
        <f t="shared" si="31"/>
        <v>Yes</v>
      </c>
      <c r="E444" s="1" t="s">
        <v>29</v>
      </c>
      <c r="F444" s="1">
        <v>1</v>
      </c>
      <c r="G444" s="1" t="s">
        <v>25</v>
      </c>
      <c r="H444" s="1" t="str">
        <f t="shared" si="32"/>
        <v>Yes</v>
      </c>
      <c r="I444" s="1" t="s">
        <v>15</v>
      </c>
      <c r="J444" s="1">
        <v>10218</v>
      </c>
      <c r="K444" s="1">
        <v>7090</v>
      </c>
      <c r="L444" s="1">
        <v>93</v>
      </c>
      <c r="M444" s="1">
        <f t="shared" si="33"/>
        <v>120</v>
      </c>
      <c r="N444" s="1">
        <v>120</v>
      </c>
      <c r="O444" s="1">
        <f t="shared" si="34"/>
        <v>0</v>
      </c>
      <c r="P444" s="1"/>
      <c r="Q444" s="1" t="s">
        <v>41</v>
      </c>
      <c r="R444" s="1" t="s">
        <v>26</v>
      </c>
    </row>
    <row r="445" spans="1:18" x14ac:dyDescent="0.35">
      <c r="A445" s="1" t="s">
        <v>476</v>
      </c>
      <c r="B445" s="1" t="str">
        <f t="shared" si="30"/>
        <v>Male</v>
      </c>
      <c r="C445" s="1" t="s">
        <v>52</v>
      </c>
      <c r="D445" s="1" t="str">
        <f t="shared" si="31"/>
        <v>No</v>
      </c>
      <c r="E445" s="1"/>
      <c r="F445" s="1">
        <v>2</v>
      </c>
      <c r="G445" s="1" t="s">
        <v>25</v>
      </c>
      <c r="H445" s="1" t="str">
        <f t="shared" si="32"/>
        <v>No</v>
      </c>
      <c r="I445" s="1" t="s">
        <v>36</v>
      </c>
      <c r="J445" s="1">
        <v>16211</v>
      </c>
      <c r="K445" s="1">
        <v>6065</v>
      </c>
      <c r="L445" s="1">
        <v>252</v>
      </c>
      <c r="M445" s="1">
        <f t="shared" si="33"/>
        <v>120</v>
      </c>
      <c r="N445" s="1">
        <v>120</v>
      </c>
      <c r="O445" s="1">
        <f t="shared" si="34"/>
        <v>0</v>
      </c>
      <c r="P445" s="1">
        <v>0</v>
      </c>
      <c r="Q445" s="1" t="s">
        <v>30</v>
      </c>
      <c r="R445" s="1" t="s">
        <v>20</v>
      </c>
    </row>
    <row r="446" spans="1:18" x14ac:dyDescent="0.35">
      <c r="A446" s="1" t="s">
        <v>477</v>
      </c>
      <c r="B446" s="1" t="str">
        <f t="shared" si="30"/>
        <v>Unknown</v>
      </c>
      <c r="C446" s="1"/>
      <c r="D446" s="1" t="str">
        <f t="shared" si="31"/>
        <v>No</v>
      </c>
      <c r="E446" s="1"/>
      <c r="F446" s="1">
        <v>1</v>
      </c>
      <c r="G446" s="1" t="s">
        <v>25</v>
      </c>
      <c r="H446" s="1" t="str">
        <f t="shared" si="32"/>
        <v>No</v>
      </c>
      <c r="I446" s="1"/>
      <c r="J446" s="1">
        <v>17524</v>
      </c>
      <c r="K446" s="1">
        <v>1724</v>
      </c>
      <c r="L446" s="1">
        <v>267</v>
      </c>
      <c r="M446" s="1">
        <f t="shared" si="33"/>
        <v>360</v>
      </c>
      <c r="N446" s="1">
        <v>360</v>
      </c>
      <c r="O446" s="1">
        <f t="shared" si="34"/>
        <v>0</v>
      </c>
      <c r="P446" s="1">
        <v>0</v>
      </c>
      <c r="Q446" s="1" t="s">
        <v>19</v>
      </c>
      <c r="R446" s="1" t="s">
        <v>26</v>
      </c>
    </row>
    <row r="447" spans="1:18" x14ac:dyDescent="0.35">
      <c r="A447" s="1" t="s">
        <v>478</v>
      </c>
      <c r="B447" s="1" t="str">
        <f t="shared" si="30"/>
        <v>Male</v>
      </c>
      <c r="C447" s="1" t="s">
        <v>52</v>
      </c>
      <c r="D447" s="1" t="str">
        <f t="shared" si="31"/>
        <v>Yes</v>
      </c>
      <c r="E447" s="1" t="s">
        <v>15</v>
      </c>
      <c r="F447" s="1">
        <v>2</v>
      </c>
      <c r="G447" s="1" t="s">
        <v>25</v>
      </c>
      <c r="H447" s="1" t="str">
        <f t="shared" si="32"/>
        <v>No</v>
      </c>
      <c r="I447" s="1" t="s">
        <v>18</v>
      </c>
      <c r="J447" s="1">
        <v>10584</v>
      </c>
      <c r="K447" s="1">
        <v>8381</v>
      </c>
      <c r="L447" s="1">
        <v>176</v>
      </c>
      <c r="M447" s="1">
        <f t="shared" si="33"/>
        <v>180</v>
      </c>
      <c r="N447" s="1">
        <v>180</v>
      </c>
      <c r="O447" s="1">
        <f t="shared" si="34"/>
        <v>0</v>
      </c>
      <c r="P447" s="1">
        <v>0</v>
      </c>
      <c r="Q447" s="1" t="s">
        <v>30</v>
      </c>
      <c r="R447" s="1" t="s">
        <v>26</v>
      </c>
    </row>
    <row r="448" spans="1:18" x14ac:dyDescent="0.35">
      <c r="A448" s="1" t="s">
        <v>479</v>
      </c>
      <c r="B448" s="1" t="str">
        <f t="shared" si="30"/>
        <v>Unknown</v>
      </c>
      <c r="C448" s="1"/>
      <c r="D448" s="1" t="str">
        <f t="shared" si="31"/>
        <v>Yes</v>
      </c>
      <c r="E448" s="1" t="s">
        <v>24</v>
      </c>
      <c r="F448" s="1">
        <v>2</v>
      </c>
      <c r="G448" s="1" t="s">
        <v>25</v>
      </c>
      <c r="H448" s="1" t="str">
        <f t="shared" si="32"/>
        <v>Yes</v>
      </c>
      <c r="I448" s="1" t="s">
        <v>29</v>
      </c>
      <c r="J448" s="1">
        <v>6997</v>
      </c>
      <c r="K448" s="1">
        <v>5823</v>
      </c>
      <c r="L448" s="1">
        <v>58</v>
      </c>
      <c r="M448" s="1">
        <f t="shared" si="33"/>
        <v>120</v>
      </c>
      <c r="N448" s="1">
        <v>120</v>
      </c>
      <c r="O448" s="1">
        <f t="shared" si="34"/>
        <v>0</v>
      </c>
      <c r="P448" s="1"/>
      <c r="Q448" s="1" t="s">
        <v>41</v>
      </c>
      <c r="R448" s="1" t="s">
        <v>20</v>
      </c>
    </row>
    <row r="449" spans="1:18" x14ac:dyDescent="0.35">
      <c r="A449" s="1" t="s">
        <v>480</v>
      </c>
      <c r="B449" s="1" t="str">
        <f t="shared" si="30"/>
        <v>Unknown</v>
      </c>
      <c r="C449" s="1"/>
      <c r="D449" s="1" t="str">
        <f t="shared" si="31"/>
        <v>No</v>
      </c>
      <c r="E449" s="1"/>
      <c r="F449" s="1" t="s">
        <v>16</v>
      </c>
      <c r="G449" s="1" t="s">
        <v>17</v>
      </c>
      <c r="H449" s="1" t="str">
        <f t="shared" si="32"/>
        <v>No</v>
      </c>
      <c r="I449" s="1" t="s">
        <v>22</v>
      </c>
      <c r="J449" s="1">
        <v>18941</v>
      </c>
      <c r="K449" s="1">
        <v>2589</v>
      </c>
      <c r="L449" s="1">
        <v>523</v>
      </c>
      <c r="M449" s="1">
        <f t="shared" si="33"/>
        <v>120</v>
      </c>
      <c r="N449" s="1">
        <v>120</v>
      </c>
      <c r="O449" s="1">
        <f t="shared" si="34"/>
        <v>0</v>
      </c>
      <c r="P449" s="1">
        <v>0</v>
      </c>
      <c r="Q449" s="1" t="s">
        <v>19</v>
      </c>
      <c r="R449" s="1" t="s">
        <v>26</v>
      </c>
    </row>
    <row r="450" spans="1:18" x14ac:dyDescent="0.35">
      <c r="A450" s="1" t="s">
        <v>481</v>
      </c>
      <c r="B450" s="1" t="str">
        <f t="shared" ref="B450:B513" si="35">IF(ISBLANK(C450),"Unknown", IF(LOWER(TRIM(C450))="male","Male","Female"))</f>
        <v>Unknown</v>
      </c>
      <c r="C450" s="1"/>
      <c r="D450" s="1" t="str">
        <f t="shared" ref="D450:D513" si="36">IF(ISBLANK(E450),"No",PROPER(TRIM(E450)))</f>
        <v>Yes</v>
      </c>
      <c r="E450" s="1" t="s">
        <v>24</v>
      </c>
      <c r="F450" s="1">
        <v>0</v>
      </c>
      <c r="G450" s="1" t="s">
        <v>17</v>
      </c>
      <c r="H450" s="1" t="str">
        <f t="shared" ref="H450:H513" si="37">IF(ISBLANK(I450),"No",PROPER(TRIM(I450)))</f>
        <v>No</v>
      </c>
      <c r="I450" s="1" t="s">
        <v>36</v>
      </c>
      <c r="J450" s="1">
        <v>13701</v>
      </c>
      <c r="K450" s="1">
        <v>205</v>
      </c>
      <c r="L450" s="1">
        <v>457</v>
      </c>
      <c r="M450" s="1">
        <f t="shared" ref="M450:M513" si="38">IF(ISBLANK(N450),360,N450)</f>
        <v>360</v>
      </c>
      <c r="N450" s="1">
        <v>360</v>
      </c>
      <c r="O450" s="1">
        <f t="shared" ref="O450:O513" si="39">IF(ISBLANK(P450),0,P450)</f>
        <v>1</v>
      </c>
      <c r="P450" s="1">
        <v>1</v>
      </c>
      <c r="Q450" s="1" t="s">
        <v>19</v>
      </c>
      <c r="R450" s="1" t="s">
        <v>20</v>
      </c>
    </row>
    <row r="451" spans="1:18" x14ac:dyDescent="0.35">
      <c r="A451" s="1" t="s">
        <v>482</v>
      </c>
      <c r="B451" s="1" t="str">
        <f t="shared" si="35"/>
        <v>Unknown</v>
      </c>
      <c r="C451" s="1"/>
      <c r="D451" s="1" t="str">
        <f t="shared" si="36"/>
        <v>No</v>
      </c>
      <c r="E451" s="1" t="s">
        <v>36</v>
      </c>
      <c r="F451" s="1" t="s">
        <v>16</v>
      </c>
      <c r="G451" s="1" t="s">
        <v>25</v>
      </c>
      <c r="H451" s="1" t="str">
        <f t="shared" si="37"/>
        <v>No</v>
      </c>
      <c r="I451" s="1" t="s">
        <v>36</v>
      </c>
      <c r="J451" s="1">
        <v>9550</v>
      </c>
      <c r="K451" s="1">
        <v>3407</v>
      </c>
      <c r="L451" s="1">
        <v>337</v>
      </c>
      <c r="M451" s="1">
        <f t="shared" si="38"/>
        <v>180</v>
      </c>
      <c r="N451" s="1">
        <v>180</v>
      </c>
      <c r="O451" s="1">
        <f t="shared" si="39"/>
        <v>0</v>
      </c>
      <c r="P451" s="1"/>
      <c r="Q451" s="1" t="s">
        <v>41</v>
      </c>
      <c r="R451" s="1" t="s">
        <v>20</v>
      </c>
    </row>
    <row r="452" spans="1:18" x14ac:dyDescent="0.35">
      <c r="A452" s="1" t="s">
        <v>483</v>
      </c>
      <c r="B452" s="1" t="str">
        <f t="shared" si="35"/>
        <v>Unknown</v>
      </c>
      <c r="C452" s="1"/>
      <c r="D452" s="1" t="str">
        <f t="shared" si="36"/>
        <v>No</v>
      </c>
      <c r="E452" s="1"/>
      <c r="F452" s="1">
        <v>0</v>
      </c>
      <c r="G452" s="1" t="s">
        <v>25</v>
      </c>
      <c r="H452" s="1" t="str">
        <f t="shared" si="37"/>
        <v>No</v>
      </c>
      <c r="I452" s="1" t="s">
        <v>36</v>
      </c>
      <c r="J452" s="1">
        <v>2762</v>
      </c>
      <c r="K452" s="1">
        <v>1577</v>
      </c>
      <c r="L452" s="1">
        <v>566</v>
      </c>
      <c r="M452" s="1">
        <f t="shared" si="38"/>
        <v>180</v>
      </c>
      <c r="N452" s="1">
        <v>180</v>
      </c>
      <c r="O452" s="1">
        <f t="shared" si="39"/>
        <v>0</v>
      </c>
      <c r="P452" s="1"/>
      <c r="Q452" s="1" t="s">
        <v>41</v>
      </c>
      <c r="R452" s="1" t="s">
        <v>20</v>
      </c>
    </row>
    <row r="453" spans="1:18" x14ac:dyDescent="0.35">
      <c r="A453" s="1" t="s">
        <v>484</v>
      </c>
      <c r="B453" s="1" t="str">
        <f t="shared" si="35"/>
        <v>Male</v>
      </c>
      <c r="C453" s="1" t="s">
        <v>33</v>
      </c>
      <c r="D453" s="1" t="str">
        <f t="shared" si="36"/>
        <v>No</v>
      </c>
      <c r="E453" s="1" t="s">
        <v>22</v>
      </c>
      <c r="F453" s="1">
        <v>2</v>
      </c>
      <c r="G453" s="1" t="s">
        <v>17</v>
      </c>
      <c r="H453" s="1" t="str">
        <f t="shared" si="37"/>
        <v>No</v>
      </c>
      <c r="I453" s="1" t="s">
        <v>22</v>
      </c>
      <c r="J453" s="1">
        <v>2850</v>
      </c>
      <c r="K453" s="1">
        <v>6969</v>
      </c>
      <c r="L453" s="1">
        <v>256</v>
      </c>
      <c r="M453" s="1">
        <f t="shared" si="38"/>
        <v>360</v>
      </c>
      <c r="N453" s="1"/>
      <c r="O453" s="1">
        <f t="shared" si="39"/>
        <v>0</v>
      </c>
      <c r="P453" s="1">
        <v>0</v>
      </c>
      <c r="Q453" s="1" t="s">
        <v>19</v>
      </c>
      <c r="R453" s="1" t="s">
        <v>26</v>
      </c>
    </row>
    <row r="454" spans="1:18" x14ac:dyDescent="0.35">
      <c r="A454" s="1" t="s">
        <v>485</v>
      </c>
      <c r="B454" s="1" t="str">
        <f t="shared" si="35"/>
        <v>Unknown</v>
      </c>
      <c r="C454" s="1"/>
      <c r="D454" s="1" t="str">
        <f t="shared" si="36"/>
        <v>No</v>
      </c>
      <c r="E454" s="1"/>
      <c r="F454" s="1">
        <v>2</v>
      </c>
      <c r="G454" s="1" t="s">
        <v>17</v>
      </c>
      <c r="H454" s="1" t="str">
        <f t="shared" si="37"/>
        <v>No</v>
      </c>
      <c r="I454" s="1"/>
      <c r="J454" s="1">
        <v>18826</v>
      </c>
      <c r="K454" s="1">
        <v>3259</v>
      </c>
      <c r="L454" s="1">
        <v>145</v>
      </c>
      <c r="M454" s="1">
        <f t="shared" si="38"/>
        <v>360</v>
      </c>
      <c r="N454" s="1"/>
      <c r="O454" s="1">
        <f t="shared" si="39"/>
        <v>0</v>
      </c>
      <c r="P454" s="1">
        <v>0</v>
      </c>
      <c r="Q454" s="1" t="s">
        <v>19</v>
      </c>
      <c r="R454" s="1" t="s">
        <v>26</v>
      </c>
    </row>
    <row r="455" spans="1:18" x14ac:dyDescent="0.35">
      <c r="A455" s="1" t="s">
        <v>486</v>
      </c>
      <c r="B455" s="1" t="str">
        <f t="shared" si="35"/>
        <v>Unknown</v>
      </c>
      <c r="C455" s="1"/>
      <c r="D455" s="1" t="str">
        <f t="shared" si="36"/>
        <v>Yes</v>
      </c>
      <c r="E455" s="1" t="s">
        <v>24</v>
      </c>
      <c r="F455" s="1">
        <v>0</v>
      </c>
      <c r="G455" s="1" t="s">
        <v>17</v>
      </c>
      <c r="H455" s="1" t="str">
        <f t="shared" si="37"/>
        <v>Yes</v>
      </c>
      <c r="I455" s="1" t="s">
        <v>29</v>
      </c>
      <c r="J455" s="1">
        <v>11908</v>
      </c>
      <c r="K455" s="1">
        <v>6779</v>
      </c>
      <c r="L455" s="1">
        <v>230</v>
      </c>
      <c r="M455" s="1">
        <f t="shared" si="38"/>
        <v>360</v>
      </c>
      <c r="N455" s="1">
        <v>360</v>
      </c>
      <c r="O455" s="1">
        <f t="shared" si="39"/>
        <v>1</v>
      </c>
      <c r="P455" s="1">
        <v>1</v>
      </c>
      <c r="Q455" s="1" t="s">
        <v>41</v>
      </c>
      <c r="R455" s="1" t="s">
        <v>20</v>
      </c>
    </row>
    <row r="456" spans="1:18" x14ac:dyDescent="0.35">
      <c r="A456" s="1" t="s">
        <v>487</v>
      </c>
      <c r="B456" s="1" t="str">
        <f t="shared" si="35"/>
        <v>Unknown</v>
      </c>
      <c r="C456" s="1"/>
      <c r="D456" s="1" t="str">
        <f t="shared" si="36"/>
        <v>Yes</v>
      </c>
      <c r="E456" s="1" t="s">
        <v>29</v>
      </c>
      <c r="F456" s="1">
        <v>1</v>
      </c>
      <c r="G456" s="1" t="s">
        <v>17</v>
      </c>
      <c r="H456" s="1" t="str">
        <f t="shared" si="37"/>
        <v>No</v>
      </c>
      <c r="I456" s="1"/>
      <c r="J456" s="1">
        <v>16491</v>
      </c>
      <c r="K456" s="1">
        <v>1561</v>
      </c>
      <c r="L456" s="1">
        <v>312</v>
      </c>
      <c r="M456" s="1">
        <f t="shared" si="38"/>
        <v>180</v>
      </c>
      <c r="N456" s="1">
        <v>180</v>
      </c>
      <c r="O456" s="1">
        <f t="shared" si="39"/>
        <v>0</v>
      </c>
      <c r="P456" s="1"/>
      <c r="Q456" s="1" t="s">
        <v>19</v>
      </c>
      <c r="R456" s="1" t="s">
        <v>20</v>
      </c>
    </row>
    <row r="457" spans="1:18" x14ac:dyDescent="0.35">
      <c r="A457" s="1" t="s">
        <v>488</v>
      </c>
      <c r="B457" s="1" t="str">
        <f t="shared" si="35"/>
        <v>Male</v>
      </c>
      <c r="C457" s="1" t="s">
        <v>33</v>
      </c>
      <c r="D457" s="1" t="str">
        <f t="shared" si="36"/>
        <v>No</v>
      </c>
      <c r="E457" s="1"/>
      <c r="F457" s="1">
        <v>1</v>
      </c>
      <c r="G457" s="1" t="s">
        <v>25</v>
      </c>
      <c r="H457" s="1" t="str">
        <f t="shared" si="37"/>
        <v>No</v>
      </c>
      <c r="I457" s="1" t="s">
        <v>22</v>
      </c>
      <c r="J457" s="1">
        <v>7177</v>
      </c>
      <c r="K457" s="1">
        <v>9310</v>
      </c>
      <c r="L457" s="1">
        <v>632</v>
      </c>
      <c r="M457" s="1">
        <f t="shared" si="38"/>
        <v>360</v>
      </c>
      <c r="N457" s="1"/>
      <c r="O457" s="1">
        <f t="shared" si="39"/>
        <v>0</v>
      </c>
      <c r="P457" s="1"/>
      <c r="Q457" s="1" t="s">
        <v>19</v>
      </c>
      <c r="R457" s="1" t="s">
        <v>26</v>
      </c>
    </row>
    <row r="458" spans="1:18" x14ac:dyDescent="0.35">
      <c r="A458" s="1" t="s">
        <v>489</v>
      </c>
      <c r="B458" s="1" t="str">
        <f t="shared" si="35"/>
        <v>Male</v>
      </c>
      <c r="C458" s="1" t="s">
        <v>33</v>
      </c>
      <c r="D458" s="1" t="str">
        <f t="shared" si="36"/>
        <v>No</v>
      </c>
      <c r="E458" s="1" t="s">
        <v>18</v>
      </c>
      <c r="F458" s="1">
        <v>2</v>
      </c>
      <c r="G458" s="1" t="s">
        <v>17</v>
      </c>
      <c r="H458" s="1" t="str">
        <f t="shared" si="37"/>
        <v>Yes</v>
      </c>
      <c r="I458" s="1" t="s">
        <v>24</v>
      </c>
      <c r="J458" s="1">
        <v>6304</v>
      </c>
      <c r="K458" s="1">
        <v>5662</v>
      </c>
      <c r="L458" s="1">
        <v>637</v>
      </c>
      <c r="M458" s="1">
        <f t="shared" si="38"/>
        <v>360</v>
      </c>
      <c r="N458" s="1">
        <v>360</v>
      </c>
      <c r="O458" s="1">
        <f t="shared" si="39"/>
        <v>1</v>
      </c>
      <c r="P458" s="1">
        <v>1</v>
      </c>
      <c r="Q458" s="1" t="s">
        <v>41</v>
      </c>
      <c r="R458" s="1" t="s">
        <v>20</v>
      </c>
    </row>
    <row r="459" spans="1:18" x14ac:dyDescent="0.35">
      <c r="A459" s="1" t="s">
        <v>490</v>
      </c>
      <c r="B459" s="1" t="str">
        <f t="shared" si="35"/>
        <v>Unknown</v>
      </c>
      <c r="C459" s="1"/>
      <c r="D459" s="1" t="str">
        <f t="shared" si="36"/>
        <v>No</v>
      </c>
      <c r="E459" s="1" t="s">
        <v>22</v>
      </c>
      <c r="F459" s="1" t="s">
        <v>16</v>
      </c>
      <c r="G459" s="1" t="s">
        <v>25</v>
      </c>
      <c r="H459" s="1" t="str">
        <f t="shared" si="37"/>
        <v>No</v>
      </c>
      <c r="I459" s="1"/>
      <c r="J459" s="1">
        <v>13242</v>
      </c>
      <c r="K459" s="1">
        <v>4649</v>
      </c>
      <c r="L459" s="1">
        <v>164</v>
      </c>
      <c r="M459" s="1">
        <f t="shared" si="38"/>
        <v>360</v>
      </c>
      <c r="N459" s="1">
        <v>360</v>
      </c>
      <c r="O459" s="1">
        <f t="shared" si="39"/>
        <v>1</v>
      </c>
      <c r="P459" s="1">
        <v>1</v>
      </c>
      <c r="Q459" s="1" t="s">
        <v>30</v>
      </c>
      <c r="R459" s="1" t="s">
        <v>26</v>
      </c>
    </row>
    <row r="460" spans="1:18" x14ac:dyDescent="0.35">
      <c r="A460" s="1" t="s">
        <v>491</v>
      </c>
      <c r="B460" s="1" t="str">
        <f t="shared" si="35"/>
        <v>Male</v>
      </c>
      <c r="C460" s="1" t="s">
        <v>52</v>
      </c>
      <c r="D460" s="1" t="str">
        <f t="shared" si="36"/>
        <v>No</v>
      </c>
      <c r="E460" s="1" t="s">
        <v>22</v>
      </c>
      <c r="F460" s="1">
        <v>0</v>
      </c>
      <c r="G460" s="1" t="s">
        <v>25</v>
      </c>
      <c r="H460" s="1" t="str">
        <f t="shared" si="37"/>
        <v>No</v>
      </c>
      <c r="I460" s="1"/>
      <c r="J460" s="1">
        <v>5191</v>
      </c>
      <c r="K460" s="1">
        <v>9412</v>
      </c>
      <c r="L460" s="1">
        <v>181</v>
      </c>
      <c r="M460" s="1">
        <f t="shared" si="38"/>
        <v>180</v>
      </c>
      <c r="N460" s="1">
        <v>180</v>
      </c>
      <c r="O460" s="1">
        <f t="shared" si="39"/>
        <v>0</v>
      </c>
      <c r="P460" s="1">
        <v>0</v>
      </c>
      <c r="Q460" s="1" t="s">
        <v>19</v>
      </c>
      <c r="R460" s="1" t="s">
        <v>26</v>
      </c>
    </row>
    <row r="461" spans="1:18" x14ac:dyDescent="0.35">
      <c r="A461" s="1" t="s">
        <v>492</v>
      </c>
      <c r="B461" s="1" t="str">
        <f t="shared" si="35"/>
        <v>Unknown</v>
      </c>
      <c r="C461" s="1"/>
      <c r="D461" s="1" t="str">
        <f t="shared" si="36"/>
        <v>No</v>
      </c>
      <c r="E461" s="1" t="s">
        <v>36</v>
      </c>
      <c r="F461" s="1">
        <v>1</v>
      </c>
      <c r="G461" s="1" t="s">
        <v>17</v>
      </c>
      <c r="H461" s="1" t="str">
        <f t="shared" si="37"/>
        <v>No</v>
      </c>
      <c r="I461" s="1" t="s">
        <v>36</v>
      </c>
      <c r="J461" s="1">
        <v>5564</v>
      </c>
      <c r="K461" s="1">
        <v>4812</v>
      </c>
      <c r="L461" s="1">
        <v>69</v>
      </c>
      <c r="M461" s="1">
        <f t="shared" si="38"/>
        <v>180</v>
      </c>
      <c r="N461" s="1">
        <v>180</v>
      </c>
      <c r="O461" s="1">
        <f t="shared" si="39"/>
        <v>1</v>
      </c>
      <c r="P461" s="1">
        <v>1</v>
      </c>
      <c r="Q461" s="1" t="s">
        <v>19</v>
      </c>
      <c r="R461" s="1" t="s">
        <v>20</v>
      </c>
    </row>
    <row r="462" spans="1:18" x14ac:dyDescent="0.35">
      <c r="A462" s="1" t="s">
        <v>493</v>
      </c>
      <c r="B462" s="1" t="str">
        <f t="shared" si="35"/>
        <v>Unknown</v>
      </c>
      <c r="C462" s="1"/>
      <c r="D462" s="1" t="str">
        <f t="shared" si="36"/>
        <v>Yes</v>
      </c>
      <c r="E462" s="1" t="s">
        <v>15</v>
      </c>
      <c r="F462" s="1">
        <v>1</v>
      </c>
      <c r="G462" s="1" t="s">
        <v>25</v>
      </c>
      <c r="H462" s="1" t="str">
        <f t="shared" si="37"/>
        <v>Yes</v>
      </c>
      <c r="I462" s="1" t="s">
        <v>24</v>
      </c>
      <c r="J462" s="1">
        <v>11845</v>
      </c>
      <c r="K462" s="1">
        <v>8624</v>
      </c>
      <c r="L462" s="1">
        <v>472</v>
      </c>
      <c r="M462" s="1">
        <f t="shared" si="38"/>
        <v>180</v>
      </c>
      <c r="N462" s="1">
        <v>180</v>
      </c>
      <c r="O462" s="1">
        <f t="shared" si="39"/>
        <v>1</v>
      </c>
      <c r="P462" s="1">
        <v>1</v>
      </c>
      <c r="Q462" s="1" t="s">
        <v>41</v>
      </c>
      <c r="R462" s="1" t="s">
        <v>26</v>
      </c>
    </row>
    <row r="463" spans="1:18" x14ac:dyDescent="0.35">
      <c r="A463" s="1" t="s">
        <v>494</v>
      </c>
      <c r="B463" s="1" t="str">
        <f t="shared" si="35"/>
        <v>Female</v>
      </c>
      <c r="C463" s="1" t="s">
        <v>61</v>
      </c>
      <c r="D463" s="1" t="str">
        <f t="shared" si="36"/>
        <v>No</v>
      </c>
      <c r="E463" s="1"/>
      <c r="F463" s="1">
        <v>1</v>
      </c>
      <c r="G463" s="1" t="s">
        <v>25</v>
      </c>
      <c r="H463" s="1" t="str">
        <f t="shared" si="37"/>
        <v>No</v>
      </c>
      <c r="I463" s="1"/>
      <c r="J463" s="1">
        <v>18374</v>
      </c>
      <c r="K463" s="1">
        <v>9759</v>
      </c>
      <c r="L463" s="1">
        <v>557</v>
      </c>
      <c r="M463" s="1">
        <f t="shared" si="38"/>
        <v>180</v>
      </c>
      <c r="N463" s="1">
        <v>180</v>
      </c>
      <c r="O463" s="1">
        <f t="shared" si="39"/>
        <v>0</v>
      </c>
      <c r="P463" s="1">
        <v>0</v>
      </c>
      <c r="Q463" s="1" t="s">
        <v>19</v>
      </c>
      <c r="R463" s="1" t="s">
        <v>26</v>
      </c>
    </row>
    <row r="464" spans="1:18" x14ac:dyDescent="0.35">
      <c r="A464" s="1" t="s">
        <v>495</v>
      </c>
      <c r="B464" s="1" t="str">
        <f t="shared" si="35"/>
        <v>Unknown</v>
      </c>
      <c r="C464" s="1"/>
      <c r="D464" s="1" t="str">
        <f t="shared" si="36"/>
        <v>No</v>
      </c>
      <c r="E464" s="1"/>
      <c r="F464" s="1">
        <v>2</v>
      </c>
      <c r="G464" s="1" t="s">
        <v>17</v>
      </c>
      <c r="H464" s="1" t="str">
        <f t="shared" si="37"/>
        <v>No</v>
      </c>
      <c r="I464" s="1"/>
      <c r="J464" s="1">
        <v>12480</v>
      </c>
      <c r="K464" s="1">
        <v>6916</v>
      </c>
      <c r="L464" s="1">
        <v>638</v>
      </c>
      <c r="M464" s="1">
        <f t="shared" si="38"/>
        <v>360</v>
      </c>
      <c r="N464" s="1">
        <v>360</v>
      </c>
      <c r="O464" s="1">
        <f t="shared" si="39"/>
        <v>1</v>
      </c>
      <c r="P464" s="1">
        <v>1</v>
      </c>
      <c r="Q464" s="1" t="s">
        <v>19</v>
      </c>
      <c r="R464" s="1" t="s">
        <v>26</v>
      </c>
    </row>
    <row r="465" spans="1:18" x14ac:dyDescent="0.35">
      <c r="A465" s="1" t="s">
        <v>496</v>
      </c>
      <c r="B465" s="1" t="str">
        <f t="shared" si="35"/>
        <v>Female</v>
      </c>
      <c r="C465" s="1" t="s">
        <v>61</v>
      </c>
      <c r="D465" s="1" t="str">
        <f t="shared" si="36"/>
        <v>Yes</v>
      </c>
      <c r="E465" s="1" t="s">
        <v>24</v>
      </c>
      <c r="F465" s="1">
        <v>1</v>
      </c>
      <c r="G465" s="1" t="s">
        <v>25</v>
      </c>
      <c r="H465" s="1" t="str">
        <f t="shared" si="37"/>
        <v>No</v>
      </c>
      <c r="I465" s="1" t="s">
        <v>18</v>
      </c>
      <c r="J465" s="1">
        <v>5626</v>
      </c>
      <c r="K465" s="1">
        <v>5108</v>
      </c>
      <c r="L465" s="1">
        <v>201</v>
      </c>
      <c r="M465" s="1">
        <f t="shared" si="38"/>
        <v>360</v>
      </c>
      <c r="N465" s="1">
        <v>360</v>
      </c>
      <c r="O465" s="1">
        <f t="shared" si="39"/>
        <v>1</v>
      </c>
      <c r="P465" s="1">
        <v>1</v>
      </c>
      <c r="Q465" s="1" t="s">
        <v>19</v>
      </c>
      <c r="R465" s="1" t="s">
        <v>26</v>
      </c>
    </row>
    <row r="466" spans="1:18" x14ac:dyDescent="0.35">
      <c r="A466" s="1" t="s">
        <v>497</v>
      </c>
      <c r="B466" s="1" t="str">
        <f t="shared" si="35"/>
        <v>Male</v>
      </c>
      <c r="C466" s="1" t="s">
        <v>52</v>
      </c>
      <c r="D466" s="1" t="str">
        <f t="shared" si="36"/>
        <v>Yes</v>
      </c>
      <c r="E466" s="1" t="s">
        <v>24</v>
      </c>
      <c r="F466" s="1">
        <v>1</v>
      </c>
      <c r="G466" s="1" t="s">
        <v>25</v>
      </c>
      <c r="H466" s="1" t="str">
        <f t="shared" si="37"/>
        <v>Yes</v>
      </c>
      <c r="I466" s="1" t="s">
        <v>15</v>
      </c>
      <c r="J466" s="1">
        <v>6223</v>
      </c>
      <c r="K466" s="1">
        <v>7666</v>
      </c>
      <c r="L466" s="1">
        <v>678</v>
      </c>
      <c r="M466" s="1">
        <f t="shared" si="38"/>
        <v>120</v>
      </c>
      <c r="N466" s="1">
        <v>120</v>
      </c>
      <c r="O466" s="1">
        <f t="shared" si="39"/>
        <v>1</v>
      </c>
      <c r="P466" s="1">
        <v>1</v>
      </c>
      <c r="Q466" s="1" t="s">
        <v>19</v>
      </c>
      <c r="R466" s="1" t="s">
        <v>20</v>
      </c>
    </row>
    <row r="467" spans="1:18" x14ac:dyDescent="0.35">
      <c r="A467" s="1" t="s">
        <v>498</v>
      </c>
      <c r="B467" s="1" t="str">
        <f t="shared" si="35"/>
        <v>Male</v>
      </c>
      <c r="C467" s="1" t="s">
        <v>52</v>
      </c>
      <c r="D467" s="1" t="str">
        <f t="shared" si="36"/>
        <v>Yes</v>
      </c>
      <c r="E467" s="1" t="s">
        <v>24</v>
      </c>
      <c r="F467" s="1">
        <v>1</v>
      </c>
      <c r="G467" s="1" t="s">
        <v>17</v>
      </c>
      <c r="H467" s="1" t="str">
        <f t="shared" si="37"/>
        <v>No</v>
      </c>
      <c r="I467" s="1"/>
      <c r="J467" s="1">
        <v>1544</v>
      </c>
      <c r="K467" s="1">
        <v>4085</v>
      </c>
      <c r="L467" s="1">
        <v>457</v>
      </c>
      <c r="M467" s="1">
        <f t="shared" si="38"/>
        <v>360</v>
      </c>
      <c r="N467" s="1">
        <v>360</v>
      </c>
      <c r="O467" s="1">
        <f t="shared" si="39"/>
        <v>1</v>
      </c>
      <c r="P467" s="1">
        <v>1</v>
      </c>
      <c r="Q467" s="1" t="s">
        <v>19</v>
      </c>
      <c r="R467" s="1" t="s">
        <v>20</v>
      </c>
    </row>
    <row r="468" spans="1:18" x14ac:dyDescent="0.35">
      <c r="A468" s="1" t="s">
        <v>499</v>
      </c>
      <c r="B468" s="1" t="str">
        <f t="shared" si="35"/>
        <v>Unknown</v>
      </c>
      <c r="C468" s="1"/>
      <c r="D468" s="1" t="str">
        <f t="shared" si="36"/>
        <v>No</v>
      </c>
      <c r="E468" s="1" t="s">
        <v>36</v>
      </c>
      <c r="F468" s="1">
        <v>1</v>
      </c>
      <c r="G468" s="1" t="s">
        <v>25</v>
      </c>
      <c r="H468" s="1" t="str">
        <f t="shared" si="37"/>
        <v>No</v>
      </c>
      <c r="I468" s="1" t="s">
        <v>36</v>
      </c>
      <c r="J468" s="1">
        <v>3723</v>
      </c>
      <c r="K468" s="1">
        <v>679</v>
      </c>
      <c r="L468" s="1">
        <v>620</v>
      </c>
      <c r="M468" s="1">
        <f t="shared" si="38"/>
        <v>360</v>
      </c>
      <c r="N468" s="1">
        <v>360</v>
      </c>
      <c r="O468" s="1">
        <f t="shared" si="39"/>
        <v>0</v>
      </c>
      <c r="P468" s="1"/>
      <c r="Q468" s="1" t="s">
        <v>30</v>
      </c>
      <c r="R468" s="1" t="s">
        <v>26</v>
      </c>
    </row>
    <row r="469" spans="1:18" x14ac:dyDescent="0.35">
      <c r="A469" s="1" t="s">
        <v>500</v>
      </c>
      <c r="B469" s="1" t="str">
        <f t="shared" si="35"/>
        <v>Unknown</v>
      </c>
      <c r="C469" s="1"/>
      <c r="D469" s="1" t="str">
        <f t="shared" si="36"/>
        <v>No</v>
      </c>
      <c r="E469" s="1"/>
      <c r="F469" s="1" t="s">
        <v>16</v>
      </c>
      <c r="G469" s="1" t="s">
        <v>25</v>
      </c>
      <c r="H469" s="1" t="str">
        <f t="shared" si="37"/>
        <v>Yes</v>
      </c>
      <c r="I469" s="1" t="s">
        <v>29</v>
      </c>
      <c r="J469" s="1">
        <v>6018</v>
      </c>
      <c r="K469" s="1">
        <v>1504</v>
      </c>
      <c r="L469" s="1">
        <v>447</v>
      </c>
      <c r="M469" s="1">
        <f t="shared" si="38"/>
        <v>120</v>
      </c>
      <c r="N469" s="1">
        <v>120</v>
      </c>
      <c r="O469" s="1">
        <f t="shared" si="39"/>
        <v>1</v>
      </c>
      <c r="P469" s="1">
        <v>1</v>
      </c>
      <c r="Q469" s="1" t="s">
        <v>41</v>
      </c>
      <c r="R469" s="1" t="s">
        <v>26</v>
      </c>
    </row>
    <row r="470" spans="1:18" x14ac:dyDescent="0.35">
      <c r="A470" s="1" t="s">
        <v>501</v>
      </c>
      <c r="B470" s="1" t="str">
        <f t="shared" si="35"/>
        <v>Female</v>
      </c>
      <c r="C470" s="1" t="s">
        <v>28</v>
      </c>
      <c r="D470" s="1" t="str">
        <f t="shared" si="36"/>
        <v>No</v>
      </c>
      <c r="E470" s="1"/>
      <c r="F470" s="1">
        <v>1</v>
      </c>
      <c r="G470" s="1" t="s">
        <v>17</v>
      </c>
      <c r="H470" s="1" t="str">
        <f t="shared" si="37"/>
        <v>No</v>
      </c>
      <c r="I470" s="1" t="s">
        <v>18</v>
      </c>
      <c r="J470" s="1">
        <v>6075</v>
      </c>
      <c r="K470" s="1">
        <v>2959</v>
      </c>
      <c r="L470" s="1">
        <v>228</v>
      </c>
      <c r="M470" s="1">
        <f t="shared" si="38"/>
        <v>360</v>
      </c>
      <c r="N470" s="1">
        <v>360</v>
      </c>
      <c r="O470" s="1">
        <f t="shared" si="39"/>
        <v>1</v>
      </c>
      <c r="P470" s="1">
        <v>1</v>
      </c>
      <c r="Q470" s="1" t="s">
        <v>19</v>
      </c>
      <c r="R470" s="1" t="s">
        <v>26</v>
      </c>
    </row>
    <row r="471" spans="1:18" x14ac:dyDescent="0.35">
      <c r="A471" s="1" t="s">
        <v>502</v>
      </c>
      <c r="B471" s="1" t="str">
        <f t="shared" si="35"/>
        <v>Unknown</v>
      </c>
      <c r="C471" s="1"/>
      <c r="D471" s="1" t="str">
        <f t="shared" si="36"/>
        <v>No</v>
      </c>
      <c r="E471" s="1"/>
      <c r="F471" s="1" t="s">
        <v>16</v>
      </c>
      <c r="G471" s="1" t="s">
        <v>25</v>
      </c>
      <c r="H471" s="1" t="str">
        <f t="shared" si="37"/>
        <v>No</v>
      </c>
      <c r="I471" s="1"/>
      <c r="J471" s="1">
        <v>12721</v>
      </c>
      <c r="K471" s="1">
        <v>1499</v>
      </c>
      <c r="L471" s="1">
        <v>511</v>
      </c>
      <c r="M471" s="1">
        <f t="shared" si="38"/>
        <v>360</v>
      </c>
      <c r="N471" s="1"/>
      <c r="O471" s="1">
        <f t="shared" si="39"/>
        <v>0</v>
      </c>
      <c r="P471" s="1">
        <v>0</v>
      </c>
      <c r="Q471" s="1" t="s">
        <v>30</v>
      </c>
      <c r="R471" s="1" t="s">
        <v>20</v>
      </c>
    </row>
    <row r="472" spans="1:18" x14ac:dyDescent="0.35">
      <c r="A472" s="1" t="s">
        <v>503</v>
      </c>
      <c r="B472" s="1" t="str">
        <f t="shared" si="35"/>
        <v>Male</v>
      </c>
      <c r="C472" s="1" t="s">
        <v>33</v>
      </c>
      <c r="D472" s="1" t="str">
        <f t="shared" si="36"/>
        <v>Yes</v>
      </c>
      <c r="E472" s="1" t="s">
        <v>15</v>
      </c>
      <c r="F472" s="1">
        <v>2</v>
      </c>
      <c r="G472" s="1" t="s">
        <v>25</v>
      </c>
      <c r="H472" s="1" t="str">
        <f t="shared" si="37"/>
        <v>No</v>
      </c>
      <c r="I472" s="1"/>
      <c r="J472" s="1">
        <v>5606</v>
      </c>
      <c r="K472" s="1">
        <v>2711</v>
      </c>
      <c r="L472" s="1">
        <v>185</v>
      </c>
      <c r="M472" s="1">
        <f t="shared" si="38"/>
        <v>180</v>
      </c>
      <c r="N472" s="1">
        <v>180</v>
      </c>
      <c r="O472" s="1">
        <f t="shared" si="39"/>
        <v>0</v>
      </c>
      <c r="P472" s="1"/>
      <c r="Q472" s="1" t="s">
        <v>19</v>
      </c>
      <c r="R472" s="1" t="s">
        <v>26</v>
      </c>
    </row>
    <row r="473" spans="1:18" x14ac:dyDescent="0.35">
      <c r="A473" s="1" t="s">
        <v>504</v>
      </c>
      <c r="B473" s="1" t="str">
        <f t="shared" si="35"/>
        <v>Female</v>
      </c>
      <c r="C473" s="1" t="s">
        <v>43</v>
      </c>
      <c r="D473" s="1" t="str">
        <f t="shared" si="36"/>
        <v>Yes</v>
      </c>
      <c r="E473" s="1" t="s">
        <v>29</v>
      </c>
      <c r="F473" s="1">
        <v>0</v>
      </c>
      <c r="G473" s="1" t="s">
        <v>17</v>
      </c>
      <c r="H473" s="1" t="str">
        <f t="shared" si="37"/>
        <v>No</v>
      </c>
      <c r="I473" s="1" t="s">
        <v>22</v>
      </c>
      <c r="J473" s="1">
        <v>2995</v>
      </c>
      <c r="K473" s="1">
        <v>1590</v>
      </c>
      <c r="L473" s="1">
        <v>437</v>
      </c>
      <c r="M473" s="1">
        <f t="shared" si="38"/>
        <v>120</v>
      </c>
      <c r="N473" s="1">
        <v>120</v>
      </c>
      <c r="O473" s="1">
        <f t="shared" si="39"/>
        <v>0</v>
      </c>
      <c r="P473" s="1"/>
      <c r="Q473" s="1" t="s">
        <v>19</v>
      </c>
      <c r="R473" s="1" t="s">
        <v>26</v>
      </c>
    </row>
    <row r="474" spans="1:18" x14ac:dyDescent="0.35">
      <c r="A474" s="1" t="s">
        <v>505</v>
      </c>
      <c r="B474" s="1" t="str">
        <f t="shared" si="35"/>
        <v>Female</v>
      </c>
      <c r="C474" s="1" t="s">
        <v>43</v>
      </c>
      <c r="D474" s="1" t="str">
        <f t="shared" si="36"/>
        <v>Yes</v>
      </c>
      <c r="E474" s="1" t="s">
        <v>29</v>
      </c>
      <c r="F474" s="1" t="s">
        <v>16</v>
      </c>
      <c r="G474" s="1" t="s">
        <v>17</v>
      </c>
      <c r="H474" s="1" t="str">
        <f t="shared" si="37"/>
        <v>No</v>
      </c>
      <c r="I474" s="1" t="s">
        <v>18</v>
      </c>
      <c r="J474" s="1">
        <v>19069</v>
      </c>
      <c r="K474" s="1">
        <v>1742</v>
      </c>
      <c r="L474" s="1">
        <v>211</v>
      </c>
      <c r="M474" s="1">
        <f t="shared" si="38"/>
        <v>120</v>
      </c>
      <c r="N474" s="1">
        <v>120</v>
      </c>
      <c r="O474" s="1">
        <f t="shared" si="39"/>
        <v>0</v>
      </c>
      <c r="P474" s="1">
        <v>0</v>
      </c>
      <c r="Q474" s="1" t="s">
        <v>41</v>
      </c>
      <c r="R474" s="1" t="s">
        <v>20</v>
      </c>
    </row>
    <row r="475" spans="1:18" x14ac:dyDescent="0.35">
      <c r="A475" s="1" t="s">
        <v>506</v>
      </c>
      <c r="B475" s="1" t="str">
        <f t="shared" si="35"/>
        <v>Female</v>
      </c>
      <c r="C475" s="1" t="s">
        <v>61</v>
      </c>
      <c r="D475" s="1" t="str">
        <f t="shared" si="36"/>
        <v>No</v>
      </c>
      <c r="E475" s="1"/>
      <c r="F475" s="1" t="s">
        <v>16</v>
      </c>
      <c r="G475" s="1" t="s">
        <v>25</v>
      </c>
      <c r="H475" s="1" t="str">
        <f t="shared" si="37"/>
        <v>No</v>
      </c>
      <c r="I475" s="1"/>
      <c r="J475" s="1">
        <v>17250</v>
      </c>
      <c r="K475" s="1">
        <v>787</v>
      </c>
      <c r="L475" s="1">
        <v>393</v>
      </c>
      <c r="M475" s="1">
        <f t="shared" si="38"/>
        <v>360</v>
      </c>
      <c r="N475" s="1"/>
      <c r="O475" s="1">
        <f t="shared" si="39"/>
        <v>0</v>
      </c>
      <c r="P475" s="1">
        <v>0</v>
      </c>
      <c r="Q475" s="1" t="s">
        <v>41</v>
      </c>
      <c r="R475" s="1" t="s">
        <v>20</v>
      </c>
    </row>
    <row r="476" spans="1:18" x14ac:dyDescent="0.35">
      <c r="A476" s="1" t="s">
        <v>507</v>
      </c>
      <c r="B476" s="1" t="str">
        <f t="shared" si="35"/>
        <v>Female</v>
      </c>
      <c r="C476" s="1" t="s">
        <v>43</v>
      </c>
      <c r="D476" s="1" t="str">
        <f t="shared" si="36"/>
        <v>No</v>
      </c>
      <c r="E476" s="1" t="s">
        <v>18</v>
      </c>
      <c r="F476" s="1">
        <v>0</v>
      </c>
      <c r="G476" s="1" t="s">
        <v>25</v>
      </c>
      <c r="H476" s="1" t="str">
        <f t="shared" si="37"/>
        <v>No</v>
      </c>
      <c r="I476" s="1"/>
      <c r="J476" s="1">
        <v>7113</v>
      </c>
      <c r="K476" s="1">
        <v>2643</v>
      </c>
      <c r="L476" s="1">
        <v>561</v>
      </c>
      <c r="M476" s="1">
        <f t="shared" si="38"/>
        <v>360</v>
      </c>
      <c r="N476" s="1"/>
      <c r="O476" s="1">
        <f t="shared" si="39"/>
        <v>0</v>
      </c>
      <c r="P476" s="1">
        <v>0</v>
      </c>
      <c r="Q476" s="1" t="s">
        <v>19</v>
      </c>
      <c r="R476" s="1" t="s">
        <v>26</v>
      </c>
    </row>
    <row r="477" spans="1:18" x14ac:dyDescent="0.35">
      <c r="A477" s="1" t="s">
        <v>508</v>
      </c>
      <c r="B477" s="1" t="str">
        <f t="shared" si="35"/>
        <v>Male</v>
      </c>
      <c r="C477" s="1" t="s">
        <v>33</v>
      </c>
      <c r="D477" s="1" t="str">
        <f t="shared" si="36"/>
        <v>Yes</v>
      </c>
      <c r="E477" s="1" t="s">
        <v>15</v>
      </c>
      <c r="F477" s="1">
        <v>1</v>
      </c>
      <c r="G477" s="1" t="s">
        <v>25</v>
      </c>
      <c r="H477" s="1" t="str">
        <f t="shared" si="37"/>
        <v>No</v>
      </c>
      <c r="I477" s="1"/>
      <c r="J477" s="1">
        <v>14829</v>
      </c>
      <c r="K477" s="1">
        <v>1074</v>
      </c>
      <c r="L477" s="1">
        <v>91</v>
      </c>
      <c r="M477" s="1">
        <f t="shared" si="38"/>
        <v>360</v>
      </c>
      <c r="N477" s="1">
        <v>360</v>
      </c>
      <c r="O477" s="1">
        <f t="shared" si="39"/>
        <v>0</v>
      </c>
      <c r="P477" s="1"/>
      <c r="Q477" s="1" t="s">
        <v>30</v>
      </c>
      <c r="R477" s="1" t="s">
        <v>20</v>
      </c>
    </row>
    <row r="478" spans="1:18" x14ac:dyDescent="0.35">
      <c r="A478" s="1" t="s">
        <v>509</v>
      </c>
      <c r="B478" s="1" t="str">
        <f t="shared" si="35"/>
        <v>Unknown</v>
      </c>
      <c r="C478" s="1"/>
      <c r="D478" s="1" t="str">
        <f t="shared" si="36"/>
        <v>No</v>
      </c>
      <c r="E478" s="1" t="s">
        <v>18</v>
      </c>
      <c r="F478" s="1" t="s">
        <v>16</v>
      </c>
      <c r="G478" s="1" t="s">
        <v>17</v>
      </c>
      <c r="H478" s="1" t="str">
        <f t="shared" si="37"/>
        <v>No</v>
      </c>
      <c r="I478" s="1" t="s">
        <v>22</v>
      </c>
      <c r="J478" s="1">
        <v>18583</v>
      </c>
      <c r="K478" s="1">
        <v>7926</v>
      </c>
      <c r="L478" s="1">
        <v>411</v>
      </c>
      <c r="M478" s="1">
        <f t="shared" si="38"/>
        <v>120</v>
      </c>
      <c r="N478" s="1">
        <v>120</v>
      </c>
      <c r="O478" s="1">
        <f t="shared" si="39"/>
        <v>0</v>
      </c>
      <c r="P478" s="1"/>
      <c r="Q478" s="1" t="s">
        <v>19</v>
      </c>
      <c r="R478" s="1" t="s">
        <v>26</v>
      </c>
    </row>
    <row r="479" spans="1:18" x14ac:dyDescent="0.35">
      <c r="A479" s="1" t="s">
        <v>510</v>
      </c>
      <c r="B479" s="1" t="str">
        <f t="shared" si="35"/>
        <v>Unknown</v>
      </c>
      <c r="C479" s="1"/>
      <c r="D479" s="1" t="str">
        <f t="shared" si="36"/>
        <v>No</v>
      </c>
      <c r="E479" s="1" t="s">
        <v>36</v>
      </c>
      <c r="F479" s="1">
        <v>0</v>
      </c>
      <c r="G479" s="1" t="s">
        <v>17</v>
      </c>
      <c r="H479" s="1" t="str">
        <f t="shared" si="37"/>
        <v>No</v>
      </c>
      <c r="I479" s="1"/>
      <c r="J479" s="1">
        <v>5054</v>
      </c>
      <c r="K479" s="1">
        <v>9119</v>
      </c>
      <c r="L479" s="1">
        <v>302</v>
      </c>
      <c r="M479" s="1">
        <f t="shared" si="38"/>
        <v>180</v>
      </c>
      <c r="N479" s="1">
        <v>180</v>
      </c>
      <c r="O479" s="1">
        <f t="shared" si="39"/>
        <v>0</v>
      </c>
      <c r="P479" s="1">
        <v>0</v>
      </c>
      <c r="Q479" s="1" t="s">
        <v>41</v>
      </c>
      <c r="R479" s="1" t="s">
        <v>20</v>
      </c>
    </row>
    <row r="480" spans="1:18" x14ac:dyDescent="0.35">
      <c r="A480" s="1" t="s">
        <v>511</v>
      </c>
      <c r="B480" s="1" t="str">
        <f t="shared" si="35"/>
        <v>Unknown</v>
      </c>
      <c r="C480" s="1"/>
      <c r="D480" s="1" t="str">
        <f t="shared" si="36"/>
        <v>Yes</v>
      </c>
      <c r="E480" s="1" t="s">
        <v>24</v>
      </c>
      <c r="F480" s="1" t="s">
        <v>16</v>
      </c>
      <c r="G480" s="1" t="s">
        <v>17</v>
      </c>
      <c r="H480" s="1" t="str">
        <f t="shared" si="37"/>
        <v>No</v>
      </c>
      <c r="I480" s="1" t="s">
        <v>18</v>
      </c>
      <c r="J480" s="1">
        <v>11493</v>
      </c>
      <c r="K480" s="1">
        <v>9923</v>
      </c>
      <c r="L480" s="1">
        <v>544</v>
      </c>
      <c r="M480" s="1">
        <f t="shared" si="38"/>
        <v>180</v>
      </c>
      <c r="N480" s="1">
        <v>180</v>
      </c>
      <c r="O480" s="1">
        <f t="shared" si="39"/>
        <v>0</v>
      </c>
      <c r="P480" s="1"/>
      <c r="Q480" s="1" t="s">
        <v>30</v>
      </c>
      <c r="R480" s="1" t="s">
        <v>20</v>
      </c>
    </row>
    <row r="481" spans="1:18" x14ac:dyDescent="0.35">
      <c r="A481" s="1" t="s">
        <v>512</v>
      </c>
      <c r="B481" s="1" t="str">
        <f t="shared" si="35"/>
        <v>Female</v>
      </c>
      <c r="C481" s="1" t="s">
        <v>28</v>
      </c>
      <c r="D481" s="1" t="str">
        <f t="shared" si="36"/>
        <v>No</v>
      </c>
      <c r="E481" s="1"/>
      <c r="F481" s="1">
        <v>1</v>
      </c>
      <c r="G481" s="1" t="s">
        <v>17</v>
      </c>
      <c r="H481" s="1" t="str">
        <f t="shared" si="37"/>
        <v>Yes</v>
      </c>
      <c r="I481" s="1" t="s">
        <v>29</v>
      </c>
      <c r="J481" s="1">
        <v>10609</v>
      </c>
      <c r="K481" s="1">
        <v>8712</v>
      </c>
      <c r="L481" s="1">
        <v>396</v>
      </c>
      <c r="M481" s="1">
        <f t="shared" si="38"/>
        <v>180</v>
      </c>
      <c r="N481" s="1">
        <v>180</v>
      </c>
      <c r="O481" s="1">
        <f t="shared" si="39"/>
        <v>1</v>
      </c>
      <c r="P481" s="1">
        <v>1</v>
      </c>
      <c r="Q481" s="1" t="s">
        <v>30</v>
      </c>
      <c r="R481" s="1" t="s">
        <v>20</v>
      </c>
    </row>
    <row r="482" spans="1:18" x14ac:dyDescent="0.35">
      <c r="A482" s="1" t="s">
        <v>513</v>
      </c>
      <c r="B482" s="1" t="str">
        <f t="shared" si="35"/>
        <v>Male</v>
      </c>
      <c r="C482" s="1" t="s">
        <v>14</v>
      </c>
      <c r="D482" s="1" t="str">
        <f t="shared" si="36"/>
        <v>No</v>
      </c>
      <c r="E482" s="1" t="s">
        <v>18</v>
      </c>
      <c r="F482" s="1" t="s">
        <v>16</v>
      </c>
      <c r="G482" s="1" t="s">
        <v>17</v>
      </c>
      <c r="H482" s="1" t="str">
        <f t="shared" si="37"/>
        <v>No</v>
      </c>
      <c r="I482" s="1" t="s">
        <v>36</v>
      </c>
      <c r="J482" s="1">
        <v>11664</v>
      </c>
      <c r="K482" s="1">
        <v>2911</v>
      </c>
      <c r="L482" s="1">
        <v>275</v>
      </c>
      <c r="M482" s="1">
        <f t="shared" si="38"/>
        <v>360</v>
      </c>
      <c r="N482" s="1">
        <v>360</v>
      </c>
      <c r="O482" s="1">
        <f t="shared" si="39"/>
        <v>0</v>
      </c>
      <c r="P482" s="1">
        <v>0</v>
      </c>
      <c r="Q482" s="1" t="s">
        <v>19</v>
      </c>
      <c r="R482" s="1" t="s">
        <v>20</v>
      </c>
    </row>
    <row r="483" spans="1:18" x14ac:dyDescent="0.35">
      <c r="A483" s="1" t="s">
        <v>514</v>
      </c>
      <c r="B483" s="1" t="str">
        <f t="shared" si="35"/>
        <v>Male</v>
      </c>
      <c r="C483" s="1" t="s">
        <v>33</v>
      </c>
      <c r="D483" s="1" t="str">
        <f t="shared" si="36"/>
        <v>Yes</v>
      </c>
      <c r="E483" s="1" t="s">
        <v>24</v>
      </c>
      <c r="F483" s="1">
        <v>1</v>
      </c>
      <c r="G483" s="1" t="s">
        <v>25</v>
      </c>
      <c r="H483" s="1" t="str">
        <f t="shared" si="37"/>
        <v>No</v>
      </c>
      <c r="I483" s="1"/>
      <c r="J483" s="1">
        <v>9870</v>
      </c>
      <c r="K483" s="1">
        <v>5353</v>
      </c>
      <c r="L483" s="1">
        <v>655</v>
      </c>
      <c r="M483" s="1">
        <f t="shared" si="38"/>
        <v>360</v>
      </c>
      <c r="N483" s="1"/>
      <c r="O483" s="1">
        <f t="shared" si="39"/>
        <v>0</v>
      </c>
      <c r="P483" s="1">
        <v>0</v>
      </c>
      <c r="Q483" s="1" t="s">
        <v>41</v>
      </c>
      <c r="R483" s="1" t="s">
        <v>26</v>
      </c>
    </row>
    <row r="484" spans="1:18" x14ac:dyDescent="0.35">
      <c r="A484" s="1" t="s">
        <v>515</v>
      </c>
      <c r="B484" s="1" t="str">
        <f t="shared" si="35"/>
        <v>Female</v>
      </c>
      <c r="C484" s="1" t="s">
        <v>28</v>
      </c>
      <c r="D484" s="1" t="str">
        <f t="shared" si="36"/>
        <v>Yes</v>
      </c>
      <c r="E484" s="1" t="s">
        <v>24</v>
      </c>
      <c r="F484" s="1">
        <v>2</v>
      </c>
      <c r="G484" s="1" t="s">
        <v>17</v>
      </c>
      <c r="H484" s="1" t="str">
        <f t="shared" si="37"/>
        <v>No</v>
      </c>
      <c r="I484" s="1"/>
      <c r="J484" s="1">
        <v>6905</v>
      </c>
      <c r="K484" s="1">
        <v>7212</v>
      </c>
      <c r="L484" s="1">
        <v>422</v>
      </c>
      <c r="M484" s="1">
        <f t="shared" si="38"/>
        <v>360</v>
      </c>
      <c r="N484" s="1">
        <v>360</v>
      </c>
      <c r="O484" s="1">
        <f t="shared" si="39"/>
        <v>1</v>
      </c>
      <c r="P484" s="1">
        <v>1</v>
      </c>
      <c r="Q484" s="1" t="s">
        <v>30</v>
      </c>
      <c r="R484" s="1" t="s">
        <v>26</v>
      </c>
    </row>
    <row r="485" spans="1:18" x14ac:dyDescent="0.35">
      <c r="A485" s="1" t="s">
        <v>516</v>
      </c>
      <c r="B485" s="1" t="str">
        <f t="shared" si="35"/>
        <v>Unknown</v>
      </c>
      <c r="C485" s="1"/>
      <c r="D485" s="1" t="str">
        <f t="shared" si="36"/>
        <v>No</v>
      </c>
      <c r="E485" s="1"/>
      <c r="F485" s="1">
        <v>2</v>
      </c>
      <c r="G485" s="1" t="s">
        <v>17</v>
      </c>
      <c r="H485" s="1" t="str">
        <f t="shared" si="37"/>
        <v>No</v>
      </c>
      <c r="I485" s="1"/>
      <c r="J485" s="1">
        <v>8584</v>
      </c>
      <c r="K485" s="1">
        <v>7645</v>
      </c>
      <c r="L485" s="1">
        <v>459</v>
      </c>
      <c r="M485" s="1">
        <f t="shared" si="38"/>
        <v>360</v>
      </c>
      <c r="N485" s="1">
        <v>360</v>
      </c>
      <c r="O485" s="1">
        <f t="shared" si="39"/>
        <v>0</v>
      </c>
      <c r="P485" s="1">
        <v>0</v>
      </c>
      <c r="Q485" s="1" t="s">
        <v>19</v>
      </c>
      <c r="R485" s="1" t="s">
        <v>26</v>
      </c>
    </row>
    <row r="486" spans="1:18" x14ac:dyDescent="0.35">
      <c r="A486" s="1" t="s">
        <v>517</v>
      </c>
      <c r="B486" s="1" t="str">
        <f t="shared" si="35"/>
        <v>Male</v>
      </c>
      <c r="C486" s="1" t="s">
        <v>52</v>
      </c>
      <c r="D486" s="1" t="str">
        <f t="shared" si="36"/>
        <v>No</v>
      </c>
      <c r="E486" s="1" t="s">
        <v>22</v>
      </c>
      <c r="F486" s="1">
        <v>1</v>
      </c>
      <c r="G486" s="1" t="s">
        <v>25</v>
      </c>
      <c r="H486" s="1" t="str">
        <f t="shared" si="37"/>
        <v>No</v>
      </c>
      <c r="I486" s="1"/>
      <c r="J486" s="1">
        <v>4314</v>
      </c>
      <c r="K486" s="1">
        <v>7119</v>
      </c>
      <c r="L486" s="1">
        <v>233</v>
      </c>
      <c r="M486" s="1">
        <f t="shared" si="38"/>
        <v>360</v>
      </c>
      <c r="N486" s="1">
        <v>360</v>
      </c>
      <c r="O486" s="1">
        <f t="shared" si="39"/>
        <v>0</v>
      </c>
      <c r="P486" s="1">
        <v>0</v>
      </c>
      <c r="Q486" s="1" t="s">
        <v>41</v>
      </c>
      <c r="R486" s="1" t="s">
        <v>20</v>
      </c>
    </row>
    <row r="487" spans="1:18" x14ac:dyDescent="0.35">
      <c r="A487" s="1" t="s">
        <v>518</v>
      </c>
      <c r="B487" s="1" t="str">
        <f t="shared" si="35"/>
        <v>Female</v>
      </c>
      <c r="C487" s="1" t="s">
        <v>43</v>
      </c>
      <c r="D487" s="1" t="str">
        <f t="shared" si="36"/>
        <v>Yes</v>
      </c>
      <c r="E487" s="1" t="s">
        <v>15</v>
      </c>
      <c r="F487" s="1">
        <v>2</v>
      </c>
      <c r="G487" s="1" t="s">
        <v>25</v>
      </c>
      <c r="H487" s="1" t="str">
        <f t="shared" si="37"/>
        <v>No</v>
      </c>
      <c r="I487" s="1" t="s">
        <v>22</v>
      </c>
      <c r="J487" s="1">
        <v>8333</v>
      </c>
      <c r="K487" s="1">
        <v>8345</v>
      </c>
      <c r="L487" s="1">
        <v>302</v>
      </c>
      <c r="M487" s="1">
        <f t="shared" si="38"/>
        <v>360</v>
      </c>
      <c r="N487" s="1"/>
      <c r="O487" s="1">
        <f t="shared" si="39"/>
        <v>0</v>
      </c>
      <c r="P487" s="1">
        <v>0</v>
      </c>
      <c r="Q487" s="1" t="s">
        <v>30</v>
      </c>
      <c r="R487" s="1" t="s">
        <v>26</v>
      </c>
    </row>
    <row r="488" spans="1:18" x14ac:dyDescent="0.35">
      <c r="A488" s="1" t="s">
        <v>519</v>
      </c>
      <c r="B488" s="1" t="str">
        <f t="shared" si="35"/>
        <v>Unknown</v>
      </c>
      <c r="C488" s="1"/>
      <c r="D488" s="1" t="str">
        <f t="shared" si="36"/>
        <v>No</v>
      </c>
      <c r="E488" s="1" t="s">
        <v>22</v>
      </c>
      <c r="F488" s="1" t="s">
        <v>16</v>
      </c>
      <c r="G488" s="1" t="s">
        <v>17</v>
      </c>
      <c r="H488" s="1" t="str">
        <f t="shared" si="37"/>
        <v>No</v>
      </c>
      <c r="I488" s="1" t="s">
        <v>22</v>
      </c>
      <c r="J488" s="1">
        <v>5721</v>
      </c>
      <c r="K488" s="1">
        <v>7647</v>
      </c>
      <c r="L488" s="1">
        <v>98</v>
      </c>
      <c r="M488" s="1">
        <f t="shared" si="38"/>
        <v>360</v>
      </c>
      <c r="N488" s="1"/>
      <c r="O488" s="1">
        <f t="shared" si="39"/>
        <v>0</v>
      </c>
      <c r="P488" s="1"/>
      <c r="Q488" s="1" t="s">
        <v>41</v>
      </c>
      <c r="R488" s="1" t="s">
        <v>20</v>
      </c>
    </row>
    <row r="489" spans="1:18" x14ac:dyDescent="0.35">
      <c r="A489" s="1" t="s">
        <v>520</v>
      </c>
      <c r="B489" s="1" t="str">
        <f t="shared" si="35"/>
        <v>Male</v>
      </c>
      <c r="C489" s="1" t="s">
        <v>33</v>
      </c>
      <c r="D489" s="1" t="str">
        <f t="shared" si="36"/>
        <v>No</v>
      </c>
      <c r="E489" s="1"/>
      <c r="F489" s="1">
        <v>0</v>
      </c>
      <c r="G489" s="1" t="s">
        <v>25</v>
      </c>
      <c r="H489" s="1" t="str">
        <f t="shared" si="37"/>
        <v>No</v>
      </c>
      <c r="I489" s="1"/>
      <c r="J489" s="1">
        <v>9630</v>
      </c>
      <c r="K489" s="1">
        <v>7667</v>
      </c>
      <c r="L489" s="1">
        <v>156</v>
      </c>
      <c r="M489" s="1">
        <f t="shared" si="38"/>
        <v>120</v>
      </c>
      <c r="N489" s="1">
        <v>120</v>
      </c>
      <c r="O489" s="1">
        <f t="shared" si="39"/>
        <v>0</v>
      </c>
      <c r="P489" s="1">
        <v>0</v>
      </c>
      <c r="Q489" s="1" t="s">
        <v>41</v>
      </c>
      <c r="R489" s="1" t="s">
        <v>26</v>
      </c>
    </row>
    <row r="490" spans="1:18" x14ac:dyDescent="0.35">
      <c r="A490" s="1" t="s">
        <v>521</v>
      </c>
      <c r="B490" s="1" t="str">
        <f t="shared" si="35"/>
        <v>Male</v>
      </c>
      <c r="C490" s="1" t="s">
        <v>33</v>
      </c>
      <c r="D490" s="1" t="str">
        <f t="shared" si="36"/>
        <v>No</v>
      </c>
      <c r="E490" s="1"/>
      <c r="F490" s="1">
        <v>2</v>
      </c>
      <c r="G490" s="1" t="s">
        <v>17</v>
      </c>
      <c r="H490" s="1" t="str">
        <f t="shared" si="37"/>
        <v>Yes</v>
      </c>
      <c r="I490" s="1" t="s">
        <v>29</v>
      </c>
      <c r="J490" s="1">
        <v>11291</v>
      </c>
      <c r="K490" s="1">
        <v>7763</v>
      </c>
      <c r="L490" s="1">
        <v>193</v>
      </c>
      <c r="M490" s="1">
        <f t="shared" si="38"/>
        <v>120</v>
      </c>
      <c r="N490" s="1">
        <v>120</v>
      </c>
      <c r="O490" s="1">
        <f t="shared" si="39"/>
        <v>1</v>
      </c>
      <c r="P490" s="1">
        <v>1</v>
      </c>
      <c r="Q490" s="1" t="s">
        <v>30</v>
      </c>
      <c r="R490" s="1" t="s">
        <v>26</v>
      </c>
    </row>
    <row r="491" spans="1:18" x14ac:dyDescent="0.35">
      <c r="A491" s="1" t="s">
        <v>522</v>
      </c>
      <c r="B491" s="1" t="str">
        <f t="shared" si="35"/>
        <v>Male</v>
      </c>
      <c r="C491" s="1" t="s">
        <v>14</v>
      </c>
      <c r="D491" s="1" t="str">
        <f t="shared" si="36"/>
        <v>No</v>
      </c>
      <c r="E491" s="1" t="s">
        <v>18</v>
      </c>
      <c r="F491" s="1">
        <v>2</v>
      </c>
      <c r="G491" s="1" t="s">
        <v>17</v>
      </c>
      <c r="H491" s="1" t="str">
        <f t="shared" si="37"/>
        <v>No</v>
      </c>
      <c r="I491" s="1"/>
      <c r="J491" s="1">
        <v>6006</v>
      </c>
      <c r="K491" s="1">
        <v>5231</v>
      </c>
      <c r="L491" s="1">
        <v>657</v>
      </c>
      <c r="M491" s="1">
        <f t="shared" si="38"/>
        <v>180</v>
      </c>
      <c r="N491" s="1">
        <v>180</v>
      </c>
      <c r="O491" s="1">
        <f t="shared" si="39"/>
        <v>1</v>
      </c>
      <c r="P491" s="1">
        <v>1</v>
      </c>
      <c r="Q491" s="1" t="s">
        <v>30</v>
      </c>
      <c r="R491" s="1" t="s">
        <v>20</v>
      </c>
    </row>
    <row r="492" spans="1:18" x14ac:dyDescent="0.35">
      <c r="A492" s="1" t="s">
        <v>523</v>
      </c>
      <c r="B492" s="1" t="str">
        <f t="shared" si="35"/>
        <v>Female</v>
      </c>
      <c r="C492" s="1" t="s">
        <v>61</v>
      </c>
      <c r="D492" s="1" t="str">
        <f t="shared" si="36"/>
        <v>No</v>
      </c>
      <c r="E492" s="1"/>
      <c r="F492" s="1">
        <v>0</v>
      </c>
      <c r="G492" s="1" t="s">
        <v>17</v>
      </c>
      <c r="H492" s="1" t="str">
        <f t="shared" si="37"/>
        <v>No</v>
      </c>
      <c r="I492" s="1" t="s">
        <v>36</v>
      </c>
      <c r="J492" s="1">
        <v>5249</v>
      </c>
      <c r="K492" s="1">
        <v>7622</v>
      </c>
      <c r="L492" s="1">
        <v>570</v>
      </c>
      <c r="M492" s="1">
        <f t="shared" si="38"/>
        <v>360</v>
      </c>
      <c r="N492" s="1"/>
      <c r="O492" s="1">
        <f t="shared" si="39"/>
        <v>1</v>
      </c>
      <c r="P492" s="1">
        <v>1</v>
      </c>
      <c r="Q492" s="1" t="s">
        <v>41</v>
      </c>
      <c r="R492" s="1" t="s">
        <v>20</v>
      </c>
    </row>
    <row r="493" spans="1:18" x14ac:dyDescent="0.35">
      <c r="A493" s="1" t="s">
        <v>524</v>
      </c>
      <c r="B493" s="1" t="str">
        <f t="shared" si="35"/>
        <v>Unknown</v>
      </c>
      <c r="C493" s="1"/>
      <c r="D493" s="1" t="str">
        <f t="shared" si="36"/>
        <v>No</v>
      </c>
      <c r="E493" s="1"/>
      <c r="F493" s="1" t="s">
        <v>16</v>
      </c>
      <c r="G493" s="1" t="s">
        <v>25</v>
      </c>
      <c r="H493" s="1" t="str">
        <f t="shared" si="37"/>
        <v>Yes</v>
      </c>
      <c r="I493" s="1" t="s">
        <v>29</v>
      </c>
      <c r="J493" s="1">
        <v>4076</v>
      </c>
      <c r="K493" s="1">
        <v>8473</v>
      </c>
      <c r="L493" s="1">
        <v>511</v>
      </c>
      <c r="M493" s="1">
        <f t="shared" si="38"/>
        <v>120</v>
      </c>
      <c r="N493" s="1">
        <v>120</v>
      </c>
      <c r="O493" s="1">
        <f t="shared" si="39"/>
        <v>0</v>
      </c>
      <c r="P493" s="1">
        <v>0</v>
      </c>
      <c r="Q493" s="1" t="s">
        <v>41</v>
      </c>
      <c r="R493" s="1" t="s">
        <v>20</v>
      </c>
    </row>
    <row r="494" spans="1:18" x14ac:dyDescent="0.35">
      <c r="A494" s="1" t="s">
        <v>525</v>
      </c>
      <c r="B494" s="1" t="str">
        <f t="shared" si="35"/>
        <v>Unknown</v>
      </c>
      <c r="C494" s="1"/>
      <c r="D494" s="1" t="str">
        <f t="shared" si="36"/>
        <v>No</v>
      </c>
      <c r="E494" s="1"/>
      <c r="F494" s="1">
        <v>2</v>
      </c>
      <c r="G494" s="1" t="s">
        <v>17</v>
      </c>
      <c r="H494" s="1" t="str">
        <f t="shared" si="37"/>
        <v>Yes</v>
      </c>
      <c r="I494" s="1" t="s">
        <v>24</v>
      </c>
      <c r="J494" s="1">
        <v>4583</v>
      </c>
      <c r="K494" s="1">
        <v>3806</v>
      </c>
      <c r="L494" s="1">
        <v>564</v>
      </c>
      <c r="M494" s="1">
        <f t="shared" si="38"/>
        <v>360</v>
      </c>
      <c r="N494" s="1"/>
      <c r="O494" s="1">
        <f t="shared" si="39"/>
        <v>0</v>
      </c>
      <c r="P494" s="1">
        <v>0</v>
      </c>
      <c r="Q494" s="1" t="s">
        <v>19</v>
      </c>
      <c r="R494" s="1" t="s">
        <v>26</v>
      </c>
    </row>
    <row r="495" spans="1:18" x14ac:dyDescent="0.35">
      <c r="A495" s="1" t="s">
        <v>526</v>
      </c>
      <c r="B495" s="1" t="str">
        <f t="shared" si="35"/>
        <v>Unknown</v>
      </c>
      <c r="C495" s="1"/>
      <c r="D495" s="1" t="str">
        <f t="shared" si="36"/>
        <v>No</v>
      </c>
      <c r="E495" s="1" t="s">
        <v>36</v>
      </c>
      <c r="F495" s="1">
        <v>1</v>
      </c>
      <c r="G495" s="1" t="s">
        <v>17</v>
      </c>
      <c r="H495" s="1" t="str">
        <f t="shared" si="37"/>
        <v>No</v>
      </c>
      <c r="I495" s="1"/>
      <c r="J495" s="1">
        <v>6188</v>
      </c>
      <c r="K495" s="1">
        <v>3637</v>
      </c>
      <c r="L495" s="1">
        <v>148</v>
      </c>
      <c r="M495" s="1">
        <f t="shared" si="38"/>
        <v>360</v>
      </c>
      <c r="N495" s="1">
        <v>360</v>
      </c>
      <c r="O495" s="1">
        <f t="shared" si="39"/>
        <v>0</v>
      </c>
      <c r="P495" s="1">
        <v>0</v>
      </c>
      <c r="Q495" s="1" t="s">
        <v>30</v>
      </c>
      <c r="R495" s="1" t="s">
        <v>26</v>
      </c>
    </row>
    <row r="496" spans="1:18" x14ac:dyDescent="0.35">
      <c r="A496" s="1" t="s">
        <v>527</v>
      </c>
      <c r="B496" s="1" t="str">
        <f t="shared" si="35"/>
        <v>Unknown</v>
      </c>
      <c r="C496" s="1"/>
      <c r="D496" s="1" t="str">
        <f t="shared" si="36"/>
        <v>No</v>
      </c>
      <c r="E496" s="1" t="s">
        <v>22</v>
      </c>
      <c r="F496" s="1">
        <v>0</v>
      </c>
      <c r="G496" s="1" t="s">
        <v>17</v>
      </c>
      <c r="H496" s="1" t="str">
        <f t="shared" si="37"/>
        <v>No</v>
      </c>
      <c r="I496" s="1" t="s">
        <v>22</v>
      </c>
      <c r="J496" s="1">
        <v>5260</v>
      </c>
      <c r="K496" s="1">
        <v>9722</v>
      </c>
      <c r="L496" s="1">
        <v>696</v>
      </c>
      <c r="M496" s="1">
        <f t="shared" si="38"/>
        <v>180</v>
      </c>
      <c r="N496" s="1">
        <v>180</v>
      </c>
      <c r="O496" s="1">
        <f t="shared" si="39"/>
        <v>0</v>
      </c>
      <c r="P496" s="1"/>
      <c r="Q496" s="1" t="s">
        <v>41</v>
      </c>
      <c r="R496" s="1" t="s">
        <v>20</v>
      </c>
    </row>
    <row r="497" spans="1:18" x14ac:dyDescent="0.35">
      <c r="A497" s="1" t="s">
        <v>528</v>
      </c>
      <c r="B497" s="1" t="str">
        <f t="shared" si="35"/>
        <v>Unknown</v>
      </c>
      <c r="C497" s="1"/>
      <c r="D497" s="1" t="str">
        <f t="shared" si="36"/>
        <v>No</v>
      </c>
      <c r="E497" s="1" t="s">
        <v>22</v>
      </c>
      <c r="F497" s="1" t="s">
        <v>16</v>
      </c>
      <c r="G497" s="1" t="s">
        <v>17</v>
      </c>
      <c r="H497" s="1" t="str">
        <f t="shared" si="37"/>
        <v>Yes</v>
      </c>
      <c r="I497" s="1" t="s">
        <v>29</v>
      </c>
      <c r="J497" s="1">
        <v>6758</v>
      </c>
      <c r="K497" s="1">
        <v>4092</v>
      </c>
      <c r="L497" s="1">
        <v>224</v>
      </c>
      <c r="M497" s="1">
        <f t="shared" si="38"/>
        <v>360</v>
      </c>
      <c r="N497" s="1">
        <v>360</v>
      </c>
      <c r="O497" s="1">
        <f t="shared" si="39"/>
        <v>0</v>
      </c>
      <c r="P497" s="1">
        <v>0</v>
      </c>
      <c r="Q497" s="1" t="s">
        <v>30</v>
      </c>
      <c r="R497" s="1" t="s">
        <v>20</v>
      </c>
    </row>
    <row r="498" spans="1:18" x14ac:dyDescent="0.35">
      <c r="A498" s="1" t="s">
        <v>529</v>
      </c>
      <c r="B498" s="1" t="str">
        <f t="shared" si="35"/>
        <v>Unknown</v>
      </c>
      <c r="C498" s="1"/>
      <c r="D498" s="1" t="str">
        <f t="shared" si="36"/>
        <v>Yes</v>
      </c>
      <c r="E498" s="1" t="s">
        <v>29</v>
      </c>
      <c r="F498" s="1">
        <v>1</v>
      </c>
      <c r="G498" s="1" t="s">
        <v>25</v>
      </c>
      <c r="H498" s="1" t="str">
        <f t="shared" si="37"/>
        <v>No</v>
      </c>
      <c r="I498" s="1" t="s">
        <v>36</v>
      </c>
      <c r="J498" s="1">
        <v>10814</v>
      </c>
      <c r="K498" s="1">
        <v>8185</v>
      </c>
      <c r="L498" s="1">
        <v>564</v>
      </c>
      <c r="M498" s="1">
        <f t="shared" si="38"/>
        <v>360</v>
      </c>
      <c r="N498" s="1"/>
      <c r="O498" s="1">
        <f t="shared" si="39"/>
        <v>1</v>
      </c>
      <c r="P498" s="1">
        <v>1</v>
      </c>
      <c r="Q498" s="1" t="s">
        <v>30</v>
      </c>
      <c r="R498" s="1" t="s">
        <v>26</v>
      </c>
    </row>
    <row r="499" spans="1:18" x14ac:dyDescent="0.35">
      <c r="A499" s="1" t="s">
        <v>530</v>
      </c>
      <c r="B499" s="1" t="str">
        <f t="shared" si="35"/>
        <v>Male</v>
      </c>
      <c r="C499" s="1" t="s">
        <v>14</v>
      </c>
      <c r="D499" s="1" t="str">
        <f t="shared" si="36"/>
        <v>Yes</v>
      </c>
      <c r="E499" s="1" t="s">
        <v>29</v>
      </c>
      <c r="F499" s="1" t="s">
        <v>16</v>
      </c>
      <c r="G499" s="1" t="s">
        <v>25</v>
      </c>
      <c r="H499" s="1" t="str">
        <f t="shared" si="37"/>
        <v>Yes</v>
      </c>
      <c r="I499" s="1" t="s">
        <v>15</v>
      </c>
      <c r="J499" s="1">
        <v>12100</v>
      </c>
      <c r="K499" s="1">
        <v>9101</v>
      </c>
      <c r="L499" s="1">
        <v>377</v>
      </c>
      <c r="M499" s="1">
        <f t="shared" si="38"/>
        <v>180</v>
      </c>
      <c r="N499" s="1">
        <v>180</v>
      </c>
      <c r="O499" s="1">
        <f t="shared" si="39"/>
        <v>1</v>
      </c>
      <c r="P499" s="1">
        <v>1</v>
      </c>
      <c r="Q499" s="1" t="s">
        <v>30</v>
      </c>
      <c r="R499" s="1" t="s">
        <v>26</v>
      </c>
    </row>
    <row r="500" spans="1:18" x14ac:dyDescent="0.35">
      <c r="A500" s="1" t="s">
        <v>531</v>
      </c>
      <c r="B500" s="1" t="str">
        <f t="shared" si="35"/>
        <v>Unknown</v>
      </c>
      <c r="C500" s="1"/>
      <c r="D500" s="1" t="str">
        <f t="shared" si="36"/>
        <v>Yes</v>
      </c>
      <c r="E500" s="1" t="s">
        <v>24</v>
      </c>
      <c r="F500" s="1" t="s">
        <v>16</v>
      </c>
      <c r="G500" s="1" t="s">
        <v>17</v>
      </c>
      <c r="H500" s="1" t="str">
        <f t="shared" si="37"/>
        <v>No</v>
      </c>
      <c r="I500" s="1" t="s">
        <v>18</v>
      </c>
      <c r="J500" s="1">
        <v>10203</v>
      </c>
      <c r="K500" s="1">
        <v>6419</v>
      </c>
      <c r="L500" s="1">
        <v>496</v>
      </c>
      <c r="M500" s="1">
        <f t="shared" si="38"/>
        <v>360</v>
      </c>
      <c r="N500" s="1">
        <v>360</v>
      </c>
      <c r="O500" s="1">
        <f t="shared" si="39"/>
        <v>0</v>
      </c>
      <c r="P500" s="1">
        <v>0</v>
      </c>
      <c r="Q500" s="1" t="s">
        <v>19</v>
      </c>
      <c r="R500" s="1" t="s">
        <v>26</v>
      </c>
    </row>
    <row r="501" spans="1:18" x14ac:dyDescent="0.35">
      <c r="A501" s="1" t="s">
        <v>532</v>
      </c>
      <c r="B501" s="1" t="str">
        <f t="shared" si="35"/>
        <v>Female</v>
      </c>
      <c r="C501" s="1" t="s">
        <v>43</v>
      </c>
      <c r="D501" s="1" t="str">
        <f t="shared" si="36"/>
        <v>Yes</v>
      </c>
      <c r="E501" s="1" t="s">
        <v>15</v>
      </c>
      <c r="F501" s="1">
        <v>1</v>
      </c>
      <c r="G501" s="1" t="s">
        <v>17</v>
      </c>
      <c r="H501" s="1" t="str">
        <f t="shared" si="37"/>
        <v>No</v>
      </c>
      <c r="I501" s="1"/>
      <c r="J501" s="1">
        <v>3967</v>
      </c>
      <c r="K501" s="1">
        <v>947</v>
      </c>
      <c r="L501" s="1">
        <v>451</v>
      </c>
      <c r="M501" s="1">
        <f t="shared" si="38"/>
        <v>120</v>
      </c>
      <c r="N501" s="1">
        <v>120</v>
      </c>
      <c r="O501" s="1">
        <f t="shared" si="39"/>
        <v>0</v>
      </c>
      <c r="P501" s="1">
        <v>0</v>
      </c>
      <c r="Q501" s="1" t="s">
        <v>41</v>
      </c>
      <c r="R501" s="1" t="s">
        <v>20</v>
      </c>
    </row>
    <row r="502" spans="1:18" x14ac:dyDescent="0.35">
      <c r="A502" s="1" t="s">
        <v>533</v>
      </c>
      <c r="B502" s="1" t="str">
        <f t="shared" si="35"/>
        <v>Female</v>
      </c>
      <c r="C502" s="1" t="s">
        <v>61</v>
      </c>
      <c r="D502" s="1" t="str">
        <f t="shared" si="36"/>
        <v>No</v>
      </c>
      <c r="E502" s="1"/>
      <c r="F502" s="1" t="s">
        <v>16</v>
      </c>
      <c r="G502" s="1" t="s">
        <v>25</v>
      </c>
      <c r="H502" s="1" t="str">
        <f t="shared" si="37"/>
        <v>No</v>
      </c>
      <c r="I502" s="1"/>
      <c r="J502" s="1">
        <v>7254</v>
      </c>
      <c r="K502" s="1">
        <v>6684</v>
      </c>
      <c r="L502" s="1">
        <v>560</v>
      </c>
      <c r="M502" s="1">
        <f t="shared" si="38"/>
        <v>120</v>
      </c>
      <c r="N502" s="1">
        <v>120</v>
      </c>
      <c r="O502" s="1">
        <f t="shared" si="39"/>
        <v>1</v>
      </c>
      <c r="P502" s="1">
        <v>1</v>
      </c>
      <c r="Q502" s="1" t="s">
        <v>19</v>
      </c>
      <c r="R502" s="1" t="s">
        <v>26</v>
      </c>
    </row>
    <row r="503" spans="1:18" x14ac:dyDescent="0.35">
      <c r="A503" s="1" t="s">
        <v>534</v>
      </c>
      <c r="B503" s="1" t="str">
        <f t="shared" si="35"/>
        <v>Unknown</v>
      </c>
      <c r="C503" s="1"/>
      <c r="D503" s="1" t="str">
        <f t="shared" si="36"/>
        <v>No</v>
      </c>
      <c r="E503" s="1" t="s">
        <v>22</v>
      </c>
      <c r="F503" s="1">
        <v>2</v>
      </c>
      <c r="G503" s="1" t="s">
        <v>25</v>
      </c>
      <c r="H503" s="1" t="str">
        <f t="shared" si="37"/>
        <v>Yes</v>
      </c>
      <c r="I503" s="1" t="s">
        <v>24</v>
      </c>
      <c r="J503" s="1">
        <v>12485</v>
      </c>
      <c r="K503" s="1">
        <v>8664</v>
      </c>
      <c r="L503" s="1">
        <v>646</v>
      </c>
      <c r="M503" s="1">
        <f t="shared" si="38"/>
        <v>120</v>
      </c>
      <c r="N503" s="1">
        <v>120</v>
      </c>
      <c r="O503" s="1">
        <f t="shared" si="39"/>
        <v>1</v>
      </c>
      <c r="P503" s="1">
        <v>1</v>
      </c>
      <c r="Q503" s="1" t="s">
        <v>30</v>
      </c>
      <c r="R503" s="1" t="s">
        <v>26</v>
      </c>
    </row>
    <row r="504" spans="1:18" x14ac:dyDescent="0.35">
      <c r="A504" s="1" t="s">
        <v>535</v>
      </c>
      <c r="B504" s="1" t="str">
        <f t="shared" si="35"/>
        <v>Male</v>
      </c>
      <c r="C504" s="1" t="s">
        <v>52</v>
      </c>
      <c r="D504" s="1" t="str">
        <f t="shared" si="36"/>
        <v>No</v>
      </c>
      <c r="E504" s="1"/>
      <c r="F504" s="1">
        <v>2</v>
      </c>
      <c r="G504" s="1" t="s">
        <v>25</v>
      </c>
      <c r="H504" s="1" t="str">
        <f t="shared" si="37"/>
        <v>No</v>
      </c>
      <c r="I504" s="1" t="s">
        <v>22</v>
      </c>
      <c r="J504" s="1">
        <v>4996</v>
      </c>
      <c r="K504" s="1">
        <v>464</v>
      </c>
      <c r="L504" s="1">
        <v>597</v>
      </c>
      <c r="M504" s="1">
        <f t="shared" si="38"/>
        <v>360</v>
      </c>
      <c r="N504" s="1"/>
      <c r="O504" s="1">
        <f t="shared" si="39"/>
        <v>1</v>
      </c>
      <c r="P504" s="1">
        <v>1</v>
      </c>
      <c r="Q504" s="1" t="s">
        <v>19</v>
      </c>
      <c r="R504" s="1" t="s">
        <v>20</v>
      </c>
    </row>
    <row r="505" spans="1:18" x14ac:dyDescent="0.35">
      <c r="A505" s="1" t="s">
        <v>536</v>
      </c>
      <c r="B505" s="1" t="str">
        <f t="shared" si="35"/>
        <v>Unknown</v>
      </c>
      <c r="C505" s="1"/>
      <c r="D505" s="1" t="str">
        <f t="shared" si="36"/>
        <v>No</v>
      </c>
      <c r="E505" s="1"/>
      <c r="F505" s="1">
        <v>0</v>
      </c>
      <c r="G505" s="1" t="s">
        <v>25</v>
      </c>
      <c r="H505" s="1" t="str">
        <f t="shared" si="37"/>
        <v>No</v>
      </c>
      <c r="I505" s="1" t="s">
        <v>22</v>
      </c>
      <c r="J505" s="1">
        <v>16944</v>
      </c>
      <c r="K505" s="1">
        <v>2394</v>
      </c>
      <c r="L505" s="1">
        <v>56</v>
      </c>
      <c r="M505" s="1">
        <f t="shared" si="38"/>
        <v>360</v>
      </c>
      <c r="N505" s="1"/>
      <c r="O505" s="1">
        <f t="shared" si="39"/>
        <v>1</v>
      </c>
      <c r="P505" s="1">
        <v>1</v>
      </c>
      <c r="Q505" s="1" t="s">
        <v>30</v>
      </c>
      <c r="R505" s="1" t="s">
        <v>20</v>
      </c>
    </row>
    <row r="506" spans="1:18" x14ac:dyDescent="0.35">
      <c r="A506" s="1" t="s">
        <v>537</v>
      </c>
      <c r="B506" s="1" t="str">
        <f t="shared" si="35"/>
        <v>Male</v>
      </c>
      <c r="C506" s="1" t="s">
        <v>14</v>
      </c>
      <c r="D506" s="1" t="str">
        <f t="shared" si="36"/>
        <v>No</v>
      </c>
      <c r="E506" s="1"/>
      <c r="F506" s="1">
        <v>2</v>
      </c>
      <c r="G506" s="1" t="s">
        <v>25</v>
      </c>
      <c r="H506" s="1" t="str">
        <f t="shared" si="37"/>
        <v>No</v>
      </c>
      <c r="I506" s="1"/>
      <c r="J506" s="1">
        <v>6623</v>
      </c>
      <c r="K506" s="1">
        <v>4582</v>
      </c>
      <c r="L506" s="1">
        <v>158</v>
      </c>
      <c r="M506" s="1">
        <f t="shared" si="38"/>
        <v>360</v>
      </c>
      <c r="N506" s="1"/>
      <c r="O506" s="1">
        <f t="shared" si="39"/>
        <v>1</v>
      </c>
      <c r="P506" s="1">
        <v>1</v>
      </c>
      <c r="Q506" s="1" t="s">
        <v>19</v>
      </c>
      <c r="R506" s="1" t="s">
        <v>20</v>
      </c>
    </row>
    <row r="507" spans="1:18" x14ac:dyDescent="0.35">
      <c r="A507" s="1" t="s">
        <v>538</v>
      </c>
      <c r="B507" s="1" t="str">
        <f t="shared" si="35"/>
        <v>Unknown</v>
      </c>
      <c r="C507" s="1"/>
      <c r="D507" s="1" t="str">
        <f t="shared" si="36"/>
        <v>No</v>
      </c>
      <c r="E507" s="1"/>
      <c r="F507" s="1" t="s">
        <v>16</v>
      </c>
      <c r="G507" s="1" t="s">
        <v>17</v>
      </c>
      <c r="H507" s="1" t="str">
        <f t="shared" si="37"/>
        <v>Yes</v>
      </c>
      <c r="I507" s="1" t="s">
        <v>29</v>
      </c>
      <c r="J507" s="1">
        <v>7009</v>
      </c>
      <c r="K507" s="1">
        <v>1883</v>
      </c>
      <c r="L507" s="1">
        <v>346</v>
      </c>
      <c r="M507" s="1">
        <f t="shared" si="38"/>
        <v>120</v>
      </c>
      <c r="N507" s="1">
        <v>120</v>
      </c>
      <c r="O507" s="1">
        <f t="shared" si="39"/>
        <v>1</v>
      </c>
      <c r="P507" s="1">
        <v>1</v>
      </c>
      <c r="Q507" s="1" t="s">
        <v>41</v>
      </c>
      <c r="R507" s="1" t="s">
        <v>20</v>
      </c>
    </row>
    <row r="508" spans="1:18" x14ac:dyDescent="0.35">
      <c r="A508" s="1" t="s">
        <v>539</v>
      </c>
      <c r="B508" s="1" t="str">
        <f t="shared" si="35"/>
        <v>Unknown</v>
      </c>
      <c r="C508" s="1"/>
      <c r="D508" s="1" t="str">
        <f t="shared" si="36"/>
        <v>No</v>
      </c>
      <c r="E508" s="1" t="s">
        <v>36</v>
      </c>
      <c r="F508" s="1">
        <v>0</v>
      </c>
      <c r="G508" s="1" t="s">
        <v>25</v>
      </c>
      <c r="H508" s="1" t="str">
        <f t="shared" si="37"/>
        <v>No</v>
      </c>
      <c r="I508" s="1"/>
      <c r="J508" s="1">
        <v>9425</v>
      </c>
      <c r="K508" s="1">
        <v>4530</v>
      </c>
      <c r="L508" s="1">
        <v>584</v>
      </c>
      <c r="M508" s="1">
        <f t="shared" si="38"/>
        <v>360</v>
      </c>
      <c r="N508" s="1"/>
      <c r="O508" s="1">
        <f t="shared" si="39"/>
        <v>0</v>
      </c>
      <c r="P508" s="1">
        <v>0</v>
      </c>
      <c r="Q508" s="1" t="s">
        <v>41</v>
      </c>
      <c r="R508" s="1" t="s">
        <v>20</v>
      </c>
    </row>
    <row r="509" spans="1:18" x14ac:dyDescent="0.35">
      <c r="A509" s="1" t="s">
        <v>540</v>
      </c>
      <c r="B509" s="1" t="str">
        <f t="shared" si="35"/>
        <v>Unknown</v>
      </c>
      <c r="C509" s="1"/>
      <c r="D509" s="1" t="str">
        <f t="shared" si="36"/>
        <v>Yes</v>
      </c>
      <c r="E509" s="1" t="s">
        <v>24</v>
      </c>
      <c r="F509" s="1">
        <v>1</v>
      </c>
      <c r="G509" s="1" t="s">
        <v>25</v>
      </c>
      <c r="H509" s="1" t="str">
        <f t="shared" si="37"/>
        <v>No</v>
      </c>
      <c r="I509" s="1"/>
      <c r="J509" s="1">
        <v>2132</v>
      </c>
      <c r="K509" s="1">
        <v>6885</v>
      </c>
      <c r="L509" s="1">
        <v>419</v>
      </c>
      <c r="M509" s="1">
        <f t="shared" si="38"/>
        <v>120</v>
      </c>
      <c r="N509" s="1">
        <v>120</v>
      </c>
      <c r="O509" s="1">
        <f t="shared" si="39"/>
        <v>0</v>
      </c>
      <c r="P509" s="1"/>
      <c r="Q509" s="1" t="s">
        <v>30</v>
      </c>
      <c r="R509" s="1" t="s">
        <v>26</v>
      </c>
    </row>
    <row r="510" spans="1:18" x14ac:dyDescent="0.35">
      <c r="A510" s="1" t="s">
        <v>541</v>
      </c>
      <c r="B510" s="1" t="str">
        <f t="shared" si="35"/>
        <v>Female</v>
      </c>
      <c r="C510" s="1" t="s">
        <v>43</v>
      </c>
      <c r="D510" s="1" t="str">
        <f t="shared" si="36"/>
        <v>No</v>
      </c>
      <c r="E510" s="1" t="s">
        <v>36</v>
      </c>
      <c r="F510" s="1">
        <v>0</v>
      </c>
      <c r="G510" s="1" t="s">
        <v>17</v>
      </c>
      <c r="H510" s="1" t="str">
        <f t="shared" si="37"/>
        <v>Yes</v>
      </c>
      <c r="I510" s="1" t="s">
        <v>24</v>
      </c>
      <c r="J510" s="1">
        <v>4229</v>
      </c>
      <c r="K510" s="1">
        <v>7148</v>
      </c>
      <c r="L510" s="1">
        <v>168</v>
      </c>
      <c r="M510" s="1">
        <f t="shared" si="38"/>
        <v>360</v>
      </c>
      <c r="N510" s="1"/>
      <c r="O510" s="1">
        <f t="shared" si="39"/>
        <v>0</v>
      </c>
      <c r="P510" s="1">
        <v>0</v>
      </c>
      <c r="Q510" s="1" t="s">
        <v>41</v>
      </c>
      <c r="R510" s="1" t="s">
        <v>26</v>
      </c>
    </row>
    <row r="511" spans="1:18" x14ac:dyDescent="0.35">
      <c r="A511" s="1" t="s">
        <v>542</v>
      </c>
      <c r="B511" s="1" t="str">
        <f t="shared" si="35"/>
        <v>Unknown</v>
      </c>
      <c r="C511" s="1"/>
      <c r="D511" s="1" t="str">
        <f t="shared" si="36"/>
        <v>No</v>
      </c>
      <c r="E511" s="1" t="s">
        <v>18</v>
      </c>
      <c r="F511" s="1">
        <v>0</v>
      </c>
      <c r="G511" s="1" t="s">
        <v>17</v>
      </c>
      <c r="H511" s="1" t="str">
        <f t="shared" si="37"/>
        <v>No</v>
      </c>
      <c r="I511" s="1"/>
      <c r="J511" s="1">
        <v>1538</v>
      </c>
      <c r="K511" s="1">
        <v>550</v>
      </c>
      <c r="L511" s="1">
        <v>266</v>
      </c>
      <c r="M511" s="1">
        <f t="shared" si="38"/>
        <v>120</v>
      </c>
      <c r="N511" s="1">
        <v>120</v>
      </c>
      <c r="O511" s="1">
        <f t="shared" si="39"/>
        <v>1</v>
      </c>
      <c r="P511" s="1">
        <v>1</v>
      </c>
      <c r="Q511" s="1" t="s">
        <v>41</v>
      </c>
      <c r="R511" s="1" t="s">
        <v>26</v>
      </c>
    </row>
    <row r="512" spans="1:18" x14ac:dyDescent="0.35">
      <c r="A512" s="1" t="s">
        <v>543</v>
      </c>
      <c r="B512" s="1" t="str">
        <f t="shared" si="35"/>
        <v>Female</v>
      </c>
      <c r="C512" s="1" t="s">
        <v>61</v>
      </c>
      <c r="D512" s="1" t="str">
        <f t="shared" si="36"/>
        <v>No</v>
      </c>
      <c r="E512" s="1"/>
      <c r="F512" s="1">
        <v>0</v>
      </c>
      <c r="G512" s="1" t="s">
        <v>17</v>
      </c>
      <c r="H512" s="1" t="str">
        <f t="shared" si="37"/>
        <v>No</v>
      </c>
      <c r="I512" s="1"/>
      <c r="J512" s="1">
        <v>8730</v>
      </c>
      <c r="K512" s="1">
        <v>6513</v>
      </c>
      <c r="L512" s="1">
        <v>165</v>
      </c>
      <c r="M512" s="1">
        <f t="shared" si="38"/>
        <v>360</v>
      </c>
      <c r="N512" s="1">
        <v>360</v>
      </c>
      <c r="O512" s="1">
        <f t="shared" si="39"/>
        <v>1</v>
      </c>
      <c r="P512" s="1">
        <v>1</v>
      </c>
      <c r="Q512" s="1" t="s">
        <v>19</v>
      </c>
      <c r="R512" s="1" t="s">
        <v>26</v>
      </c>
    </row>
    <row r="513" spans="1:18" x14ac:dyDescent="0.35">
      <c r="A513" s="1" t="s">
        <v>544</v>
      </c>
      <c r="B513" s="1" t="str">
        <f t="shared" si="35"/>
        <v>Male</v>
      </c>
      <c r="C513" s="1" t="s">
        <v>14</v>
      </c>
      <c r="D513" s="1" t="str">
        <f t="shared" si="36"/>
        <v>Yes</v>
      </c>
      <c r="E513" s="1" t="s">
        <v>29</v>
      </c>
      <c r="F513" s="1">
        <v>2</v>
      </c>
      <c r="G513" s="1" t="s">
        <v>17</v>
      </c>
      <c r="H513" s="1" t="str">
        <f t="shared" si="37"/>
        <v>No</v>
      </c>
      <c r="I513" s="1"/>
      <c r="J513" s="1">
        <v>11373</v>
      </c>
      <c r="K513" s="1">
        <v>8331</v>
      </c>
      <c r="L513" s="1">
        <v>296</v>
      </c>
      <c r="M513" s="1">
        <f t="shared" si="38"/>
        <v>360</v>
      </c>
      <c r="N513" s="1"/>
      <c r="O513" s="1">
        <f t="shared" si="39"/>
        <v>0</v>
      </c>
      <c r="P513" s="1">
        <v>0</v>
      </c>
      <c r="Q513" s="1" t="s">
        <v>30</v>
      </c>
      <c r="R513" s="1" t="s">
        <v>26</v>
      </c>
    </row>
    <row r="514" spans="1:18" x14ac:dyDescent="0.35">
      <c r="A514" s="1" t="s">
        <v>545</v>
      </c>
      <c r="B514" s="1" t="str">
        <f t="shared" ref="B514:B577" si="40">IF(ISBLANK(C514),"Unknown", IF(LOWER(TRIM(C514))="male","Male","Female"))</f>
        <v>Female</v>
      </c>
      <c r="C514" s="1" t="s">
        <v>61</v>
      </c>
      <c r="D514" s="1" t="str">
        <f t="shared" ref="D514:D577" si="41">IF(ISBLANK(E514),"No",PROPER(TRIM(E514)))</f>
        <v>Yes</v>
      </c>
      <c r="E514" s="1" t="s">
        <v>15</v>
      </c>
      <c r="F514" s="1">
        <v>2</v>
      </c>
      <c r="G514" s="1" t="s">
        <v>25</v>
      </c>
      <c r="H514" s="1" t="str">
        <f t="shared" ref="H514:H577" si="42">IF(ISBLANK(I514),"No",PROPER(TRIM(I514)))</f>
        <v>Yes</v>
      </c>
      <c r="I514" s="1" t="s">
        <v>24</v>
      </c>
      <c r="J514" s="1">
        <v>8811</v>
      </c>
      <c r="K514" s="1">
        <v>9126</v>
      </c>
      <c r="L514" s="1">
        <v>318</v>
      </c>
      <c r="M514" s="1">
        <f t="shared" ref="M514:M577" si="43">IF(ISBLANK(N514),360,N514)</f>
        <v>360</v>
      </c>
      <c r="N514" s="1">
        <v>360</v>
      </c>
      <c r="O514" s="1">
        <f t="shared" ref="O514:O577" si="44">IF(ISBLANK(P514),0,P514)</f>
        <v>1</v>
      </c>
      <c r="P514" s="1">
        <v>1</v>
      </c>
      <c r="Q514" s="1" t="s">
        <v>41</v>
      </c>
      <c r="R514" s="1" t="s">
        <v>20</v>
      </c>
    </row>
    <row r="515" spans="1:18" x14ac:dyDescent="0.35">
      <c r="A515" s="1" t="s">
        <v>546</v>
      </c>
      <c r="B515" s="1" t="str">
        <f t="shared" si="40"/>
        <v>Male</v>
      </c>
      <c r="C515" s="1" t="s">
        <v>14</v>
      </c>
      <c r="D515" s="1" t="str">
        <f t="shared" si="41"/>
        <v>No</v>
      </c>
      <c r="E515" s="1"/>
      <c r="F515" s="1">
        <v>2</v>
      </c>
      <c r="G515" s="1" t="s">
        <v>25</v>
      </c>
      <c r="H515" s="1" t="str">
        <f t="shared" si="42"/>
        <v>No</v>
      </c>
      <c r="I515" s="1" t="s">
        <v>36</v>
      </c>
      <c r="J515" s="1">
        <v>2045</v>
      </c>
      <c r="K515" s="1">
        <v>2794</v>
      </c>
      <c r="L515" s="1">
        <v>559</v>
      </c>
      <c r="M515" s="1">
        <f t="shared" si="43"/>
        <v>360</v>
      </c>
      <c r="N515" s="1">
        <v>360</v>
      </c>
      <c r="O515" s="1">
        <f t="shared" si="44"/>
        <v>0</v>
      </c>
      <c r="P515" s="1">
        <v>0</v>
      </c>
      <c r="Q515" s="1" t="s">
        <v>19</v>
      </c>
      <c r="R515" s="1" t="s">
        <v>26</v>
      </c>
    </row>
    <row r="516" spans="1:18" x14ac:dyDescent="0.35">
      <c r="A516" s="1" t="s">
        <v>547</v>
      </c>
      <c r="B516" s="1" t="str">
        <f t="shared" si="40"/>
        <v>Female</v>
      </c>
      <c r="C516" s="1" t="s">
        <v>28</v>
      </c>
      <c r="D516" s="1" t="str">
        <f t="shared" si="41"/>
        <v>Yes</v>
      </c>
      <c r="E516" s="1" t="s">
        <v>24</v>
      </c>
      <c r="F516" s="1">
        <v>2</v>
      </c>
      <c r="G516" s="1" t="s">
        <v>17</v>
      </c>
      <c r="H516" s="1" t="str">
        <f t="shared" si="42"/>
        <v>No</v>
      </c>
      <c r="I516" s="1"/>
      <c r="J516" s="1">
        <v>14368</v>
      </c>
      <c r="K516" s="1">
        <v>1610</v>
      </c>
      <c r="L516" s="1">
        <v>333</v>
      </c>
      <c r="M516" s="1">
        <f t="shared" si="43"/>
        <v>360</v>
      </c>
      <c r="N516" s="1">
        <v>360</v>
      </c>
      <c r="O516" s="1">
        <f t="shared" si="44"/>
        <v>0</v>
      </c>
      <c r="P516" s="1">
        <v>0</v>
      </c>
      <c r="Q516" s="1" t="s">
        <v>41</v>
      </c>
      <c r="R516" s="1" t="s">
        <v>26</v>
      </c>
    </row>
    <row r="517" spans="1:18" x14ac:dyDescent="0.35">
      <c r="A517" s="1" t="s">
        <v>548</v>
      </c>
      <c r="B517" s="1" t="str">
        <f t="shared" si="40"/>
        <v>Female</v>
      </c>
      <c r="C517" s="1" t="s">
        <v>28</v>
      </c>
      <c r="D517" s="1" t="str">
        <f t="shared" si="41"/>
        <v>Yes</v>
      </c>
      <c r="E517" s="1" t="s">
        <v>24</v>
      </c>
      <c r="F517" s="1">
        <v>1</v>
      </c>
      <c r="G517" s="1" t="s">
        <v>25</v>
      </c>
      <c r="H517" s="1" t="str">
        <f t="shared" si="42"/>
        <v>Yes</v>
      </c>
      <c r="I517" s="1" t="s">
        <v>24</v>
      </c>
      <c r="J517" s="1">
        <v>11134</v>
      </c>
      <c r="K517" s="1">
        <v>6634</v>
      </c>
      <c r="L517" s="1">
        <v>619</v>
      </c>
      <c r="M517" s="1">
        <f t="shared" si="43"/>
        <v>180</v>
      </c>
      <c r="N517" s="1">
        <v>180</v>
      </c>
      <c r="O517" s="1">
        <f t="shared" si="44"/>
        <v>0</v>
      </c>
      <c r="P517" s="1"/>
      <c r="Q517" s="1" t="s">
        <v>19</v>
      </c>
      <c r="R517" s="1" t="s">
        <v>26</v>
      </c>
    </row>
    <row r="518" spans="1:18" x14ac:dyDescent="0.35">
      <c r="A518" s="1" t="s">
        <v>549</v>
      </c>
      <c r="B518" s="1" t="str">
        <f t="shared" si="40"/>
        <v>Male</v>
      </c>
      <c r="C518" s="1" t="s">
        <v>52</v>
      </c>
      <c r="D518" s="1" t="str">
        <f t="shared" si="41"/>
        <v>No</v>
      </c>
      <c r="E518" s="1" t="s">
        <v>18</v>
      </c>
      <c r="F518" s="1" t="s">
        <v>16</v>
      </c>
      <c r="G518" s="1" t="s">
        <v>25</v>
      </c>
      <c r="H518" s="1" t="str">
        <f t="shared" si="42"/>
        <v>No</v>
      </c>
      <c r="I518" s="1"/>
      <c r="J518" s="1">
        <v>4097</v>
      </c>
      <c r="K518" s="1">
        <v>3384</v>
      </c>
      <c r="L518" s="1">
        <v>181</v>
      </c>
      <c r="M518" s="1">
        <f t="shared" si="43"/>
        <v>360</v>
      </c>
      <c r="N518" s="1">
        <v>360</v>
      </c>
      <c r="O518" s="1">
        <f t="shared" si="44"/>
        <v>0</v>
      </c>
      <c r="P518" s="1"/>
      <c r="Q518" s="1" t="s">
        <v>19</v>
      </c>
      <c r="R518" s="1" t="s">
        <v>20</v>
      </c>
    </row>
    <row r="519" spans="1:18" x14ac:dyDescent="0.35">
      <c r="A519" s="1" t="s">
        <v>550</v>
      </c>
      <c r="B519" s="1" t="str">
        <f t="shared" si="40"/>
        <v>Male</v>
      </c>
      <c r="C519" s="1" t="s">
        <v>33</v>
      </c>
      <c r="D519" s="1" t="str">
        <f t="shared" si="41"/>
        <v>Yes</v>
      </c>
      <c r="E519" s="1" t="s">
        <v>15</v>
      </c>
      <c r="F519" s="1">
        <v>1</v>
      </c>
      <c r="G519" s="1" t="s">
        <v>25</v>
      </c>
      <c r="H519" s="1" t="str">
        <f t="shared" si="42"/>
        <v>Yes</v>
      </c>
      <c r="I519" s="1" t="s">
        <v>24</v>
      </c>
      <c r="J519" s="1">
        <v>7066</v>
      </c>
      <c r="K519" s="1">
        <v>409</v>
      </c>
      <c r="L519" s="1">
        <v>370</v>
      </c>
      <c r="M519" s="1">
        <f t="shared" si="43"/>
        <v>180</v>
      </c>
      <c r="N519" s="1">
        <v>180</v>
      </c>
      <c r="O519" s="1">
        <f t="shared" si="44"/>
        <v>1</v>
      </c>
      <c r="P519" s="1">
        <v>1</v>
      </c>
      <c r="Q519" s="1" t="s">
        <v>30</v>
      </c>
      <c r="R519" s="1" t="s">
        <v>26</v>
      </c>
    </row>
    <row r="520" spans="1:18" x14ac:dyDescent="0.35">
      <c r="A520" s="1" t="s">
        <v>551</v>
      </c>
      <c r="B520" s="1" t="str">
        <f t="shared" si="40"/>
        <v>Unknown</v>
      </c>
      <c r="C520" s="1"/>
      <c r="D520" s="1" t="str">
        <f t="shared" si="41"/>
        <v>No</v>
      </c>
      <c r="E520" s="1" t="s">
        <v>22</v>
      </c>
      <c r="F520" s="1">
        <v>0</v>
      </c>
      <c r="G520" s="1" t="s">
        <v>17</v>
      </c>
      <c r="H520" s="1" t="str">
        <f t="shared" si="42"/>
        <v>Yes</v>
      </c>
      <c r="I520" s="1" t="s">
        <v>15</v>
      </c>
      <c r="J520" s="1">
        <v>1997</v>
      </c>
      <c r="K520" s="1">
        <v>7344</v>
      </c>
      <c r="L520" s="1">
        <v>314</v>
      </c>
      <c r="M520" s="1">
        <f t="shared" si="43"/>
        <v>360</v>
      </c>
      <c r="N520" s="1">
        <v>360</v>
      </c>
      <c r="O520" s="1">
        <f t="shared" si="44"/>
        <v>0</v>
      </c>
      <c r="P520" s="1"/>
      <c r="Q520" s="1" t="s">
        <v>19</v>
      </c>
      <c r="R520" s="1" t="s">
        <v>20</v>
      </c>
    </row>
    <row r="521" spans="1:18" x14ac:dyDescent="0.35">
      <c r="A521" s="1" t="s">
        <v>552</v>
      </c>
      <c r="B521" s="1" t="str">
        <f t="shared" si="40"/>
        <v>Female</v>
      </c>
      <c r="C521" s="1" t="s">
        <v>61</v>
      </c>
      <c r="D521" s="1" t="str">
        <f t="shared" si="41"/>
        <v>No</v>
      </c>
      <c r="E521" s="1" t="s">
        <v>22</v>
      </c>
      <c r="F521" s="1">
        <v>1</v>
      </c>
      <c r="G521" s="1" t="s">
        <v>25</v>
      </c>
      <c r="H521" s="1" t="str">
        <f t="shared" si="42"/>
        <v>No</v>
      </c>
      <c r="I521" s="1" t="s">
        <v>22</v>
      </c>
      <c r="J521" s="1">
        <v>15464</v>
      </c>
      <c r="K521" s="1">
        <v>6283</v>
      </c>
      <c r="L521" s="1">
        <v>174</v>
      </c>
      <c r="M521" s="1">
        <f t="shared" si="43"/>
        <v>180</v>
      </c>
      <c r="N521" s="1">
        <v>180</v>
      </c>
      <c r="O521" s="1">
        <f t="shared" si="44"/>
        <v>1</v>
      </c>
      <c r="P521" s="1">
        <v>1</v>
      </c>
      <c r="Q521" s="1" t="s">
        <v>19</v>
      </c>
      <c r="R521" s="1" t="s">
        <v>26</v>
      </c>
    </row>
    <row r="522" spans="1:18" x14ac:dyDescent="0.35">
      <c r="A522" s="1" t="s">
        <v>553</v>
      </c>
      <c r="B522" s="1" t="str">
        <f t="shared" si="40"/>
        <v>Male</v>
      </c>
      <c r="C522" s="1" t="s">
        <v>52</v>
      </c>
      <c r="D522" s="1" t="str">
        <f t="shared" si="41"/>
        <v>No</v>
      </c>
      <c r="E522" s="1" t="s">
        <v>22</v>
      </c>
      <c r="F522" s="1" t="s">
        <v>16</v>
      </c>
      <c r="G522" s="1" t="s">
        <v>17</v>
      </c>
      <c r="H522" s="1" t="str">
        <f t="shared" si="42"/>
        <v>Yes</v>
      </c>
      <c r="I522" s="1" t="s">
        <v>24</v>
      </c>
      <c r="J522" s="1">
        <v>16740</v>
      </c>
      <c r="K522" s="1">
        <v>7882</v>
      </c>
      <c r="L522" s="1">
        <v>516</v>
      </c>
      <c r="M522" s="1">
        <f t="shared" si="43"/>
        <v>180</v>
      </c>
      <c r="N522" s="1">
        <v>180</v>
      </c>
      <c r="O522" s="1">
        <f t="shared" si="44"/>
        <v>0</v>
      </c>
      <c r="P522" s="1">
        <v>0</v>
      </c>
      <c r="Q522" s="1" t="s">
        <v>19</v>
      </c>
      <c r="R522" s="1" t="s">
        <v>26</v>
      </c>
    </row>
    <row r="523" spans="1:18" x14ac:dyDescent="0.35">
      <c r="A523" s="1" t="s">
        <v>554</v>
      </c>
      <c r="B523" s="1" t="str">
        <f t="shared" si="40"/>
        <v>Unknown</v>
      </c>
      <c r="C523" s="1"/>
      <c r="D523" s="1" t="str">
        <f t="shared" si="41"/>
        <v>No</v>
      </c>
      <c r="E523" s="1"/>
      <c r="F523" s="1">
        <v>1</v>
      </c>
      <c r="G523" s="1" t="s">
        <v>25</v>
      </c>
      <c r="H523" s="1" t="str">
        <f t="shared" si="42"/>
        <v>No</v>
      </c>
      <c r="I523" s="1"/>
      <c r="J523" s="1">
        <v>13158</v>
      </c>
      <c r="K523" s="1">
        <v>8780</v>
      </c>
      <c r="L523" s="1">
        <v>561</v>
      </c>
      <c r="M523" s="1">
        <f t="shared" si="43"/>
        <v>180</v>
      </c>
      <c r="N523" s="1">
        <v>180</v>
      </c>
      <c r="O523" s="1">
        <f t="shared" si="44"/>
        <v>0</v>
      </c>
      <c r="P523" s="1">
        <v>0</v>
      </c>
      <c r="Q523" s="1" t="s">
        <v>41</v>
      </c>
      <c r="R523" s="1" t="s">
        <v>20</v>
      </c>
    </row>
    <row r="524" spans="1:18" x14ac:dyDescent="0.35">
      <c r="A524" s="1" t="s">
        <v>555</v>
      </c>
      <c r="B524" s="1" t="str">
        <f t="shared" si="40"/>
        <v>Female</v>
      </c>
      <c r="C524" s="1" t="s">
        <v>28</v>
      </c>
      <c r="D524" s="1" t="str">
        <f t="shared" si="41"/>
        <v>No</v>
      </c>
      <c r="E524" s="1"/>
      <c r="F524" s="1">
        <v>0</v>
      </c>
      <c r="G524" s="1" t="s">
        <v>17</v>
      </c>
      <c r="H524" s="1" t="str">
        <f t="shared" si="42"/>
        <v>No</v>
      </c>
      <c r="I524" s="1" t="s">
        <v>36</v>
      </c>
      <c r="J524" s="1">
        <v>9343</v>
      </c>
      <c r="K524" s="1">
        <v>1311</v>
      </c>
      <c r="L524" s="1">
        <v>233</v>
      </c>
      <c r="M524" s="1">
        <f t="shared" si="43"/>
        <v>120</v>
      </c>
      <c r="N524" s="1">
        <v>120</v>
      </c>
      <c r="O524" s="1">
        <f t="shared" si="44"/>
        <v>1</v>
      </c>
      <c r="P524" s="1">
        <v>1</v>
      </c>
      <c r="Q524" s="1" t="s">
        <v>30</v>
      </c>
      <c r="R524" s="1" t="s">
        <v>20</v>
      </c>
    </row>
    <row r="525" spans="1:18" x14ac:dyDescent="0.35">
      <c r="A525" s="1" t="s">
        <v>556</v>
      </c>
      <c r="B525" s="1" t="str">
        <f t="shared" si="40"/>
        <v>Female</v>
      </c>
      <c r="C525" s="1" t="s">
        <v>43</v>
      </c>
      <c r="D525" s="1" t="str">
        <f t="shared" si="41"/>
        <v>No</v>
      </c>
      <c r="E525" s="1"/>
      <c r="F525" s="1">
        <v>0</v>
      </c>
      <c r="G525" s="1" t="s">
        <v>17</v>
      </c>
      <c r="H525" s="1" t="str">
        <f t="shared" si="42"/>
        <v>No</v>
      </c>
      <c r="I525" s="1" t="s">
        <v>22</v>
      </c>
      <c r="J525" s="1">
        <v>3903</v>
      </c>
      <c r="K525" s="1">
        <v>9083</v>
      </c>
      <c r="L525" s="1">
        <v>660</v>
      </c>
      <c r="M525" s="1">
        <f t="shared" si="43"/>
        <v>180</v>
      </c>
      <c r="N525" s="1">
        <v>180</v>
      </c>
      <c r="O525" s="1">
        <f t="shared" si="44"/>
        <v>1</v>
      </c>
      <c r="P525" s="1">
        <v>1</v>
      </c>
      <c r="Q525" s="1" t="s">
        <v>41</v>
      </c>
      <c r="R525" s="1" t="s">
        <v>20</v>
      </c>
    </row>
    <row r="526" spans="1:18" x14ac:dyDescent="0.35">
      <c r="A526" s="1" t="s">
        <v>557</v>
      </c>
      <c r="B526" s="1" t="str">
        <f t="shared" si="40"/>
        <v>Unknown</v>
      </c>
      <c r="C526" s="1"/>
      <c r="D526" s="1" t="str">
        <f t="shared" si="41"/>
        <v>No</v>
      </c>
      <c r="E526" s="1"/>
      <c r="F526" s="1">
        <v>1</v>
      </c>
      <c r="G526" s="1" t="s">
        <v>25</v>
      </c>
      <c r="H526" s="1" t="str">
        <f t="shared" si="42"/>
        <v>No</v>
      </c>
      <c r="I526" s="1"/>
      <c r="J526" s="1">
        <v>2598</v>
      </c>
      <c r="K526" s="1">
        <v>5988</v>
      </c>
      <c r="L526" s="1">
        <v>99</v>
      </c>
      <c r="M526" s="1">
        <f t="shared" si="43"/>
        <v>120</v>
      </c>
      <c r="N526" s="1">
        <v>120</v>
      </c>
      <c r="O526" s="1">
        <f t="shared" si="44"/>
        <v>1</v>
      </c>
      <c r="P526" s="1">
        <v>1</v>
      </c>
      <c r="Q526" s="1" t="s">
        <v>30</v>
      </c>
      <c r="R526" s="1" t="s">
        <v>20</v>
      </c>
    </row>
    <row r="527" spans="1:18" x14ac:dyDescent="0.35">
      <c r="A527" s="1" t="s">
        <v>558</v>
      </c>
      <c r="B527" s="1" t="str">
        <f t="shared" si="40"/>
        <v>Female</v>
      </c>
      <c r="C527" s="1" t="s">
        <v>43</v>
      </c>
      <c r="D527" s="1" t="str">
        <f t="shared" si="41"/>
        <v>No</v>
      </c>
      <c r="E527" s="1"/>
      <c r="F527" s="1" t="s">
        <v>16</v>
      </c>
      <c r="G527" s="1" t="s">
        <v>17</v>
      </c>
      <c r="H527" s="1" t="str">
        <f t="shared" si="42"/>
        <v>No</v>
      </c>
      <c r="I527" s="1"/>
      <c r="J527" s="1">
        <v>13117</v>
      </c>
      <c r="K527" s="1">
        <v>2473</v>
      </c>
      <c r="L527" s="1">
        <v>468</v>
      </c>
      <c r="M527" s="1">
        <f t="shared" si="43"/>
        <v>360</v>
      </c>
      <c r="N527" s="1">
        <v>360</v>
      </c>
      <c r="O527" s="1">
        <f t="shared" si="44"/>
        <v>1</v>
      </c>
      <c r="P527" s="1">
        <v>1</v>
      </c>
      <c r="Q527" s="1" t="s">
        <v>41</v>
      </c>
      <c r="R527" s="1" t="s">
        <v>26</v>
      </c>
    </row>
    <row r="528" spans="1:18" x14ac:dyDescent="0.35">
      <c r="A528" s="1" t="s">
        <v>559</v>
      </c>
      <c r="B528" s="1" t="str">
        <f t="shared" si="40"/>
        <v>Unknown</v>
      </c>
      <c r="C528" s="1"/>
      <c r="D528" s="1" t="str">
        <f t="shared" si="41"/>
        <v>No</v>
      </c>
      <c r="E528" s="1" t="s">
        <v>18</v>
      </c>
      <c r="F528" s="1">
        <v>0</v>
      </c>
      <c r="G528" s="1" t="s">
        <v>25</v>
      </c>
      <c r="H528" s="1" t="str">
        <f t="shared" si="42"/>
        <v>Yes</v>
      </c>
      <c r="I528" s="1" t="s">
        <v>29</v>
      </c>
      <c r="J528" s="1">
        <v>19439</v>
      </c>
      <c r="K528" s="1">
        <v>8517</v>
      </c>
      <c r="L528" s="1">
        <v>362</v>
      </c>
      <c r="M528" s="1">
        <f t="shared" si="43"/>
        <v>120</v>
      </c>
      <c r="N528" s="1">
        <v>120</v>
      </c>
      <c r="O528" s="1">
        <f t="shared" si="44"/>
        <v>0</v>
      </c>
      <c r="P528" s="1"/>
      <c r="Q528" s="1" t="s">
        <v>41</v>
      </c>
      <c r="R528" s="1" t="s">
        <v>26</v>
      </c>
    </row>
    <row r="529" spans="1:18" x14ac:dyDescent="0.35">
      <c r="A529" s="1" t="s">
        <v>560</v>
      </c>
      <c r="B529" s="1" t="str">
        <f t="shared" si="40"/>
        <v>Female</v>
      </c>
      <c r="C529" s="1" t="s">
        <v>28</v>
      </c>
      <c r="D529" s="1" t="str">
        <f t="shared" si="41"/>
        <v>No</v>
      </c>
      <c r="E529" s="1"/>
      <c r="F529" s="1">
        <v>0</v>
      </c>
      <c r="G529" s="1" t="s">
        <v>25</v>
      </c>
      <c r="H529" s="1" t="str">
        <f t="shared" si="42"/>
        <v>Yes</v>
      </c>
      <c r="I529" s="1" t="s">
        <v>29</v>
      </c>
      <c r="J529" s="1">
        <v>13199</v>
      </c>
      <c r="K529" s="1">
        <v>8987</v>
      </c>
      <c r="L529" s="1">
        <v>300</v>
      </c>
      <c r="M529" s="1">
        <f t="shared" si="43"/>
        <v>120</v>
      </c>
      <c r="N529" s="1">
        <v>120</v>
      </c>
      <c r="O529" s="1">
        <f t="shared" si="44"/>
        <v>0</v>
      </c>
      <c r="P529" s="1"/>
      <c r="Q529" s="1" t="s">
        <v>30</v>
      </c>
      <c r="R529" s="1" t="s">
        <v>20</v>
      </c>
    </row>
    <row r="530" spans="1:18" x14ac:dyDescent="0.35">
      <c r="A530" s="1" t="s">
        <v>561</v>
      </c>
      <c r="B530" s="1" t="str">
        <f t="shared" si="40"/>
        <v>Unknown</v>
      </c>
      <c r="C530" s="1"/>
      <c r="D530" s="1" t="str">
        <f t="shared" si="41"/>
        <v>No</v>
      </c>
      <c r="E530" s="1"/>
      <c r="F530" s="1">
        <v>2</v>
      </c>
      <c r="G530" s="1" t="s">
        <v>17</v>
      </c>
      <c r="H530" s="1" t="str">
        <f t="shared" si="42"/>
        <v>No</v>
      </c>
      <c r="I530" s="1"/>
      <c r="J530" s="1">
        <v>14030</v>
      </c>
      <c r="K530" s="1">
        <v>2003</v>
      </c>
      <c r="L530" s="1">
        <v>230</v>
      </c>
      <c r="M530" s="1">
        <f t="shared" si="43"/>
        <v>360</v>
      </c>
      <c r="N530" s="1">
        <v>360</v>
      </c>
      <c r="O530" s="1">
        <f t="shared" si="44"/>
        <v>0</v>
      </c>
      <c r="P530" s="1">
        <v>0</v>
      </c>
      <c r="Q530" s="1" t="s">
        <v>30</v>
      </c>
      <c r="R530" s="1" t="s">
        <v>26</v>
      </c>
    </row>
    <row r="531" spans="1:18" x14ac:dyDescent="0.35">
      <c r="A531" s="1" t="s">
        <v>562</v>
      </c>
      <c r="B531" s="1" t="str">
        <f t="shared" si="40"/>
        <v>Female</v>
      </c>
      <c r="C531" s="1" t="s">
        <v>28</v>
      </c>
      <c r="D531" s="1" t="str">
        <f t="shared" si="41"/>
        <v>Yes</v>
      </c>
      <c r="E531" s="1" t="s">
        <v>29</v>
      </c>
      <c r="F531" s="1" t="s">
        <v>16</v>
      </c>
      <c r="G531" s="1" t="s">
        <v>25</v>
      </c>
      <c r="H531" s="1" t="str">
        <f t="shared" si="42"/>
        <v>No</v>
      </c>
      <c r="I531" s="1" t="s">
        <v>22</v>
      </c>
      <c r="J531" s="1">
        <v>3368</v>
      </c>
      <c r="K531" s="1">
        <v>3288</v>
      </c>
      <c r="L531" s="1">
        <v>323</v>
      </c>
      <c r="M531" s="1">
        <f t="shared" si="43"/>
        <v>360</v>
      </c>
      <c r="N531" s="1">
        <v>360</v>
      </c>
      <c r="O531" s="1">
        <f t="shared" si="44"/>
        <v>0</v>
      </c>
      <c r="P531" s="1">
        <v>0</v>
      </c>
      <c r="Q531" s="1" t="s">
        <v>19</v>
      </c>
      <c r="R531" s="1" t="s">
        <v>26</v>
      </c>
    </row>
    <row r="532" spans="1:18" x14ac:dyDescent="0.35">
      <c r="A532" s="1" t="s">
        <v>563</v>
      </c>
      <c r="B532" s="1" t="str">
        <f t="shared" si="40"/>
        <v>Unknown</v>
      </c>
      <c r="C532" s="1"/>
      <c r="D532" s="1" t="str">
        <f t="shared" si="41"/>
        <v>No</v>
      </c>
      <c r="E532" s="1" t="s">
        <v>36</v>
      </c>
      <c r="F532" s="1">
        <v>1</v>
      </c>
      <c r="G532" s="1" t="s">
        <v>17</v>
      </c>
      <c r="H532" s="1" t="str">
        <f t="shared" si="42"/>
        <v>No</v>
      </c>
      <c r="I532" s="1" t="s">
        <v>22</v>
      </c>
      <c r="J532" s="1">
        <v>17615</v>
      </c>
      <c r="K532" s="1">
        <v>2766</v>
      </c>
      <c r="L532" s="1">
        <v>332</v>
      </c>
      <c r="M532" s="1">
        <f t="shared" si="43"/>
        <v>360</v>
      </c>
      <c r="N532" s="1">
        <v>360</v>
      </c>
      <c r="O532" s="1">
        <f t="shared" si="44"/>
        <v>0</v>
      </c>
      <c r="P532" s="1">
        <v>0</v>
      </c>
      <c r="Q532" s="1" t="s">
        <v>19</v>
      </c>
      <c r="R532" s="1" t="s">
        <v>20</v>
      </c>
    </row>
    <row r="533" spans="1:18" x14ac:dyDescent="0.35">
      <c r="A533" s="1" t="s">
        <v>564</v>
      </c>
      <c r="B533" s="1" t="str">
        <f t="shared" si="40"/>
        <v>Male</v>
      </c>
      <c r="C533" s="1" t="s">
        <v>52</v>
      </c>
      <c r="D533" s="1" t="str">
        <f t="shared" si="41"/>
        <v>No</v>
      </c>
      <c r="E533" s="1" t="s">
        <v>36</v>
      </c>
      <c r="F533" s="1">
        <v>0</v>
      </c>
      <c r="G533" s="1" t="s">
        <v>25</v>
      </c>
      <c r="H533" s="1" t="str">
        <f t="shared" si="42"/>
        <v>No</v>
      </c>
      <c r="I533" s="1" t="s">
        <v>18</v>
      </c>
      <c r="J533" s="1">
        <v>12771</v>
      </c>
      <c r="K533" s="1">
        <v>5500</v>
      </c>
      <c r="L533" s="1">
        <v>237</v>
      </c>
      <c r="M533" s="1">
        <f t="shared" si="43"/>
        <v>360</v>
      </c>
      <c r="N533" s="1"/>
      <c r="O533" s="1">
        <f t="shared" si="44"/>
        <v>0</v>
      </c>
      <c r="P533" s="1"/>
      <c r="Q533" s="1" t="s">
        <v>30</v>
      </c>
      <c r="R533" s="1" t="s">
        <v>26</v>
      </c>
    </row>
    <row r="534" spans="1:18" x14ac:dyDescent="0.35">
      <c r="A534" s="1" t="s">
        <v>565</v>
      </c>
      <c r="B534" s="1" t="str">
        <f t="shared" si="40"/>
        <v>Unknown</v>
      </c>
      <c r="C534" s="1"/>
      <c r="D534" s="1" t="str">
        <f t="shared" si="41"/>
        <v>Yes</v>
      </c>
      <c r="E534" s="1" t="s">
        <v>29</v>
      </c>
      <c r="F534" s="1" t="s">
        <v>16</v>
      </c>
      <c r="G534" s="1" t="s">
        <v>17</v>
      </c>
      <c r="H534" s="1" t="str">
        <f t="shared" si="42"/>
        <v>No</v>
      </c>
      <c r="I534" s="1"/>
      <c r="J534" s="1">
        <v>8106</v>
      </c>
      <c r="K534" s="1">
        <v>8414</v>
      </c>
      <c r="L534" s="1">
        <v>224</v>
      </c>
      <c r="M534" s="1">
        <f t="shared" si="43"/>
        <v>180</v>
      </c>
      <c r="N534" s="1">
        <v>180</v>
      </c>
      <c r="O534" s="1">
        <f t="shared" si="44"/>
        <v>0</v>
      </c>
      <c r="P534" s="1">
        <v>0</v>
      </c>
      <c r="Q534" s="1" t="s">
        <v>30</v>
      </c>
      <c r="R534" s="1" t="s">
        <v>20</v>
      </c>
    </row>
    <row r="535" spans="1:18" x14ac:dyDescent="0.35">
      <c r="A535" s="1" t="s">
        <v>566</v>
      </c>
      <c r="B535" s="1" t="str">
        <f t="shared" si="40"/>
        <v>Unknown</v>
      </c>
      <c r="C535" s="1"/>
      <c r="D535" s="1" t="str">
        <f t="shared" si="41"/>
        <v>No</v>
      </c>
      <c r="E535" s="1" t="s">
        <v>36</v>
      </c>
      <c r="F535" s="1">
        <v>2</v>
      </c>
      <c r="G535" s="1" t="s">
        <v>17</v>
      </c>
      <c r="H535" s="1" t="str">
        <f t="shared" si="42"/>
        <v>No</v>
      </c>
      <c r="I535" s="1" t="s">
        <v>18</v>
      </c>
      <c r="J535" s="1">
        <v>11500</v>
      </c>
      <c r="K535" s="1">
        <v>4711</v>
      </c>
      <c r="L535" s="1">
        <v>297</v>
      </c>
      <c r="M535" s="1">
        <f t="shared" si="43"/>
        <v>180</v>
      </c>
      <c r="N535" s="1">
        <v>180</v>
      </c>
      <c r="O535" s="1">
        <f t="shared" si="44"/>
        <v>0</v>
      </c>
      <c r="P535" s="1"/>
      <c r="Q535" s="1" t="s">
        <v>41</v>
      </c>
      <c r="R535" s="1" t="s">
        <v>20</v>
      </c>
    </row>
    <row r="536" spans="1:18" x14ac:dyDescent="0.35">
      <c r="A536" s="1" t="s">
        <v>567</v>
      </c>
      <c r="B536" s="1" t="str">
        <f t="shared" si="40"/>
        <v>Female</v>
      </c>
      <c r="C536" s="1" t="s">
        <v>61</v>
      </c>
      <c r="D536" s="1" t="str">
        <f t="shared" si="41"/>
        <v>No</v>
      </c>
      <c r="E536" s="1" t="s">
        <v>18</v>
      </c>
      <c r="F536" s="1">
        <v>1</v>
      </c>
      <c r="G536" s="1" t="s">
        <v>17</v>
      </c>
      <c r="H536" s="1" t="str">
        <f t="shared" si="42"/>
        <v>No</v>
      </c>
      <c r="I536" s="1" t="s">
        <v>18</v>
      </c>
      <c r="J536" s="1">
        <v>9924</v>
      </c>
      <c r="K536" s="1">
        <v>1603</v>
      </c>
      <c r="L536" s="1">
        <v>594</v>
      </c>
      <c r="M536" s="1">
        <f t="shared" si="43"/>
        <v>120</v>
      </c>
      <c r="N536" s="1">
        <v>120</v>
      </c>
      <c r="O536" s="1">
        <f t="shared" si="44"/>
        <v>0</v>
      </c>
      <c r="P536" s="1"/>
      <c r="Q536" s="1" t="s">
        <v>19</v>
      </c>
      <c r="R536" s="1" t="s">
        <v>20</v>
      </c>
    </row>
    <row r="537" spans="1:18" x14ac:dyDescent="0.35">
      <c r="A537" s="1" t="s">
        <v>568</v>
      </c>
      <c r="B537" s="1" t="str">
        <f t="shared" si="40"/>
        <v>Unknown</v>
      </c>
      <c r="C537" s="1"/>
      <c r="D537" s="1" t="str">
        <f t="shared" si="41"/>
        <v>Yes</v>
      </c>
      <c r="E537" s="1" t="s">
        <v>15</v>
      </c>
      <c r="F537" s="1">
        <v>0</v>
      </c>
      <c r="G537" s="1" t="s">
        <v>17</v>
      </c>
      <c r="H537" s="1" t="str">
        <f t="shared" si="42"/>
        <v>No</v>
      </c>
      <c r="I537" s="1" t="s">
        <v>36</v>
      </c>
      <c r="J537" s="1">
        <v>19701</v>
      </c>
      <c r="K537" s="1">
        <v>3230</v>
      </c>
      <c r="L537" s="1">
        <v>214</v>
      </c>
      <c r="M537" s="1">
        <f t="shared" si="43"/>
        <v>360</v>
      </c>
      <c r="N537" s="1">
        <v>360</v>
      </c>
      <c r="O537" s="1">
        <f t="shared" si="44"/>
        <v>0</v>
      </c>
      <c r="P537" s="1">
        <v>0</v>
      </c>
      <c r="Q537" s="1" t="s">
        <v>19</v>
      </c>
      <c r="R537" s="1" t="s">
        <v>26</v>
      </c>
    </row>
    <row r="538" spans="1:18" x14ac:dyDescent="0.35">
      <c r="A538" s="1" t="s">
        <v>569</v>
      </c>
      <c r="B538" s="1" t="str">
        <f t="shared" si="40"/>
        <v>Unknown</v>
      </c>
      <c r="C538" s="1"/>
      <c r="D538" s="1" t="str">
        <f t="shared" si="41"/>
        <v>No</v>
      </c>
      <c r="E538" s="1"/>
      <c r="F538" s="1">
        <v>2</v>
      </c>
      <c r="G538" s="1" t="s">
        <v>17</v>
      </c>
      <c r="H538" s="1" t="str">
        <f t="shared" si="42"/>
        <v>Yes</v>
      </c>
      <c r="I538" s="1" t="s">
        <v>24</v>
      </c>
      <c r="J538" s="1">
        <v>15928</v>
      </c>
      <c r="K538" s="1">
        <v>2434</v>
      </c>
      <c r="L538" s="1">
        <v>430</v>
      </c>
      <c r="M538" s="1">
        <f t="shared" si="43"/>
        <v>360</v>
      </c>
      <c r="N538" s="1">
        <v>360</v>
      </c>
      <c r="O538" s="1">
        <f t="shared" si="44"/>
        <v>1</v>
      </c>
      <c r="P538" s="1">
        <v>1</v>
      </c>
      <c r="Q538" s="1" t="s">
        <v>30</v>
      </c>
      <c r="R538" s="1" t="s">
        <v>26</v>
      </c>
    </row>
    <row r="539" spans="1:18" x14ac:dyDescent="0.35">
      <c r="A539" s="1" t="s">
        <v>570</v>
      </c>
      <c r="B539" s="1" t="str">
        <f t="shared" si="40"/>
        <v>Male</v>
      </c>
      <c r="C539" s="1" t="s">
        <v>14</v>
      </c>
      <c r="D539" s="1" t="str">
        <f t="shared" si="41"/>
        <v>No</v>
      </c>
      <c r="E539" s="1"/>
      <c r="F539" s="1" t="s">
        <v>16</v>
      </c>
      <c r="G539" s="1" t="s">
        <v>17</v>
      </c>
      <c r="H539" s="1" t="str">
        <f t="shared" si="42"/>
        <v>No</v>
      </c>
      <c r="I539" s="1" t="s">
        <v>18</v>
      </c>
      <c r="J539" s="1">
        <v>16558</v>
      </c>
      <c r="K539" s="1">
        <v>9349</v>
      </c>
      <c r="L539" s="1">
        <v>408</v>
      </c>
      <c r="M539" s="1">
        <f t="shared" si="43"/>
        <v>180</v>
      </c>
      <c r="N539" s="1">
        <v>180</v>
      </c>
      <c r="O539" s="1">
        <f t="shared" si="44"/>
        <v>0</v>
      </c>
      <c r="P539" s="1"/>
      <c r="Q539" s="1" t="s">
        <v>30</v>
      </c>
      <c r="R539" s="1" t="s">
        <v>20</v>
      </c>
    </row>
    <row r="540" spans="1:18" x14ac:dyDescent="0.35">
      <c r="A540" s="1" t="s">
        <v>571</v>
      </c>
      <c r="B540" s="1" t="str">
        <f t="shared" si="40"/>
        <v>Unknown</v>
      </c>
      <c r="C540" s="1"/>
      <c r="D540" s="1" t="str">
        <f t="shared" si="41"/>
        <v>Yes</v>
      </c>
      <c r="E540" s="1" t="s">
        <v>29</v>
      </c>
      <c r="F540" s="1">
        <v>1</v>
      </c>
      <c r="G540" s="1" t="s">
        <v>17</v>
      </c>
      <c r="H540" s="1" t="str">
        <f t="shared" si="42"/>
        <v>No</v>
      </c>
      <c r="I540" s="1" t="s">
        <v>36</v>
      </c>
      <c r="J540" s="1">
        <v>1855</v>
      </c>
      <c r="K540" s="1">
        <v>3344</v>
      </c>
      <c r="L540" s="1">
        <v>673</v>
      </c>
      <c r="M540" s="1">
        <f t="shared" si="43"/>
        <v>360</v>
      </c>
      <c r="N540" s="1"/>
      <c r="O540" s="1">
        <f t="shared" si="44"/>
        <v>0</v>
      </c>
      <c r="P540" s="1"/>
      <c r="Q540" s="1" t="s">
        <v>30</v>
      </c>
      <c r="R540" s="1" t="s">
        <v>20</v>
      </c>
    </row>
    <row r="541" spans="1:18" x14ac:dyDescent="0.35">
      <c r="A541" s="1" t="s">
        <v>572</v>
      </c>
      <c r="B541" s="1" t="str">
        <f t="shared" si="40"/>
        <v>Unknown</v>
      </c>
      <c r="C541" s="1"/>
      <c r="D541" s="1" t="str">
        <f t="shared" si="41"/>
        <v>No</v>
      </c>
      <c r="E541" s="1"/>
      <c r="F541" s="1" t="s">
        <v>16</v>
      </c>
      <c r="G541" s="1" t="s">
        <v>25</v>
      </c>
      <c r="H541" s="1" t="str">
        <f t="shared" si="42"/>
        <v>No</v>
      </c>
      <c r="I541" s="1" t="s">
        <v>22</v>
      </c>
      <c r="J541" s="1">
        <v>6813</v>
      </c>
      <c r="K541" s="1">
        <v>4698</v>
      </c>
      <c r="L541" s="1">
        <v>573</v>
      </c>
      <c r="M541" s="1">
        <f t="shared" si="43"/>
        <v>360</v>
      </c>
      <c r="N541" s="1"/>
      <c r="O541" s="1">
        <f t="shared" si="44"/>
        <v>0</v>
      </c>
      <c r="P541" s="1">
        <v>0</v>
      </c>
      <c r="Q541" s="1" t="s">
        <v>19</v>
      </c>
      <c r="R541" s="1" t="s">
        <v>20</v>
      </c>
    </row>
    <row r="542" spans="1:18" x14ac:dyDescent="0.35">
      <c r="A542" s="1" t="s">
        <v>573</v>
      </c>
      <c r="B542" s="1" t="str">
        <f t="shared" si="40"/>
        <v>Female</v>
      </c>
      <c r="C542" s="1" t="s">
        <v>43</v>
      </c>
      <c r="D542" s="1" t="str">
        <f t="shared" si="41"/>
        <v>No</v>
      </c>
      <c r="E542" s="1" t="s">
        <v>22</v>
      </c>
      <c r="F542" s="1" t="s">
        <v>16</v>
      </c>
      <c r="G542" s="1" t="s">
        <v>25</v>
      </c>
      <c r="H542" s="1" t="str">
        <f t="shared" si="42"/>
        <v>Yes</v>
      </c>
      <c r="I542" s="1" t="s">
        <v>24</v>
      </c>
      <c r="J542" s="1">
        <v>10953</v>
      </c>
      <c r="K542" s="1">
        <v>8710</v>
      </c>
      <c r="L542" s="1">
        <v>95</v>
      </c>
      <c r="M542" s="1">
        <f t="shared" si="43"/>
        <v>120</v>
      </c>
      <c r="N542" s="1">
        <v>120</v>
      </c>
      <c r="O542" s="1">
        <f t="shared" si="44"/>
        <v>0</v>
      </c>
      <c r="P542" s="1">
        <v>0</v>
      </c>
      <c r="Q542" s="1" t="s">
        <v>30</v>
      </c>
      <c r="R542" s="1" t="s">
        <v>20</v>
      </c>
    </row>
    <row r="543" spans="1:18" x14ac:dyDescent="0.35">
      <c r="A543" s="1" t="s">
        <v>574</v>
      </c>
      <c r="B543" s="1" t="str">
        <f t="shared" si="40"/>
        <v>Female</v>
      </c>
      <c r="C543" s="1" t="s">
        <v>28</v>
      </c>
      <c r="D543" s="1" t="str">
        <f t="shared" si="41"/>
        <v>No</v>
      </c>
      <c r="E543" s="1"/>
      <c r="F543" s="1">
        <v>1</v>
      </c>
      <c r="G543" s="1" t="s">
        <v>25</v>
      </c>
      <c r="H543" s="1" t="str">
        <f t="shared" si="42"/>
        <v>No</v>
      </c>
      <c r="I543" s="1" t="s">
        <v>36</v>
      </c>
      <c r="J543" s="1">
        <v>15911</v>
      </c>
      <c r="K543" s="1">
        <v>5175</v>
      </c>
      <c r="L543" s="1">
        <v>166</v>
      </c>
      <c r="M543" s="1">
        <f t="shared" si="43"/>
        <v>180</v>
      </c>
      <c r="N543" s="1">
        <v>180</v>
      </c>
      <c r="O543" s="1">
        <f t="shared" si="44"/>
        <v>0</v>
      </c>
      <c r="P543" s="1">
        <v>0</v>
      </c>
      <c r="Q543" s="1" t="s">
        <v>30</v>
      </c>
      <c r="R543" s="1" t="s">
        <v>26</v>
      </c>
    </row>
    <row r="544" spans="1:18" x14ac:dyDescent="0.35">
      <c r="A544" s="1" t="s">
        <v>575</v>
      </c>
      <c r="B544" s="1" t="str">
        <f t="shared" si="40"/>
        <v>Unknown</v>
      </c>
      <c r="C544" s="1"/>
      <c r="D544" s="1" t="str">
        <f t="shared" si="41"/>
        <v>Yes</v>
      </c>
      <c r="E544" s="1" t="s">
        <v>24</v>
      </c>
      <c r="F544" s="1" t="s">
        <v>16</v>
      </c>
      <c r="G544" s="1" t="s">
        <v>25</v>
      </c>
      <c r="H544" s="1" t="str">
        <f t="shared" si="42"/>
        <v>Yes</v>
      </c>
      <c r="I544" s="1" t="s">
        <v>24</v>
      </c>
      <c r="J544" s="1">
        <v>12679</v>
      </c>
      <c r="K544" s="1">
        <v>4343</v>
      </c>
      <c r="L544" s="1">
        <v>588</v>
      </c>
      <c r="M544" s="1">
        <f t="shared" si="43"/>
        <v>180</v>
      </c>
      <c r="N544" s="1">
        <v>180</v>
      </c>
      <c r="O544" s="1">
        <f t="shared" si="44"/>
        <v>0</v>
      </c>
      <c r="P544" s="1"/>
      <c r="Q544" s="1" t="s">
        <v>19</v>
      </c>
      <c r="R544" s="1" t="s">
        <v>26</v>
      </c>
    </row>
    <row r="545" spans="1:18" x14ac:dyDescent="0.35">
      <c r="A545" s="1" t="s">
        <v>576</v>
      </c>
      <c r="B545" s="1" t="str">
        <f t="shared" si="40"/>
        <v>Male</v>
      </c>
      <c r="C545" s="1" t="s">
        <v>14</v>
      </c>
      <c r="D545" s="1" t="str">
        <f t="shared" si="41"/>
        <v>No</v>
      </c>
      <c r="E545" s="1"/>
      <c r="F545" s="1">
        <v>0</v>
      </c>
      <c r="G545" s="1" t="s">
        <v>25</v>
      </c>
      <c r="H545" s="1" t="str">
        <f t="shared" si="42"/>
        <v>Yes</v>
      </c>
      <c r="I545" s="1" t="s">
        <v>15</v>
      </c>
      <c r="J545" s="1">
        <v>6972</v>
      </c>
      <c r="K545" s="1">
        <v>4648</v>
      </c>
      <c r="L545" s="1">
        <v>304</v>
      </c>
      <c r="M545" s="1">
        <f t="shared" si="43"/>
        <v>360</v>
      </c>
      <c r="N545" s="1"/>
      <c r="O545" s="1">
        <f t="shared" si="44"/>
        <v>0</v>
      </c>
      <c r="P545" s="1"/>
      <c r="Q545" s="1" t="s">
        <v>30</v>
      </c>
      <c r="R545" s="1" t="s">
        <v>26</v>
      </c>
    </row>
    <row r="546" spans="1:18" x14ac:dyDescent="0.35">
      <c r="A546" s="1" t="s">
        <v>577</v>
      </c>
      <c r="B546" s="1" t="str">
        <f t="shared" si="40"/>
        <v>Male</v>
      </c>
      <c r="C546" s="1" t="s">
        <v>33</v>
      </c>
      <c r="D546" s="1" t="str">
        <f t="shared" si="41"/>
        <v>No</v>
      </c>
      <c r="E546" s="1"/>
      <c r="F546" s="1">
        <v>1</v>
      </c>
      <c r="G546" s="1" t="s">
        <v>25</v>
      </c>
      <c r="H546" s="1" t="str">
        <f t="shared" si="42"/>
        <v>No</v>
      </c>
      <c r="I546" s="1" t="s">
        <v>18</v>
      </c>
      <c r="J546" s="1">
        <v>2197</v>
      </c>
      <c r="K546" s="1">
        <v>7687</v>
      </c>
      <c r="L546" s="1">
        <v>57</v>
      </c>
      <c r="M546" s="1">
        <f t="shared" si="43"/>
        <v>120</v>
      </c>
      <c r="N546" s="1">
        <v>120</v>
      </c>
      <c r="O546" s="1">
        <f t="shared" si="44"/>
        <v>0</v>
      </c>
      <c r="P546" s="1">
        <v>0</v>
      </c>
      <c r="Q546" s="1" t="s">
        <v>19</v>
      </c>
      <c r="R546" s="1" t="s">
        <v>20</v>
      </c>
    </row>
    <row r="547" spans="1:18" x14ac:dyDescent="0.35">
      <c r="A547" s="1" t="s">
        <v>578</v>
      </c>
      <c r="B547" s="1" t="str">
        <f t="shared" si="40"/>
        <v>Unknown</v>
      </c>
      <c r="C547" s="1"/>
      <c r="D547" s="1" t="str">
        <f t="shared" si="41"/>
        <v>Yes</v>
      </c>
      <c r="E547" s="1" t="s">
        <v>15</v>
      </c>
      <c r="F547" s="1">
        <v>1</v>
      </c>
      <c r="G547" s="1" t="s">
        <v>25</v>
      </c>
      <c r="H547" s="1" t="str">
        <f t="shared" si="42"/>
        <v>Yes</v>
      </c>
      <c r="I547" s="1" t="s">
        <v>29</v>
      </c>
      <c r="J547" s="1">
        <v>5062</v>
      </c>
      <c r="K547" s="1">
        <v>3720</v>
      </c>
      <c r="L547" s="1">
        <v>91</v>
      </c>
      <c r="M547" s="1">
        <f t="shared" si="43"/>
        <v>360</v>
      </c>
      <c r="N547" s="1"/>
      <c r="O547" s="1">
        <f t="shared" si="44"/>
        <v>1</v>
      </c>
      <c r="P547" s="1">
        <v>1</v>
      </c>
      <c r="Q547" s="1" t="s">
        <v>19</v>
      </c>
      <c r="R547" s="1" t="s">
        <v>26</v>
      </c>
    </row>
    <row r="548" spans="1:18" x14ac:dyDescent="0.35">
      <c r="A548" s="1" t="s">
        <v>579</v>
      </c>
      <c r="B548" s="1" t="str">
        <f t="shared" si="40"/>
        <v>Unknown</v>
      </c>
      <c r="C548" s="1"/>
      <c r="D548" s="1" t="str">
        <f t="shared" si="41"/>
        <v>Yes</v>
      </c>
      <c r="E548" s="1" t="s">
        <v>29</v>
      </c>
      <c r="F548" s="1" t="s">
        <v>16</v>
      </c>
      <c r="G548" s="1" t="s">
        <v>25</v>
      </c>
      <c r="H548" s="1" t="str">
        <f t="shared" si="42"/>
        <v>No</v>
      </c>
      <c r="I548" s="1" t="s">
        <v>22</v>
      </c>
      <c r="J548" s="1">
        <v>6508</v>
      </c>
      <c r="K548" s="1">
        <v>6376</v>
      </c>
      <c r="L548" s="1">
        <v>529</v>
      </c>
      <c r="M548" s="1">
        <f t="shared" si="43"/>
        <v>120</v>
      </c>
      <c r="N548" s="1">
        <v>120</v>
      </c>
      <c r="O548" s="1">
        <f t="shared" si="44"/>
        <v>0</v>
      </c>
      <c r="P548" s="1"/>
      <c r="Q548" s="1" t="s">
        <v>19</v>
      </c>
      <c r="R548" s="1" t="s">
        <v>26</v>
      </c>
    </row>
    <row r="549" spans="1:18" x14ac:dyDescent="0.35">
      <c r="A549" s="1" t="s">
        <v>580</v>
      </c>
      <c r="B549" s="1" t="str">
        <f t="shared" si="40"/>
        <v>Unknown</v>
      </c>
      <c r="C549" s="1"/>
      <c r="D549" s="1" t="str">
        <f t="shared" si="41"/>
        <v>No</v>
      </c>
      <c r="E549" s="1"/>
      <c r="F549" s="1">
        <v>1</v>
      </c>
      <c r="G549" s="1" t="s">
        <v>25</v>
      </c>
      <c r="H549" s="1" t="str">
        <f t="shared" si="42"/>
        <v>Yes</v>
      </c>
      <c r="I549" s="1" t="s">
        <v>29</v>
      </c>
      <c r="J549" s="1">
        <v>8052</v>
      </c>
      <c r="K549" s="1">
        <v>1460</v>
      </c>
      <c r="L549" s="1">
        <v>457</v>
      </c>
      <c r="M549" s="1">
        <f t="shared" si="43"/>
        <v>360</v>
      </c>
      <c r="N549" s="1">
        <v>360</v>
      </c>
      <c r="O549" s="1">
        <f t="shared" si="44"/>
        <v>1</v>
      </c>
      <c r="P549" s="1">
        <v>1</v>
      </c>
      <c r="Q549" s="1" t="s">
        <v>41</v>
      </c>
      <c r="R549" s="1" t="s">
        <v>26</v>
      </c>
    </row>
    <row r="550" spans="1:18" x14ac:dyDescent="0.35">
      <c r="A550" s="1" t="s">
        <v>581</v>
      </c>
      <c r="B550" s="1" t="str">
        <f t="shared" si="40"/>
        <v>Female</v>
      </c>
      <c r="C550" s="1" t="s">
        <v>28</v>
      </c>
      <c r="D550" s="1" t="str">
        <f t="shared" si="41"/>
        <v>Yes</v>
      </c>
      <c r="E550" s="1" t="s">
        <v>24</v>
      </c>
      <c r="F550" s="1">
        <v>1</v>
      </c>
      <c r="G550" s="1" t="s">
        <v>25</v>
      </c>
      <c r="H550" s="1" t="str">
        <f t="shared" si="42"/>
        <v>No</v>
      </c>
      <c r="I550" s="1"/>
      <c r="J550" s="1">
        <v>13267</v>
      </c>
      <c r="K550" s="1">
        <v>8385</v>
      </c>
      <c r="L550" s="1">
        <v>51</v>
      </c>
      <c r="M550" s="1">
        <f t="shared" si="43"/>
        <v>180</v>
      </c>
      <c r="N550" s="1">
        <v>180</v>
      </c>
      <c r="O550" s="1">
        <f t="shared" si="44"/>
        <v>1</v>
      </c>
      <c r="P550" s="1">
        <v>1</v>
      </c>
      <c r="Q550" s="1" t="s">
        <v>19</v>
      </c>
      <c r="R550" s="1" t="s">
        <v>26</v>
      </c>
    </row>
    <row r="551" spans="1:18" x14ac:dyDescent="0.35">
      <c r="A551" s="1" t="s">
        <v>582</v>
      </c>
      <c r="B551" s="1" t="str">
        <f t="shared" si="40"/>
        <v>Unknown</v>
      </c>
      <c r="C551" s="1"/>
      <c r="D551" s="1" t="str">
        <f t="shared" si="41"/>
        <v>Yes</v>
      </c>
      <c r="E551" s="1" t="s">
        <v>29</v>
      </c>
      <c r="F551" s="1" t="s">
        <v>16</v>
      </c>
      <c r="G551" s="1" t="s">
        <v>17</v>
      </c>
      <c r="H551" s="1" t="str">
        <f t="shared" si="42"/>
        <v>Yes</v>
      </c>
      <c r="I551" s="1" t="s">
        <v>15</v>
      </c>
      <c r="J551" s="1">
        <v>12450</v>
      </c>
      <c r="K551" s="1">
        <v>8850</v>
      </c>
      <c r="L551" s="1">
        <v>531</v>
      </c>
      <c r="M551" s="1">
        <f t="shared" si="43"/>
        <v>360</v>
      </c>
      <c r="N551" s="1">
        <v>360</v>
      </c>
      <c r="O551" s="1">
        <f t="shared" si="44"/>
        <v>1</v>
      </c>
      <c r="P551" s="1">
        <v>1</v>
      </c>
      <c r="Q551" s="1" t="s">
        <v>41</v>
      </c>
      <c r="R551" s="1" t="s">
        <v>26</v>
      </c>
    </row>
    <row r="552" spans="1:18" x14ac:dyDescent="0.35">
      <c r="A552" s="1" t="s">
        <v>583</v>
      </c>
      <c r="B552" s="1" t="str">
        <f t="shared" si="40"/>
        <v>Male</v>
      </c>
      <c r="C552" s="1" t="s">
        <v>33</v>
      </c>
      <c r="D552" s="1" t="str">
        <f t="shared" si="41"/>
        <v>No</v>
      </c>
      <c r="E552" s="1"/>
      <c r="F552" s="1">
        <v>2</v>
      </c>
      <c r="G552" s="1" t="s">
        <v>17</v>
      </c>
      <c r="H552" s="1" t="str">
        <f t="shared" si="42"/>
        <v>No</v>
      </c>
      <c r="I552" s="1"/>
      <c r="J552" s="1">
        <v>8387</v>
      </c>
      <c r="K552" s="1">
        <v>1791</v>
      </c>
      <c r="L552" s="1">
        <v>190</v>
      </c>
      <c r="M552" s="1">
        <f t="shared" si="43"/>
        <v>360</v>
      </c>
      <c r="N552" s="1"/>
      <c r="O552" s="1">
        <f t="shared" si="44"/>
        <v>0</v>
      </c>
      <c r="P552" s="1">
        <v>0</v>
      </c>
      <c r="Q552" s="1" t="s">
        <v>19</v>
      </c>
      <c r="R552" s="1" t="s">
        <v>26</v>
      </c>
    </row>
    <row r="553" spans="1:18" x14ac:dyDescent="0.35">
      <c r="A553" s="1" t="s">
        <v>584</v>
      </c>
      <c r="B553" s="1" t="str">
        <f t="shared" si="40"/>
        <v>Unknown</v>
      </c>
      <c r="C553" s="1"/>
      <c r="D553" s="1" t="str">
        <f t="shared" si="41"/>
        <v>No</v>
      </c>
      <c r="E553" s="1" t="s">
        <v>18</v>
      </c>
      <c r="F553" s="1">
        <v>2</v>
      </c>
      <c r="G553" s="1" t="s">
        <v>25</v>
      </c>
      <c r="H553" s="1" t="str">
        <f t="shared" si="42"/>
        <v>Yes</v>
      </c>
      <c r="I553" s="1" t="s">
        <v>29</v>
      </c>
      <c r="J553" s="1">
        <v>18601</v>
      </c>
      <c r="K553" s="1">
        <v>6768</v>
      </c>
      <c r="L553" s="1">
        <v>292</v>
      </c>
      <c r="M553" s="1">
        <f t="shared" si="43"/>
        <v>120</v>
      </c>
      <c r="N553" s="1">
        <v>120</v>
      </c>
      <c r="O553" s="1">
        <f t="shared" si="44"/>
        <v>1</v>
      </c>
      <c r="P553" s="1">
        <v>1</v>
      </c>
      <c r="Q553" s="1" t="s">
        <v>41</v>
      </c>
      <c r="R553" s="1" t="s">
        <v>20</v>
      </c>
    </row>
    <row r="554" spans="1:18" x14ac:dyDescent="0.35">
      <c r="A554" s="1" t="s">
        <v>585</v>
      </c>
      <c r="B554" s="1" t="str">
        <f t="shared" si="40"/>
        <v>Unknown</v>
      </c>
      <c r="C554" s="1"/>
      <c r="D554" s="1" t="str">
        <f t="shared" si="41"/>
        <v>No</v>
      </c>
      <c r="E554" s="1" t="s">
        <v>22</v>
      </c>
      <c r="F554" s="1" t="s">
        <v>16</v>
      </c>
      <c r="G554" s="1" t="s">
        <v>25</v>
      </c>
      <c r="H554" s="1" t="str">
        <f t="shared" si="42"/>
        <v>No</v>
      </c>
      <c r="I554" s="1"/>
      <c r="J554" s="1">
        <v>7965</v>
      </c>
      <c r="K554" s="1">
        <v>925</v>
      </c>
      <c r="L554" s="1">
        <v>137</v>
      </c>
      <c r="M554" s="1">
        <f t="shared" si="43"/>
        <v>180</v>
      </c>
      <c r="N554" s="1">
        <v>180</v>
      </c>
      <c r="O554" s="1">
        <f t="shared" si="44"/>
        <v>0</v>
      </c>
      <c r="P554" s="1"/>
      <c r="Q554" s="1" t="s">
        <v>19</v>
      </c>
      <c r="R554" s="1" t="s">
        <v>26</v>
      </c>
    </row>
    <row r="555" spans="1:18" x14ac:dyDescent="0.35">
      <c r="A555" s="1" t="s">
        <v>586</v>
      </c>
      <c r="B555" s="1" t="str">
        <f t="shared" si="40"/>
        <v>Female</v>
      </c>
      <c r="C555" s="1" t="s">
        <v>61</v>
      </c>
      <c r="D555" s="1" t="str">
        <f t="shared" si="41"/>
        <v>No</v>
      </c>
      <c r="E555" s="1"/>
      <c r="F555" s="1" t="s">
        <v>16</v>
      </c>
      <c r="G555" s="1" t="s">
        <v>17</v>
      </c>
      <c r="H555" s="1" t="str">
        <f t="shared" si="42"/>
        <v>No</v>
      </c>
      <c r="I555" s="1"/>
      <c r="J555" s="1">
        <v>14152</v>
      </c>
      <c r="K555" s="1">
        <v>1831</v>
      </c>
      <c r="L555" s="1">
        <v>639</v>
      </c>
      <c r="M555" s="1">
        <f t="shared" si="43"/>
        <v>360</v>
      </c>
      <c r="N555" s="1"/>
      <c r="O555" s="1">
        <f t="shared" si="44"/>
        <v>1</v>
      </c>
      <c r="P555" s="1">
        <v>1</v>
      </c>
      <c r="Q555" s="1" t="s">
        <v>30</v>
      </c>
      <c r="R555" s="1" t="s">
        <v>26</v>
      </c>
    </row>
    <row r="556" spans="1:18" x14ac:dyDescent="0.35">
      <c r="A556" s="1" t="s">
        <v>587</v>
      </c>
      <c r="B556" s="1" t="str">
        <f t="shared" si="40"/>
        <v>Male</v>
      </c>
      <c r="C556" s="1" t="s">
        <v>14</v>
      </c>
      <c r="D556" s="1" t="str">
        <f t="shared" si="41"/>
        <v>No</v>
      </c>
      <c r="E556" s="1"/>
      <c r="F556" s="1">
        <v>1</v>
      </c>
      <c r="G556" s="1" t="s">
        <v>17</v>
      </c>
      <c r="H556" s="1" t="str">
        <f t="shared" si="42"/>
        <v>No</v>
      </c>
      <c r="I556" s="1" t="s">
        <v>36</v>
      </c>
      <c r="J556" s="1">
        <v>3879</v>
      </c>
      <c r="K556" s="1">
        <v>9220</v>
      </c>
      <c r="L556" s="1">
        <v>399</v>
      </c>
      <c r="M556" s="1">
        <f t="shared" si="43"/>
        <v>180</v>
      </c>
      <c r="N556" s="1">
        <v>180</v>
      </c>
      <c r="O556" s="1">
        <f t="shared" si="44"/>
        <v>0</v>
      </c>
      <c r="P556" s="1"/>
      <c r="Q556" s="1" t="s">
        <v>41</v>
      </c>
      <c r="R556" s="1" t="s">
        <v>26</v>
      </c>
    </row>
    <row r="557" spans="1:18" x14ac:dyDescent="0.35">
      <c r="A557" s="1" t="s">
        <v>588</v>
      </c>
      <c r="B557" s="1" t="str">
        <f t="shared" si="40"/>
        <v>Male</v>
      </c>
      <c r="C557" s="1" t="s">
        <v>52</v>
      </c>
      <c r="D557" s="1" t="str">
        <f t="shared" si="41"/>
        <v>No</v>
      </c>
      <c r="E557" s="1" t="s">
        <v>36</v>
      </c>
      <c r="F557" s="1">
        <v>2</v>
      </c>
      <c r="G557" s="1" t="s">
        <v>17</v>
      </c>
      <c r="H557" s="1" t="str">
        <f t="shared" si="42"/>
        <v>Yes</v>
      </c>
      <c r="I557" s="1" t="s">
        <v>29</v>
      </c>
      <c r="J557" s="1">
        <v>14458</v>
      </c>
      <c r="K557" s="1">
        <v>4503</v>
      </c>
      <c r="L557" s="1">
        <v>256</v>
      </c>
      <c r="M557" s="1">
        <f t="shared" si="43"/>
        <v>180</v>
      </c>
      <c r="N557" s="1">
        <v>180</v>
      </c>
      <c r="O557" s="1">
        <f t="shared" si="44"/>
        <v>0</v>
      </c>
      <c r="P557" s="1">
        <v>0</v>
      </c>
      <c r="Q557" s="1" t="s">
        <v>41</v>
      </c>
      <c r="R557" s="1" t="s">
        <v>20</v>
      </c>
    </row>
    <row r="558" spans="1:18" x14ac:dyDescent="0.35">
      <c r="A558" s="1" t="s">
        <v>589</v>
      </c>
      <c r="B558" s="1" t="str">
        <f t="shared" si="40"/>
        <v>Unknown</v>
      </c>
      <c r="C558" s="1"/>
      <c r="D558" s="1" t="str">
        <f t="shared" si="41"/>
        <v>No</v>
      </c>
      <c r="E558" s="1" t="s">
        <v>36</v>
      </c>
      <c r="F558" s="1">
        <v>1</v>
      </c>
      <c r="G558" s="1" t="s">
        <v>17</v>
      </c>
      <c r="H558" s="1" t="str">
        <f t="shared" si="42"/>
        <v>No</v>
      </c>
      <c r="I558" s="1"/>
      <c r="J558" s="1">
        <v>6959</v>
      </c>
      <c r="K558" s="1">
        <v>1181</v>
      </c>
      <c r="L558" s="1">
        <v>301</v>
      </c>
      <c r="M558" s="1">
        <f t="shared" si="43"/>
        <v>180</v>
      </c>
      <c r="N558" s="1">
        <v>180</v>
      </c>
      <c r="O558" s="1">
        <f t="shared" si="44"/>
        <v>1</v>
      </c>
      <c r="P558" s="1">
        <v>1</v>
      </c>
      <c r="Q558" s="1" t="s">
        <v>19</v>
      </c>
      <c r="R558" s="1" t="s">
        <v>26</v>
      </c>
    </row>
    <row r="559" spans="1:18" x14ac:dyDescent="0.35">
      <c r="A559" s="1" t="s">
        <v>590</v>
      </c>
      <c r="B559" s="1" t="str">
        <f t="shared" si="40"/>
        <v>Female</v>
      </c>
      <c r="C559" s="1" t="s">
        <v>28</v>
      </c>
      <c r="D559" s="1" t="str">
        <f t="shared" si="41"/>
        <v>No</v>
      </c>
      <c r="E559" s="1"/>
      <c r="F559" s="1">
        <v>2</v>
      </c>
      <c r="G559" s="1" t="s">
        <v>17</v>
      </c>
      <c r="H559" s="1" t="str">
        <f t="shared" si="42"/>
        <v>No</v>
      </c>
      <c r="I559" s="1"/>
      <c r="J559" s="1">
        <v>10379</v>
      </c>
      <c r="K559" s="1">
        <v>7828</v>
      </c>
      <c r="L559" s="1">
        <v>453</v>
      </c>
      <c r="M559" s="1">
        <f t="shared" si="43"/>
        <v>120</v>
      </c>
      <c r="N559" s="1">
        <v>120</v>
      </c>
      <c r="O559" s="1">
        <f t="shared" si="44"/>
        <v>0</v>
      </c>
      <c r="P559" s="1"/>
      <c r="Q559" s="1" t="s">
        <v>30</v>
      </c>
      <c r="R559" s="1" t="s">
        <v>20</v>
      </c>
    </row>
    <row r="560" spans="1:18" x14ac:dyDescent="0.35">
      <c r="A560" s="1" t="s">
        <v>591</v>
      </c>
      <c r="B560" s="1" t="str">
        <f t="shared" si="40"/>
        <v>Female</v>
      </c>
      <c r="C560" s="1" t="s">
        <v>43</v>
      </c>
      <c r="D560" s="1" t="str">
        <f t="shared" si="41"/>
        <v>No</v>
      </c>
      <c r="E560" s="1"/>
      <c r="F560" s="1">
        <v>2</v>
      </c>
      <c r="G560" s="1" t="s">
        <v>25</v>
      </c>
      <c r="H560" s="1" t="str">
        <f t="shared" si="42"/>
        <v>Yes</v>
      </c>
      <c r="I560" s="1" t="s">
        <v>24</v>
      </c>
      <c r="J560" s="1">
        <v>18443</v>
      </c>
      <c r="K560" s="1">
        <v>3121</v>
      </c>
      <c r="L560" s="1">
        <v>578</v>
      </c>
      <c r="M560" s="1">
        <f t="shared" si="43"/>
        <v>180</v>
      </c>
      <c r="N560" s="1">
        <v>180</v>
      </c>
      <c r="O560" s="1">
        <f t="shared" si="44"/>
        <v>0</v>
      </c>
      <c r="P560" s="1"/>
      <c r="Q560" s="1" t="s">
        <v>41</v>
      </c>
      <c r="R560" s="1" t="s">
        <v>26</v>
      </c>
    </row>
    <row r="561" spans="1:18" x14ac:dyDescent="0.35">
      <c r="A561" s="1" t="s">
        <v>592</v>
      </c>
      <c r="B561" s="1" t="str">
        <f t="shared" si="40"/>
        <v>Female</v>
      </c>
      <c r="C561" s="1" t="s">
        <v>28</v>
      </c>
      <c r="D561" s="1" t="str">
        <f t="shared" si="41"/>
        <v>Yes</v>
      </c>
      <c r="E561" s="1" t="s">
        <v>15</v>
      </c>
      <c r="F561" s="1" t="s">
        <v>16</v>
      </c>
      <c r="G561" s="1" t="s">
        <v>17</v>
      </c>
      <c r="H561" s="1" t="str">
        <f t="shared" si="42"/>
        <v>No</v>
      </c>
      <c r="I561" s="1"/>
      <c r="J561" s="1">
        <v>4987</v>
      </c>
      <c r="K561" s="1">
        <v>6955</v>
      </c>
      <c r="L561" s="1">
        <v>302</v>
      </c>
      <c r="M561" s="1">
        <f t="shared" si="43"/>
        <v>360</v>
      </c>
      <c r="N561" s="1"/>
      <c r="O561" s="1">
        <f t="shared" si="44"/>
        <v>0</v>
      </c>
      <c r="P561" s="1"/>
      <c r="Q561" s="1" t="s">
        <v>19</v>
      </c>
      <c r="R561" s="1" t="s">
        <v>26</v>
      </c>
    </row>
    <row r="562" spans="1:18" x14ac:dyDescent="0.35">
      <c r="A562" s="1" t="s">
        <v>593</v>
      </c>
      <c r="B562" s="1" t="str">
        <f t="shared" si="40"/>
        <v>Unknown</v>
      </c>
      <c r="C562" s="1"/>
      <c r="D562" s="1" t="str">
        <f t="shared" si="41"/>
        <v>Yes</v>
      </c>
      <c r="E562" s="1" t="s">
        <v>29</v>
      </c>
      <c r="F562" s="1">
        <v>1</v>
      </c>
      <c r="G562" s="1" t="s">
        <v>25</v>
      </c>
      <c r="H562" s="1" t="str">
        <f t="shared" si="42"/>
        <v>No</v>
      </c>
      <c r="I562" s="1"/>
      <c r="J562" s="1">
        <v>4542</v>
      </c>
      <c r="K562" s="1">
        <v>7509</v>
      </c>
      <c r="L562" s="1">
        <v>260</v>
      </c>
      <c r="M562" s="1">
        <f t="shared" si="43"/>
        <v>180</v>
      </c>
      <c r="N562" s="1">
        <v>180</v>
      </c>
      <c r="O562" s="1">
        <f t="shared" si="44"/>
        <v>0</v>
      </c>
      <c r="P562" s="1">
        <v>0</v>
      </c>
      <c r="Q562" s="1" t="s">
        <v>41</v>
      </c>
      <c r="R562" s="1" t="s">
        <v>26</v>
      </c>
    </row>
    <row r="563" spans="1:18" x14ac:dyDescent="0.35">
      <c r="A563" s="1" t="s">
        <v>594</v>
      </c>
      <c r="B563" s="1" t="str">
        <f t="shared" si="40"/>
        <v>Male</v>
      </c>
      <c r="C563" s="1" t="s">
        <v>52</v>
      </c>
      <c r="D563" s="1" t="str">
        <f t="shared" si="41"/>
        <v>Yes</v>
      </c>
      <c r="E563" s="1" t="s">
        <v>15</v>
      </c>
      <c r="F563" s="1">
        <v>2</v>
      </c>
      <c r="G563" s="1" t="s">
        <v>17</v>
      </c>
      <c r="H563" s="1" t="str">
        <f t="shared" si="42"/>
        <v>Yes</v>
      </c>
      <c r="I563" s="1" t="s">
        <v>29</v>
      </c>
      <c r="J563" s="1">
        <v>17298</v>
      </c>
      <c r="K563" s="1">
        <v>7281</v>
      </c>
      <c r="L563" s="1">
        <v>680</v>
      </c>
      <c r="M563" s="1">
        <f t="shared" si="43"/>
        <v>120</v>
      </c>
      <c r="N563" s="1">
        <v>120</v>
      </c>
      <c r="O563" s="1">
        <f t="shared" si="44"/>
        <v>0</v>
      </c>
      <c r="P563" s="1"/>
      <c r="Q563" s="1" t="s">
        <v>19</v>
      </c>
      <c r="R563" s="1" t="s">
        <v>26</v>
      </c>
    </row>
    <row r="564" spans="1:18" x14ac:dyDescent="0.35">
      <c r="A564" s="1" t="s">
        <v>595</v>
      </c>
      <c r="B564" s="1" t="str">
        <f t="shared" si="40"/>
        <v>Male</v>
      </c>
      <c r="C564" s="1" t="s">
        <v>52</v>
      </c>
      <c r="D564" s="1" t="str">
        <f t="shared" si="41"/>
        <v>Yes</v>
      </c>
      <c r="E564" s="1" t="s">
        <v>29</v>
      </c>
      <c r="F564" s="1" t="s">
        <v>16</v>
      </c>
      <c r="G564" s="1" t="s">
        <v>17</v>
      </c>
      <c r="H564" s="1" t="str">
        <f t="shared" si="42"/>
        <v>No</v>
      </c>
      <c r="I564" s="1"/>
      <c r="J564" s="1">
        <v>15972</v>
      </c>
      <c r="K564" s="1">
        <v>5063</v>
      </c>
      <c r="L564" s="1">
        <v>284</v>
      </c>
      <c r="M564" s="1">
        <f t="shared" si="43"/>
        <v>120</v>
      </c>
      <c r="N564" s="1">
        <v>120</v>
      </c>
      <c r="O564" s="1">
        <f t="shared" si="44"/>
        <v>0</v>
      </c>
      <c r="P564" s="1"/>
      <c r="Q564" s="1" t="s">
        <v>19</v>
      </c>
      <c r="R564" s="1" t="s">
        <v>20</v>
      </c>
    </row>
    <row r="565" spans="1:18" x14ac:dyDescent="0.35">
      <c r="A565" s="1" t="s">
        <v>596</v>
      </c>
      <c r="B565" s="1" t="str">
        <f t="shared" si="40"/>
        <v>Female</v>
      </c>
      <c r="C565" s="1" t="s">
        <v>28</v>
      </c>
      <c r="D565" s="1" t="str">
        <f t="shared" si="41"/>
        <v>No</v>
      </c>
      <c r="E565" s="1" t="s">
        <v>22</v>
      </c>
      <c r="F565" s="1">
        <v>0</v>
      </c>
      <c r="G565" s="1" t="s">
        <v>25</v>
      </c>
      <c r="H565" s="1" t="str">
        <f t="shared" si="42"/>
        <v>No</v>
      </c>
      <c r="I565" s="1"/>
      <c r="J565" s="1">
        <v>4300</v>
      </c>
      <c r="K565" s="1">
        <v>3651</v>
      </c>
      <c r="L565" s="1">
        <v>589</v>
      </c>
      <c r="M565" s="1">
        <f t="shared" si="43"/>
        <v>180</v>
      </c>
      <c r="N565" s="1">
        <v>180</v>
      </c>
      <c r="O565" s="1">
        <f t="shared" si="44"/>
        <v>0</v>
      </c>
      <c r="P565" s="1"/>
      <c r="Q565" s="1" t="s">
        <v>19</v>
      </c>
      <c r="R565" s="1" t="s">
        <v>20</v>
      </c>
    </row>
    <row r="566" spans="1:18" x14ac:dyDescent="0.35">
      <c r="A566" s="1" t="s">
        <v>597</v>
      </c>
      <c r="B566" s="1" t="str">
        <f t="shared" si="40"/>
        <v>Female</v>
      </c>
      <c r="C566" s="1" t="s">
        <v>61</v>
      </c>
      <c r="D566" s="1" t="str">
        <f t="shared" si="41"/>
        <v>Yes</v>
      </c>
      <c r="E566" s="1" t="s">
        <v>24</v>
      </c>
      <c r="F566" s="1" t="s">
        <v>16</v>
      </c>
      <c r="G566" s="1" t="s">
        <v>25</v>
      </c>
      <c r="H566" s="1" t="str">
        <f t="shared" si="42"/>
        <v>No</v>
      </c>
      <c r="I566" s="1"/>
      <c r="J566" s="1">
        <v>18713</v>
      </c>
      <c r="K566" s="1">
        <v>3736</v>
      </c>
      <c r="L566" s="1">
        <v>453</v>
      </c>
      <c r="M566" s="1">
        <f t="shared" si="43"/>
        <v>360</v>
      </c>
      <c r="N566" s="1">
        <v>360</v>
      </c>
      <c r="O566" s="1">
        <f t="shared" si="44"/>
        <v>0</v>
      </c>
      <c r="P566" s="1"/>
      <c r="Q566" s="1" t="s">
        <v>19</v>
      </c>
      <c r="R566" s="1" t="s">
        <v>20</v>
      </c>
    </row>
    <row r="567" spans="1:18" x14ac:dyDescent="0.35">
      <c r="A567" s="1" t="s">
        <v>598</v>
      </c>
      <c r="B567" s="1" t="str">
        <f t="shared" si="40"/>
        <v>Male</v>
      </c>
      <c r="C567" s="1" t="s">
        <v>52</v>
      </c>
      <c r="D567" s="1" t="str">
        <f t="shared" si="41"/>
        <v>No</v>
      </c>
      <c r="E567" s="1" t="s">
        <v>18</v>
      </c>
      <c r="F567" s="1">
        <v>0</v>
      </c>
      <c r="G567" s="1" t="s">
        <v>25</v>
      </c>
      <c r="H567" s="1" t="str">
        <f t="shared" si="42"/>
        <v>No</v>
      </c>
      <c r="I567" s="1" t="s">
        <v>18</v>
      </c>
      <c r="J567" s="1">
        <v>10388</v>
      </c>
      <c r="K567" s="1">
        <v>479</v>
      </c>
      <c r="L567" s="1">
        <v>646</v>
      </c>
      <c r="M567" s="1">
        <f t="shared" si="43"/>
        <v>180</v>
      </c>
      <c r="N567" s="1">
        <v>180</v>
      </c>
      <c r="O567" s="1">
        <f t="shared" si="44"/>
        <v>0</v>
      </c>
      <c r="P567" s="1">
        <v>0</v>
      </c>
      <c r="Q567" s="1" t="s">
        <v>19</v>
      </c>
      <c r="R567" s="1" t="s">
        <v>26</v>
      </c>
    </row>
    <row r="568" spans="1:18" x14ac:dyDescent="0.35">
      <c r="A568" s="1" t="s">
        <v>599</v>
      </c>
      <c r="B568" s="1" t="str">
        <f t="shared" si="40"/>
        <v>Male</v>
      </c>
      <c r="C568" s="1" t="s">
        <v>14</v>
      </c>
      <c r="D568" s="1" t="str">
        <f t="shared" si="41"/>
        <v>Yes</v>
      </c>
      <c r="E568" s="1" t="s">
        <v>15</v>
      </c>
      <c r="F568" s="1">
        <v>0</v>
      </c>
      <c r="G568" s="1" t="s">
        <v>17</v>
      </c>
      <c r="H568" s="1" t="str">
        <f t="shared" si="42"/>
        <v>Yes</v>
      </c>
      <c r="I568" s="1" t="s">
        <v>29</v>
      </c>
      <c r="J568" s="1">
        <v>12941</v>
      </c>
      <c r="K568" s="1">
        <v>3972</v>
      </c>
      <c r="L568" s="1">
        <v>402</v>
      </c>
      <c r="M568" s="1">
        <f t="shared" si="43"/>
        <v>360</v>
      </c>
      <c r="N568" s="1">
        <v>360</v>
      </c>
      <c r="O568" s="1">
        <f t="shared" si="44"/>
        <v>0</v>
      </c>
      <c r="P568" s="1">
        <v>0</v>
      </c>
      <c r="Q568" s="1" t="s">
        <v>30</v>
      </c>
      <c r="R568" s="1" t="s">
        <v>20</v>
      </c>
    </row>
    <row r="569" spans="1:18" x14ac:dyDescent="0.35">
      <c r="A569" s="1" t="s">
        <v>600</v>
      </c>
      <c r="B569" s="1" t="str">
        <f t="shared" si="40"/>
        <v>Male</v>
      </c>
      <c r="C569" s="1" t="s">
        <v>14</v>
      </c>
      <c r="D569" s="1" t="str">
        <f t="shared" si="41"/>
        <v>No</v>
      </c>
      <c r="E569" s="1" t="s">
        <v>22</v>
      </c>
      <c r="F569" s="1">
        <v>2</v>
      </c>
      <c r="G569" s="1" t="s">
        <v>17</v>
      </c>
      <c r="H569" s="1" t="str">
        <f t="shared" si="42"/>
        <v>No</v>
      </c>
      <c r="I569" s="1" t="s">
        <v>36</v>
      </c>
      <c r="J569" s="1">
        <v>5601</v>
      </c>
      <c r="K569" s="1">
        <v>3619</v>
      </c>
      <c r="L569" s="1">
        <v>512</v>
      </c>
      <c r="M569" s="1">
        <f t="shared" si="43"/>
        <v>360</v>
      </c>
      <c r="N569" s="1"/>
      <c r="O569" s="1">
        <f t="shared" si="44"/>
        <v>0</v>
      </c>
      <c r="P569" s="1">
        <v>0</v>
      </c>
      <c r="Q569" s="1" t="s">
        <v>19</v>
      </c>
      <c r="R569" s="1" t="s">
        <v>26</v>
      </c>
    </row>
    <row r="570" spans="1:18" x14ac:dyDescent="0.35">
      <c r="A570" s="1" t="s">
        <v>601</v>
      </c>
      <c r="B570" s="1" t="str">
        <f t="shared" si="40"/>
        <v>Female</v>
      </c>
      <c r="C570" s="1" t="s">
        <v>28</v>
      </c>
      <c r="D570" s="1" t="str">
        <f t="shared" si="41"/>
        <v>Yes</v>
      </c>
      <c r="E570" s="1" t="s">
        <v>15</v>
      </c>
      <c r="F570" s="1" t="s">
        <v>16</v>
      </c>
      <c r="G570" s="1" t="s">
        <v>25</v>
      </c>
      <c r="H570" s="1" t="str">
        <f t="shared" si="42"/>
        <v>Yes</v>
      </c>
      <c r="I570" s="1" t="s">
        <v>29</v>
      </c>
      <c r="J570" s="1">
        <v>13420</v>
      </c>
      <c r="K570" s="1">
        <v>6083</v>
      </c>
      <c r="L570" s="1">
        <v>59</v>
      </c>
      <c r="M570" s="1">
        <f t="shared" si="43"/>
        <v>180</v>
      </c>
      <c r="N570" s="1">
        <v>180</v>
      </c>
      <c r="O570" s="1">
        <f t="shared" si="44"/>
        <v>1</v>
      </c>
      <c r="P570" s="1">
        <v>1</v>
      </c>
      <c r="Q570" s="1" t="s">
        <v>30</v>
      </c>
      <c r="R570" s="1" t="s">
        <v>26</v>
      </c>
    </row>
    <row r="571" spans="1:18" x14ac:dyDescent="0.35">
      <c r="A571" s="1" t="s">
        <v>602</v>
      </c>
      <c r="B571" s="1" t="str">
        <f t="shared" si="40"/>
        <v>Male</v>
      </c>
      <c r="C571" s="1" t="s">
        <v>14</v>
      </c>
      <c r="D571" s="1" t="str">
        <f t="shared" si="41"/>
        <v>No</v>
      </c>
      <c r="E571" s="1"/>
      <c r="F571" s="1">
        <v>2</v>
      </c>
      <c r="G571" s="1" t="s">
        <v>17</v>
      </c>
      <c r="H571" s="1" t="str">
        <f t="shared" si="42"/>
        <v>Yes</v>
      </c>
      <c r="I571" s="1" t="s">
        <v>24</v>
      </c>
      <c r="J571" s="1">
        <v>18019</v>
      </c>
      <c r="K571" s="1">
        <v>815</v>
      </c>
      <c r="L571" s="1">
        <v>257</v>
      </c>
      <c r="M571" s="1">
        <f t="shared" si="43"/>
        <v>180</v>
      </c>
      <c r="N571" s="1">
        <v>180</v>
      </c>
      <c r="O571" s="1">
        <f t="shared" si="44"/>
        <v>1</v>
      </c>
      <c r="P571" s="1">
        <v>1</v>
      </c>
      <c r="Q571" s="1" t="s">
        <v>19</v>
      </c>
      <c r="R571" s="1" t="s">
        <v>26</v>
      </c>
    </row>
    <row r="572" spans="1:18" x14ac:dyDescent="0.35">
      <c r="A572" s="1" t="s">
        <v>603</v>
      </c>
      <c r="B572" s="1" t="str">
        <f t="shared" si="40"/>
        <v>Unknown</v>
      </c>
      <c r="C572" s="1"/>
      <c r="D572" s="1" t="str">
        <f t="shared" si="41"/>
        <v>No</v>
      </c>
      <c r="E572" s="1" t="s">
        <v>18</v>
      </c>
      <c r="F572" s="1">
        <v>1</v>
      </c>
      <c r="G572" s="1" t="s">
        <v>25</v>
      </c>
      <c r="H572" s="1" t="str">
        <f t="shared" si="42"/>
        <v>No</v>
      </c>
      <c r="I572" s="1" t="s">
        <v>18</v>
      </c>
      <c r="J572" s="1">
        <v>7954</v>
      </c>
      <c r="K572" s="1">
        <v>348</v>
      </c>
      <c r="L572" s="1">
        <v>215</v>
      </c>
      <c r="M572" s="1">
        <f t="shared" si="43"/>
        <v>180</v>
      </c>
      <c r="N572" s="1">
        <v>180</v>
      </c>
      <c r="O572" s="1">
        <f t="shared" si="44"/>
        <v>0</v>
      </c>
      <c r="P572" s="1"/>
      <c r="Q572" s="1" t="s">
        <v>19</v>
      </c>
      <c r="R572" s="1" t="s">
        <v>20</v>
      </c>
    </row>
    <row r="573" spans="1:18" x14ac:dyDescent="0.35">
      <c r="A573" s="1" t="s">
        <v>604</v>
      </c>
      <c r="B573" s="1" t="str">
        <f t="shared" si="40"/>
        <v>Unknown</v>
      </c>
      <c r="C573" s="1"/>
      <c r="D573" s="1" t="str">
        <f t="shared" si="41"/>
        <v>No</v>
      </c>
      <c r="E573" s="1"/>
      <c r="F573" s="1">
        <v>2</v>
      </c>
      <c r="G573" s="1" t="s">
        <v>25</v>
      </c>
      <c r="H573" s="1" t="str">
        <f t="shared" si="42"/>
        <v>Yes</v>
      </c>
      <c r="I573" s="1" t="s">
        <v>24</v>
      </c>
      <c r="J573" s="1">
        <v>15816</v>
      </c>
      <c r="K573" s="1">
        <v>1891</v>
      </c>
      <c r="L573" s="1">
        <v>147</v>
      </c>
      <c r="M573" s="1">
        <f t="shared" si="43"/>
        <v>180</v>
      </c>
      <c r="N573" s="1">
        <v>180</v>
      </c>
      <c r="O573" s="1">
        <f t="shared" si="44"/>
        <v>1</v>
      </c>
      <c r="P573" s="1">
        <v>1</v>
      </c>
      <c r="Q573" s="1" t="s">
        <v>30</v>
      </c>
      <c r="R573" s="1" t="s">
        <v>20</v>
      </c>
    </row>
    <row r="574" spans="1:18" x14ac:dyDescent="0.35">
      <c r="A574" s="1" t="s">
        <v>605</v>
      </c>
      <c r="B574" s="1" t="str">
        <f t="shared" si="40"/>
        <v>Female</v>
      </c>
      <c r="C574" s="1" t="s">
        <v>28</v>
      </c>
      <c r="D574" s="1" t="str">
        <f t="shared" si="41"/>
        <v>No</v>
      </c>
      <c r="E574" s="1" t="s">
        <v>18</v>
      </c>
      <c r="F574" s="1" t="s">
        <v>16</v>
      </c>
      <c r="G574" s="1" t="s">
        <v>17</v>
      </c>
      <c r="H574" s="1" t="str">
        <f t="shared" si="42"/>
        <v>No</v>
      </c>
      <c r="I574" s="1"/>
      <c r="J574" s="1">
        <v>12976</v>
      </c>
      <c r="K574" s="1">
        <v>6483</v>
      </c>
      <c r="L574" s="1">
        <v>172</v>
      </c>
      <c r="M574" s="1">
        <f t="shared" si="43"/>
        <v>360</v>
      </c>
      <c r="N574" s="1">
        <v>360</v>
      </c>
      <c r="O574" s="1">
        <f t="shared" si="44"/>
        <v>1</v>
      </c>
      <c r="P574" s="1">
        <v>1</v>
      </c>
      <c r="Q574" s="1" t="s">
        <v>41</v>
      </c>
      <c r="R574" s="1" t="s">
        <v>26</v>
      </c>
    </row>
    <row r="575" spans="1:18" x14ac:dyDescent="0.35">
      <c r="A575" s="1" t="s">
        <v>606</v>
      </c>
      <c r="B575" s="1" t="str">
        <f t="shared" si="40"/>
        <v>Unknown</v>
      </c>
      <c r="C575" s="1"/>
      <c r="D575" s="1" t="str">
        <f t="shared" si="41"/>
        <v>Yes</v>
      </c>
      <c r="E575" s="1" t="s">
        <v>24</v>
      </c>
      <c r="F575" s="1">
        <v>1</v>
      </c>
      <c r="G575" s="1" t="s">
        <v>25</v>
      </c>
      <c r="H575" s="1" t="str">
        <f t="shared" si="42"/>
        <v>No</v>
      </c>
      <c r="I575" s="1" t="s">
        <v>22</v>
      </c>
      <c r="J575" s="1">
        <v>17813</v>
      </c>
      <c r="K575" s="1">
        <v>6184</v>
      </c>
      <c r="L575" s="1">
        <v>88</v>
      </c>
      <c r="M575" s="1">
        <f t="shared" si="43"/>
        <v>120</v>
      </c>
      <c r="N575" s="1">
        <v>120</v>
      </c>
      <c r="O575" s="1">
        <f t="shared" si="44"/>
        <v>0</v>
      </c>
      <c r="P575" s="1"/>
      <c r="Q575" s="1" t="s">
        <v>41</v>
      </c>
      <c r="R575" s="1" t="s">
        <v>20</v>
      </c>
    </row>
    <row r="576" spans="1:18" x14ac:dyDescent="0.35">
      <c r="A576" s="1" t="s">
        <v>607</v>
      </c>
      <c r="B576" s="1" t="str">
        <f t="shared" si="40"/>
        <v>Unknown</v>
      </c>
      <c r="C576" s="1"/>
      <c r="D576" s="1" t="str">
        <f t="shared" si="41"/>
        <v>Yes</v>
      </c>
      <c r="E576" s="1" t="s">
        <v>24</v>
      </c>
      <c r="F576" s="1">
        <v>2</v>
      </c>
      <c r="G576" s="1" t="s">
        <v>25</v>
      </c>
      <c r="H576" s="1" t="str">
        <f t="shared" si="42"/>
        <v>No</v>
      </c>
      <c r="I576" s="1"/>
      <c r="J576" s="1">
        <v>19484</v>
      </c>
      <c r="K576" s="1">
        <v>7532</v>
      </c>
      <c r="L576" s="1">
        <v>468</v>
      </c>
      <c r="M576" s="1">
        <f t="shared" si="43"/>
        <v>120</v>
      </c>
      <c r="N576" s="1">
        <v>120</v>
      </c>
      <c r="O576" s="1">
        <f t="shared" si="44"/>
        <v>0</v>
      </c>
      <c r="P576" s="1">
        <v>0</v>
      </c>
      <c r="Q576" s="1" t="s">
        <v>19</v>
      </c>
      <c r="R576" s="1" t="s">
        <v>20</v>
      </c>
    </row>
    <row r="577" spans="1:18" x14ac:dyDescent="0.35">
      <c r="A577" s="1" t="s">
        <v>608</v>
      </c>
      <c r="B577" s="1" t="str">
        <f t="shared" si="40"/>
        <v>Female</v>
      </c>
      <c r="C577" s="1" t="s">
        <v>43</v>
      </c>
      <c r="D577" s="1" t="str">
        <f t="shared" si="41"/>
        <v>Yes</v>
      </c>
      <c r="E577" s="1" t="s">
        <v>24</v>
      </c>
      <c r="F577" s="1">
        <v>0</v>
      </c>
      <c r="G577" s="1" t="s">
        <v>17</v>
      </c>
      <c r="H577" s="1" t="str">
        <f t="shared" si="42"/>
        <v>No</v>
      </c>
      <c r="I577" s="1"/>
      <c r="J577" s="1">
        <v>12275</v>
      </c>
      <c r="K577" s="1">
        <v>5874</v>
      </c>
      <c r="L577" s="1">
        <v>257</v>
      </c>
      <c r="M577" s="1">
        <f t="shared" si="43"/>
        <v>180</v>
      </c>
      <c r="N577" s="1">
        <v>180</v>
      </c>
      <c r="O577" s="1">
        <f t="shared" si="44"/>
        <v>1</v>
      </c>
      <c r="P577" s="1">
        <v>1</v>
      </c>
      <c r="Q577" s="1" t="s">
        <v>41</v>
      </c>
      <c r="R577" s="1" t="s">
        <v>26</v>
      </c>
    </row>
    <row r="578" spans="1:18" x14ac:dyDescent="0.35">
      <c r="A578" s="1" t="s">
        <v>609</v>
      </c>
      <c r="B578" s="1" t="str">
        <f t="shared" ref="B578:B641" si="45">IF(ISBLANK(C578),"Unknown", IF(LOWER(TRIM(C578))="male","Male","Female"))</f>
        <v>Male</v>
      </c>
      <c r="C578" s="1" t="s">
        <v>52</v>
      </c>
      <c r="D578" s="1" t="str">
        <f t="shared" ref="D578:D641" si="46">IF(ISBLANK(E578),"No",PROPER(TRIM(E578)))</f>
        <v>Yes</v>
      </c>
      <c r="E578" s="1" t="s">
        <v>24</v>
      </c>
      <c r="F578" s="1">
        <v>2</v>
      </c>
      <c r="G578" s="1" t="s">
        <v>25</v>
      </c>
      <c r="H578" s="1" t="str">
        <f t="shared" ref="H578:H641" si="47">IF(ISBLANK(I578),"No",PROPER(TRIM(I578)))</f>
        <v>No</v>
      </c>
      <c r="I578" s="1"/>
      <c r="J578" s="1">
        <v>7597</v>
      </c>
      <c r="K578" s="1">
        <v>8775</v>
      </c>
      <c r="L578" s="1">
        <v>95</v>
      </c>
      <c r="M578" s="1">
        <f t="shared" ref="M578:M641" si="48">IF(ISBLANK(N578),360,N578)</f>
        <v>360</v>
      </c>
      <c r="N578" s="1"/>
      <c r="O578" s="1">
        <f t="shared" ref="O578:O641" si="49">IF(ISBLANK(P578),0,P578)</f>
        <v>1</v>
      </c>
      <c r="P578" s="1">
        <v>1</v>
      </c>
      <c r="Q578" s="1" t="s">
        <v>41</v>
      </c>
      <c r="R578" s="1" t="s">
        <v>26</v>
      </c>
    </row>
    <row r="579" spans="1:18" x14ac:dyDescent="0.35">
      <c r="A579" s="1" t="s">
        <v>610</v>
      </c>
      <c r="B579" s="1" t="str">
        <f t="shared" si="45"/>
        <v>Male</v>
      </c>
      <c r="C579" s="1" t="s">
        <v>52</v>
      </c>
      <c r="D579" s="1" t="str">
        <f t="shared" si="46"/>
        <v>No</v>
      </c>
      <c r="E579" s="1" t="s">
        <v>36</v>
      </c>
      <c r="F579" s="1">
        <v>2</v>
      </c>
      <c r="G579" s="1" t="s">
        <v>17</v>
      </c>
      <c r="H579" s="1" t="str">
        <f t="shared" si="47"/>
        <v>No</v>
      </c>
      <c r="I579" s="1" t="s">
        <v>36</v>
      </c>
      <c r="J579" s="1">
        <v>10147</v>
      </c>
      <c r="K579" s="1">
        <v>5856</v>
      </c>
      <c r="L579" s="1">
        <v>246</v>
      </c>
      <c r="M579" s="1">
        <f t="shared" si="48"/>
        <v>360</v>
      </c>
      <c r="N579" s="1"/>
      <c r="O579" s="1">
        <f t="shared" si="49"/>
        <v>1</v>
      </c>
      <c r="P579" s="1">
        <v>1</v>
      </c>
      <c r="Q579" s="1" t="s">
        <v>41</v>
      </c>
      <c r="R579" s="1" t="s">
        <v>26</v>
      </c>
    </row>
    <row r="580" spans="1:18" x14ac:dyDescent="0.35">
      <c r="A580" s="1" t="s">
        <v>611</v>
      </c>
      <c r="B580" s="1" t="str">
        <f t="shared" si="45"/>
        <v>Unknown</v>
      </c>
      <c r="C580" s="1"/>
      <c r="D580" s="1" t="str">
        <f t="shared" si="46"/>
        <v>Yes</v>
      </c>
      <c r="E580" s="1" t="s">
        <v>24</v>
      </c>
      <c r="F580" s="1">
        <v>0</v>
      </c>
      <c r="G580" s="1" t="s">
        <v>25</v>
      </c>
      <c r="H580" s="1" t="str">
        <f t="shared" si="47"/>
        <v>No</v>
      </c>
      <c r="I580" s="1" t="s">
        <v>18</v>
      </c>
      <c r="J580" s="1">
        <v>10144</v>
      </c>
      <c r="K580" s="1">
        <v>6398</v>
      </c>
      <c r="L580" s="1">
        <v>654</v>
      </c>
      <c r="M580" s="1">
        <f t="shared" si="48"/>
        <v>120</v>
      </c>
      <c r="N580" s="1">
        <v>120</v>
      </c>
      <c r="O580" s="1">
        <f t="shared" si="49"/>
        <v>1</v>
      </c>
      <c r="P580" s="1">
        <v>1</v>
      </c>
      <c r="Q580" s="1" t="s">
        <v>41</v>
      </c>
      <c r="R580" s="1" t="s">
        <v>26</v>
      </c>
    </row>
    <row r="581" spans="1:18" x14ac:dyDescent="0.35">
      <c r="A581" s="1" t="s">
        <v>612</v>
      </c>
      <c r="B581" s="1" t="str">
        <f t="shared" si="45"/>
        <v>Unknown</v>
      </c>
      <c r="C581" s="1"/>
      <c r="D581" s="1" t="str">
        <f t="shared" si="46"/>
        <v>No</v>
      </c>
      <c r="E581" s="1" t="s">
        <v>36</v>
      </c>
      <c r="F581" s="1" t="s">
        <v>16</v>
      </c>
      <c r="G581" s="1" t="s">
        <v>25</v>
      </c>
      <c r="H581" s="1" t="str">
        <f t="shared" si="47"/>
        <v>No</v>
      </c>
      <c r="I581" s="1" t="s">
        <v>22</v>
      </c>
      <c r="J581" s="1">
        <v>9179</v>
      </c>
      <c r="K581" s="1">
        <v>9030</v>
      </c>
      <c r="L581" s="1">
        <v>465</v>
      </c>
      <c r="M581" s="1">
        <f t="shared" si="48"/>
        <v>360</v>
      </c>
      <c r="N581" s="1">
        <v>360</v>
      </c>
      <c r="O581" s="1">
        <f t="shared" si="49"/>
        <v>0</v>
      </c>
      <c r="P581" s="1">
        <v>0</v>
      </c>
      <c r="Q581" s="1" t="s">
        <v>30</v>
      </c>
      <c r="R581" s="1" t="s">
        <v>20</v>
      </c>
    </row>
    <row r="582" spans="1:18" x14ac:dyDescent="0.35">
      <c r="A582" s="1" t="s">
        <v>613</v>
      </c>
      <c r="B582" s="1" t="str">
        <f t="shared" si="45"/>
        <v>Female</v>
      </c>
      <c r="C582" s="1" t="s">
        <v>43</v>
      </c>
      <c r="D582" s="1" t="str">
        <f t="shared" si="46"/>
        <v>Yes</v>
      </c>
      <c r="E582" s="1" t="s">
        <v>15</v>
      </c>
      <c r="F582" s="1" t="s">
        <v>16</v>
      </c>
      <c r="G582" s="1" t="s">
        <v>17</v>
      </c>
      <c r="H582" s="1" t="str">
        <f t="shared" si="47"/>
        <v>Yes</v>
      </c>
      <c r="I582" s="1" t="s">
        <v>29</v>
      </c>
      <c r="J582" s="1">
        <v>7657</v>
      </c>
      <c r="K582" s="1">
        <v>1445</v>
      </c>
      <c r="L582" s="1">
        <v>108</v>
      </c>
      <c r="M582" s="1">
        <f t="shared" si="48"/>
        <v>120</v>
      </c>
      <c r="N582" s="1">
        <v>120</v>
      </c>
      <c r="O582" s="1">
        <f t="shared" si="49"/>
        <v>0</v>
      </c>
      <c r="P582" s="1">
        <v>0</v>
      </c>
      <c r="Q582" s="1" t="s">
        <v>30</v>
      </c>
      <c r="R582" s="1" t="s">
        <v>20</v>
      </c>
    </row>
    <row r="583" spans="1:18" x14ac:dyDescent="0.35">
      <c r="A583" s="1" t="s">
        <v>614</v>
      </c>
      <c r="B583" s="1" t="str">
        <f t="shared" si="45"/>
        <v>Female</v>
      </c>
      <c r="C583" s="1" t="s">
        <v>28</v>
      </c>
      <c r="D583" s="1" t="str">
        <f t="shared" si="46"/>
        <v>Yes</v>
      </c>
      <c r="E583" s="1" t="s">
        <v>15</v>
      </c>
      <c r="F583" s="1">
        <v>0</v>
      </c>
      <c r="G583" s="1" t="s">
        <v>17</v>
      </c>
      <c r="H583" s="1" t="str">
        <f t="shared" si="47"/>
        <v>No</v>
      </c>
      <c r="I583" s="1" t="s">
        <v>36</v>
      </c>
      <c r="J583" s="1">
        <v>14052</v>
      </c>
      <c r="K583" s="1">
        <v>6872</v>
      </c>
      <c r="L583" s="1">
        <v>174</v>
      </c>
      <c r="M583" s="1">
        <f t="shared" si="48"/>
        <v>120</v>
      </c>
      <c r="N583" s="1">
        <v>120</v>
      </c>
      <c r="O583" s="1">
        <f t="shared" si="49"/>
        <v>0</v>
      </c>
      <c r="P583" s="1">
        <v>0</v>
      </c>
      <c r="Q583" s="1" t="s">
        <v>19</v>
      </c>
      <c r="R583" s="1" t="s">
        <v>20</v>
      </c>
    </row>
    <row r="584" spans="1:18" x14ac:dyDescent="0.35">
      <c r="A584" s="1" t="s">
        <v>615</v>
      </c>
      <c r="B584" s="1" t="str">
        <f t="shared" si="45"/>
        <v>Unknown</v>
      </c>
      <c r="C584" s="1"/>
      <c r="D584" s="1" t="str">
        <f t="shared" si="46"/>
        <v>No</v>
      </c>
      <c r="E584" s="1"/>
      <c r="F584" s="1">
        <v>2</v>
      </c>
      <c r="G584" s="1" t="s">
        <v>25</v>
      </c>
      <c r="H584" s="1" t="str">
        <f t="shared" si="47"/>
        <v>No</v>
      </c>
      <c r="I584" s="1" t="s">
        <v>18</v>
      </c>
      <c r="J584" s="1">
        <v>9675</v>
      </c>
      <c r="K584" s="1">
        <v>5588</v>
      </c>
      <c r="L584" s="1">
        <v>66</v>
      </c>
      <c r="M584" s="1">
        <f t="shared" si="48"/>
        <v>360</v>
      </c>
      <c r="N584" s="1"/>
      <c r="O584" s="1">
        <f t="shared" si="49"/>
        <v>1</v>
      </c>
      <c r="P584" s="1">
        <v>1</v>
      </c>
      <c r="Q584" s="1" t="s">
        <v>30</v>
      </c>
      <c r="R584" s="1" t="s">
        <v>26</v>
      </c>
    </row>
    <row r="585" spans="1:18" x14ac:dyDescent="0.35">
      <c r="A585" s="1" t="s">
        <v>616</v>
      </c>
      <c r="B585" s="1" t="str">
        <f t="shared" si="45"/>
        <v>Unknown</v>
      </c>
      <c r="C585" s="1"/>
      <c r="D585" s="1" t="str">
        <f t="shared" si="46"/>
        <v>Yes</v>
      </c>
      <c r="E585" s="1" t="s">
        <v>29</v>
      </c>
      <c r="F585" s="1">
        <v>2</v>
      </c>
      <c r="G585" s="1" t="s">
        <v>17</v>
      </c>
      <c r="H585" s="1" t="str">
        <f t="shared" si="47"/>
        <v>No</v>
      </c>
      <c r="I585" s="1" t="s">
        <v>18</v>
      </c>
      <c r="J585" s="1">
        <v>5046</v>
      </c>
      <c r="K585" s="1">
        <v>8945</v>
      </c>
      <c r="L585" s="1">
        <v>364</v>
      </c>
      <c r="M585" s="1">
        <f t="shared" si="48"/>
        <v>360</v>
      </c>
      <c r="N585" s="1">
        <v>360</v>
      </c>
      <c r="O585" s="1">
        <f t="shared" si="49"/>
        <v>0</v>
      </c>
      <c r="P585" s="1">
        <v>0</v>
      </c>
      <c r="Q585" s="1" t="s">
        <v>19</v>
      </c>
      <c r="R585" s="1" t="s">
        <v>20</v>
      </c>
    </row>
    <row r="586" spans="1:18" x14ac:dyDescent="0.35">
      <c r="A586" s="1" t="s">
        <v>617</v>
      </c>
      <c r="B586" s="1" t="str">
        <f t="shared" si="45"/>
        <v>Unknown</v>
      </c>
      <c r="C586" s="1"/>
      <c r="D586" s="1" t="str">
        <f t="shared" si="46"/>
        <v>No</v>
      </c>
      <c r="E586" s="1"/>
      <c r="F586" s="1" t="s">
        <v>16</v>
      </c>
      <c r="G586" s="1" t="s">
        <v>25</v>
      </c>
      <c r="H586" s="1" t="str">
        <f t="shared" si="47"/>
        <v>No</v>
      </c>
      <c r="I586" s="1"/>
      <c r="J586" s="1">
        <v>2592</v>
      </c>
      <c r="K586" s="1">
        <v>9265</v>
      </c>
      <c r="L586" s="1">
        <v>460</v>
      </c>
      <c r="M586" s="1">
        <f t="shared" si="48"/>
        <v>360</v>
      </c>
      <c r="N586" s="1">
        <v>360</v>
      </c>
      <c r="O586" s="1">
        <f t="shared" si="49"/>
        <v>1</v>
      </c>
      <c r="P586" s="1">
        <v>1</v>
      </c>
      <c r="Q586" s="1" t="s">
        <v>30</v>
      </c>
      <c r="R586" s="1" t="s">
        <v>26</v>
      </c>
    </row>
    <row r="587" spans="1:18" x14ac:dyDescent="0.35">
      <c r="A587" s="1" t="s">
        <v>618</v>
      </c>
      <c r="B587" s="1" t="str">
        <f t="shared" si="45"/>
        <v>Female</v>
      </c>
      <c r="C587" s="1" t="s">
        <v>43</v>
      </c>
      <c r="D587" s="1" t="str">
        <f t="shared" si="46"/>
        <v>Yes</v>
      </c>
      <c r="E587" s="1" t="s">
        <v>29</v>
      </c>
      <c r="F587" s="1">
        <v>2</v>
      </c>
      <c r="G587" s="1" t="s">
        <v>17</v>
      </c>
      <c r="H587" s="1" t="str">
        <f t="shared" si="47"/>
        <v>Yes</v>
      </c>
      <c r="I587" s="1" t="s">
        <v>15</v>
      </c>
      <c r="J587" s="1">
        <v>4817</v>
      </c>
      <c r="K587" s="1">
        <v>4489</v>
      </c>
      <c r="L587" s="1">
        <v>63</v>
      </c>
      <c r="M587" s="1">
        <f t="shared" si="48"/>
        <v>360</v>
      </c>
      <c r="N587" s="1">
        <v>360</v>
      </c>
      <c r="O587" s="1">
        <f t="shared" si="49"/>
        <v>0</v>
      </c>
      <c r="P587" s="1"/>
      <c r="Q587" s="1" t="s">
        <v>41</v>
      </c>
      <c r="R587" s="1" t="s">
        <v>20</v>
      </c>
    </row>
    <row r="588" spans="1:18" x14ac:dyDescent="0.35">
      <c r="A588" s="1" t="s">
        <v>619</v>
      </c>
      <c r="B588" s="1" t="str">
        <f t="shared" si="45"/>
        <v>Female</v>
      </c>
      <c r="C588" s="1" t="s">
        <v>28</v>
      </c>
      <c r="D588" s="1" t="str">
        <f t="shared" si="46"/>
        <v>Yes</v>
      </c>
      <c r="E588" s="1" t="s">
        <v>29</v>
      </c>
      <c r="F588" s="1">
        <v>0</v>
      </c>
      <c r="G588" s="1" t="s">
        <v>17</v>
      </c>
      <c r="H588" s="1" t="str">
        <f t="shared" si="47"/>
        <v>No</v>
      </c>
      <c r="I588" s="1" t="s">
        <v>18</v>
      </c>
      <c r="J588" s="1">
        <v>2060</v>
      </c>
      <c r="K588" s="1">
        <v>9471</v>
      </c>
      <c r="L588" s="1">
        <v>152</v>
      </c>
      <c r="M588" s="1">
        <f t="shared" si="48"/>
        <v>360</v>
      </c>
      <c r="N588" s="1">
        <v>360</v>
      </c>
      <c r="O588" s="1">
        <f t="shared" si="49"/>
        <v>0</v>
      </c>
      <c r="P588" s="1"/>
      <c r="Q588" s="1" t="s">
        <v>30</v>
      </c>
      <c r="R588" s="1" t="s">
        <v>20</v>
      </c>
    </row>
    <row r="589" spans="1:18" x14ac:dyDescent="0.35">
      <c r="A589" s="1" t="s">
        <v>620</v>
      </c>
      <c r="B589" s="1" t="str">
        <f t="shared" si="45"/>
        <v>Unknown</v>
      </c>
      <c r="C589" s="1"/>
      <c r="D589" s="1" t="str">
        <f t="shared" si="46"/>
        <v>No</v>
      </c>
      <c r="E589" s="1"/>
      <c r="F589" s="1">
        <v>1</v>
      </c>
      <c r="G589" s="1" t="s">
        <v>17</v>
      </c>
      <c r="H589" s="1" t="str">
        <f t="shared" si="47"/>
        <v>Yes</v>
      </c>
      <c r="I589" s="1" t="s">
        <v>15</v>
      </c>
      <c r="J589" s="1">
        <v>3990</v>
      </c>
      <c r="K589" s="1">
        <v>5166</v>
      </c>
      <c r="L589" s="1">
        <v>567</v>
      </c>
      <c r="M589" s="1">
        <f t="shared" si="48"/>
        <v>360</v>
      </c>
      <c r="N589" s="1">
        <v>360</v>
      </c>
      <c r="O589" s="1">
        <f t="shared" si="49"/>
        <v>0</v>
      </c>
      <c r="P589" s="1"/>
      <c r="Q589" s="1" t="s">
        <v>19</v>
      </c>
      <c r="R589" s="1" t="s">
        <v>26</v>
      </c>
    </row>
    <row r="590" spans="1:18" x14ac:dyDescent="0.35">
      <c r="A590" s="1" t="s">
        <v>621</v>
      </c>
      <c r="B590" s="1" t="str">
        <f t="shared" si="45"/>
        <v>Female</v>
      </c>
      <c r="C590" s="1" t="s">
        <v>28</v>
      </c>
      <c r="D590" s="1" t="str">
        <f t="shared" si="46"/>
        <v>Yes</v>
      </c>
      <c r="E590" s="1" t="s">
        <v>29</v>
      </c>
      <c r="F590" s="1">
        <v>0</v>
      </c>
      <c r="G590" s="1" t="s">
        <v>17</v>
      </c>
      <c r="H590" s="1" t="str">
        <f t="shared" si="47"/>
        <v>Yes</v>
      </c>
      <c r="I590" s="1" t="s">
        <v>24</v>
      </c>
      <c r="J590" s="1">
        <v>11311</v>
      </c>
      <c r="K590" s="1">
        <v>4940</v>
      </c>
      <c r="L590" s="1">
        <v>204</v>
      </c>
      <c r="M590" s="1">
        <f t="shared" si="48"/>
        <v>180</v>
      </c>
      <c r="N590" s="1">
        <v>180</v>
      </c>
      <c r="O590" s="1">
        <f t="shared" si="49"/>
        <v>0</v>
      </c>
      <c r="P590" s="1"/>
      <c r="Q590" s="1" t="s">
        <v>41</v>
      </c>
      <c r="R590" s="1" t="s">
        <v>20</v>
      </c>
    </row>
    <row r="591" spans="1:18" x14ac:dyDescent="0.35">
      <c r="A591" s="1" t="s">
        <v>622</v>
      </c>
      <c r="B591" s="1" t="str">
        <f t="shared" si="45"/>
        <v>Female</v>
      </c>
      <c r="C591" s="1" t="s">
        <v>28</v>
      </c>
      <c r="D591" s="1" t="str">
        <f t="shared" si="46"/>
        <v>No</v>
      </c>
      <c r="E591" s="1"/>
      <c r="F591" s="1">
        <v>0</v>
      </c>
      <c r="G591" s="1" t="s">
        <v>25</v>
      </c>
      <c r="H591" s="1" t="str">
        <f t="shared" si="47"/>
        <v>No</v>
      </c>
      <c r="I591" s="1" t="s">
        <v>22</v>
      </c>
      <c r="J591" s="1">
        <v>12727</v>
      </c>
      <c r="K591" s="1">
        <v>2491</v>
      </c>
      <c r="L591" s="1">
        <v>331</v>
      </c>
      <c r="M591" s="1">
        <f t="shared" si="48"/>
        <v>360</v>
      </c>
      <c r="N591" s="1">
        <v>360</v>
      </c>
      <c r="O591" s="1">
        <f t="shared" si="49"/>
        <v>0</v>
      </c>
      <c r="P591" s="1">
        <v>0</v>
      </c>
      <c r="Q591" s="1" t="s">
        <v>19</v>
      </c>
      <c r="R591" s="1" t="s">
        <v>20</v>
      </c>
    </row>
    <row r="592" spans="1:18" x14ac:dyDescent="0.35">
      <c r="A592" s="1" t="s">
        <v>623</v>
      </c>
      <c r="B592" s="1" t="str">
        <f t="shared" si="45"/>
        <v>Unknown</v>
      </c>
      <c r="C592" s="1"/>
      <c r="D592" s="1" t="str">
        <f t="shared" si="46"/>
        <v>No</v>
      </c>
      <c r="E592" s="1"/>
      <c r="F592" s="1">
        <v>0</v>
      </c>
      <c r="G592" s="1" t="s">
        <v>17</v>
      </c>
      <c r="H592" s="1" t="str">
        <f t="shared" si="47"/>
        <v>No</v>
      </c>
      <c r="I592" s="1" t="s">
        <v>36</v>
      </c>
      <c r="J592" s="1">
        <v>13333</v>
      </c>
      <c r="K592" s="1">
        <v>218</v>
      </c>
      <c r="L592" s="1">
        <v>190</v>
      </c>
      <c r="M592" s="1">
        <f t="shared" si="48"/>
        <v>360</v>
      </c>
      <c r="N592" s="1"/>
      <c r="O592" s="1">
        <f t="shared" si="49"/>
        <v>1</v>
      </c>
      <c r="P592" s="1">
        <v>1</v>
      </c>
      <c r="Q592" s="1" t="s">
        <v>30</v>
      </c>
      <c r="R592" s="1" t="s">
        <v>20</v>
      </c>
    </row>
    <row r="593" spans="1:18" x14ac:dyDescent="0.35">
      <c r="A593" s="1" t="s">
        <v>624</v>
      </c>
      <c r="B593" s="1" t="str">
        <f t="shared" si="45"/>
        <v>Male</v>
      </c>
      <c r="C593" s="1" t="s">
        <v>14</v>
      </c>
      <c r="D593" s="1" t="str">
        <f t="shared" si="46"/>
        <v>Yes</v>
      </c>
      <c r="E593" s="1" t="s">
        <v>24</v>
      </c>
      <c r="F593" s="1" t="s">
        <v>16</v>
      </c>
      <c r="G593" s="1" t="s">
        <v>17</v>
      </c>
      <c r="H593" s="1" t="str">
        <f t="shared" si="47"/>
        <v>No</v>
      </c>
      <c r="I593" s="1"/>
      <c r="J593" s="1">
        <v>9301</v>
      </c>
      <c r="K593" s="1">
        <v>9079</v>
      </c>
      <c r="L593" s="1">
        <v>56</v>
      </c>
      <c r="M593" s="1">
        <f t="shared" si="48"/>
        <v>180</v>
      </c>
      <c r="N593" s="1">
        <v>180</v>
      </c>
      <c r="O593" s="1">
        <f t="shared" si="49"/>
        <v>0</v>
      </c>
      <c r="P593" s="1">
        <v>0</v>
      </c>
      <c r="Q593" s="1" t="s">
        <v>41</v>
      </c>
      <c r="R593" s="1" t="s">
        <v>26</v>
      </c>
    </row>
    <row r="594" spans="1:18" x14ac:dyDescent="0.35">
      <c r="A594" s="1" t="s">
        <v>625</v>
      </c>
      <c r="B594" s="1" t="str">
        <f t="shared" si="45"/>
        <v>Male</v>
      </c>
      <c r="C594" s="1" t="s">
        <v>14</v>
      </c>
      <c r="D594" s="1" t="str">
        <f t="shared" si="46"/>
        <v>Yes</v>
      </c>
      <c r="E594" s="1" t="s">
        <v>24</v>
      </c>
      <c r="F594" s="1">
        <v>2</v>
      </c>
      <c r="G594" s="1" t="s">
        <v>25</v>
      </c>
      <c r="H594" s="1" t="str">
        <f t="shared" si="47"/>
        <v>Yes</v>
      </c>
      <c r="I594" s="1" t="s">
        <v>15</v>
      </c>
      <c r="J594" s="1">
        <v>13170</v>
      </c>
      <c r="K594" s="1">
        <v>7550</v>
      </c>
      <c r="L594" s="1">
        <v>104</v>
      </c>
      <c r="M594" s="1">
        <f t="shared" si="48"/>
        <v>180</v>
      </c>
      <c r="N594" s="1">
        <v>180</v>
      </c>
      <c r="O594" s="1">
        <f t="shared" si="49"/>
        <v>0</v>
      </c>
      <c r="P594" s="1">
        <v>0</v>
      </c>
      <c r="Q594" s="1" t="s">
        <v>30</v>
      </c>
      <c r="R594" s="1" t="s">
        <v>20</v>
      </c>
    </row>
    <row r="595" spans="1:18" x14ac:dyDescent="0.35">
      <c r="A595" s="1" t="s">
        <v>626</v>
      </c>
      <c r="B595" s="1" t="str">
        <f t="shared" si="45"/>
        <v>Female</v>
      </c>
      <c r="C595" s="1" t="s">
        <v>28</v>
      </c>
      <c r="D595" s="1" t="str">
        <f t="shared" si="46"/>
        <v>No</v>
      </c>
      <c r="E595" s="1" t="s">
        <v>36</v>
      </c>
      <c r="F595" s="1">
        <v>2</v>
      </c>
      <c r="G595" s="1" t="s">
        <v>25</v>
      </c>
      <c r="H595" s="1" t="str">
        <f t="shared" si="47"/>
        <v>Yes</v>
      </c>
      <c r="I595" s="1" t="s">
        <v>29</v>
      </c>
      <c r="J595" s="1">
        <v>16502</v>
      </c>
      <c r="K595" s="1">
        <v>8067</v>
      </c>
      <c r="L595" s="1">
        <v>606</v>
      </c>
      <c r="M595" s="1">
        <f t="shared" si="48"/>
        <v>360</v>
      </c>
      <c r="N595" s="1"/>
      <c r="O595" s="1">
        <f t="shared" si="49"/>
        <v>1</v>
      </c>
      <c r="P595" s="1">
        <v>1</v>
      </c>
      <c r="Q595" s="1" t="s">
        <v>41</v>
      </c>
      <c r="R595" s="1" t="s">
        <v>20</v>
      </c>
    </row>
    <row r="596" spans="1:18" x14ac:dyDescent="0.35">
      <c r="A596" s="1" t="s">
        <v>627</v>
      </c>
      <c r="B596" s="1" t="str">
        <f t="shared" si="45"/>
        <v>Female</v>
      </c>
      <c r="C596" s="1" t="s">
        <v>43</v>
      </c>
      <c r="D596" s="1" t="str">
        <f t="shared" si="46"/>
        <v>No</v>
      </c>
      <c r="E596" s="1" t="s">
        <v>22</v>
      </c>
      <c r="F596" s="1">
        <v>2</v>
      </c>
      <c r="G596" s="1" t="s">
        <v>25</v>
      </c>
      <c r="H596" s="1" t="str">
        <f t="shared" si="47"/>
        <v>No</v>
      </c>
      <c r="I596" s="1"/>
      <c r="J596" s="1">
        <v>14105</v>
      </c>
      <c r="K596" s="1">
        <v>2022</v>
      </c>
      <c r="L596" s="1">
        <v>211</v>
      </c>
      <c r="M596" s="1">
        <f t="shared" si="48"/>
        <v>360</v>
      </c>
      <c r="N596" s="1"/>
      <c r="O596" s="1">
        <f t="shared" si="49"/>
        <v>0</v>
      </c>
      <c r="P596" s="1">
        <v>0</v>
      </c>
      <c r="Q596" s="1" t="s">
        <v>41</v>
      </c>
      <c r="R596" s="1" t="s">
        <v>20</v>
      </c>
    </row>
    <row r="597" spans="1:18" x14ac:dyDescent="0.35">
      <c r="A597" s="1" t="s">
        <v>628</v>
      </c>
      <c r="B597" s="1" t="str">
        <f t="shared" si="45"/>
        <v>Female</v>
      </c>
      <c r="C597" s="1" t="s">
        <v>28</v>
      </c>
      <c r="D597" s="1" t="str">
        <f t="shared" si="46"/>
        <v>No</v>
      </c>
      <c r="E597" s="1"/>
      <c r="F597" s="1">
        <v>0</v>
      </c>
      <c r="G597" s="1" t="s">
        <v>25</v>
      </c>
      <c r="H597" s="1" t="str">
        <f t="shared" si="47"/>
        <v>No</v>
      </c>
      <c r="I597" s="1" t="s">
        <v>22</v>
      </c>
      <c r="J597" s="1">
        <v>4863</v>
      </c>
      <c r="K597" s="1">
        <v>3715</v>
      </c>
      <c r="L597" s="1">
        <v>500</v>
      </c>
      <c r="M597" s="1">
        <f t="shared" si="48"/>
        <v>360</v>
      </c>
      <c r="N597" s="1">
        <v>360</v>
      </c>
      <c r="O597" s="1">
        <f t="shared" si="49"/>
        <v>1</v>
      </c>
      <c r="P597" s="1">
        <v>1</v>
      </c>
      <c r="Q597" s="1" t="s">
        <v>19</v>
      </c>
      <c r="R597" s="1" t="s">
        <v>26</v>
      </c>
    </row>
    <row r="598" spans="1:18" x14ac:dyDescent="0.35">
      <c r="A598" s="1" t="s">
        <v>629</v>
      </c>
      <c r="B598" s="1" t="str">
        <f t="shared" si="45"/>
        <v>Male</v>
      </c>
      <c r="C598" s="1" t="s">
        <v>52</v>
      </c>
      <c r="D598" s="1" t="str">
        <f t="shared" si="46"/>
        <v>No</v>
      </c>
      <c r="E598" s="1" t="s">
        <v>18</v>
      </c>
      <c r="F598" s="1">
        <v>2</v>
      </c>
      <c r="G598" s="1" t="s">
        <v>25</v>
      </c>
      <c r="H598" s="1" t="str">
        <f t="shared" si="47"/>
        <v>No</v>
      </c>
      <c r="I598" s="1"/>
      <c r="J598" s="1">
        <v>13606</v>
      </c>
      <c r="K598" s="1">
        <v>1422</v>
      </c>
      <c r="L598" s="1">
        <v>229</v>
      </c>
      <c r="M598" s="1">
        <f t="shared" si="48"/>
        <v>180</v>
      </c>
      <c r="N598" s="1">
        <v>180</v>
      </c>
      <c r="O598" s="1">
        <f t="shared" si="49"/>
        <v>0</v>
      </c>
      <c r="P598" s="1"/>
      <c r="Q598" s="1" t="s">
        <v>41</v>
      </c>
      <c r="R598" s="1" t="s">
        <v>26</v>
      </c>
    </row>
    <row r="599" spans="1:18" x14ac:dyDescent="0.35">
      <c r="A599" s="1" t="s">
        <v>630</v>
      </c>
      <c r="B599" s="1" t="str">
        <f t="shared" si="45"/>
        <v>Female</v>
      </c>
      <c r="C599" s="1" t="s">
        <v>43</v>
      </c>
      <c r="D599" s="1" t="str">
        <f t="shared" si="46"/>
        <v>Yes</v>
      </c>
      <c r="E599" s="1" t="s">
        <v>29</v>
      </c>
      <c r="F599" s="1">
        <v>0</v>
      </c>
      <c r="G599" s="1" t="s">
        <v>17</v>
      </c>
      <c r="H599" s="1" t="str">
        <f t="shared" si="47"/>
        <v>No</v>
      </c>
      <c r="I599" s="1"/>
      <c r="J599" s="1">
        <v>2624</v>
      </c>
      <c r="K599" s="1">
        <v>5754</v>
      </c>
      <c r="L599" s="1">
        <v>628</v>
      </c>
      <c r="M599" s="1">
        <f t="shared" si="48"/>
        <v>180</v>
      </c>
      <c r="N599" s="1">
        <v>180</v>
      </c>
      <c r="O599" s="1">
        <f t="shared" si="49"/>
        <v>0</v>
      </c>
      <c r="P599" s="1">
        <v>0</v>
      </c>
      <c r="Q599" s="1" t="s">
        <v>19</v>
      </c>
      <c r="R599" s="1" t="s">
        <v>20</v>
      </c>
    </row>
    <row r="600" spans="1:18" x14ac:dyDescent="0.35">
      <c r="A600" s="1" t="s">
        <v>631</v>
      </c>
      <c r="B600" s="1" t="str">
        <f t="shared" si="45"/>
        <v>Female</v>
      </c>
      <c r="C600" s="1" t="s">
        <v>28</v>
      </c>
      <c r="D600" s="1" t="str">
        <f t="shared" si="46"/>
        <v>Yes</v>
      </c>
      <c r="E600" s="1" t="s">
        <v>29</v>
      </c>
      <c r="F600" s="1">
        <v>0</v>
      </c>
      <c r="G600" s="1" t="s">
        <v>17</v>
      </c>
      <c r="H600" s="1" t="str">
        <f t="shared" si="47"/>
        <v>Yes</v>
      </c>
      <c r="I600" s="1" t="s">
        <v>29</v>
      </c>
      <c r="J600" s="1">
        <v>11640</v>
      </c>
      <c r="K600" s="1">
        <v>9597</v>
      </c>
      <c r="L600" s="1">
        <v>656</v>
      </c>
      <c r="M600" s="1">
        <f t="shared" si="48"/>
        <v>120</v>
      </c>
      <c r="N600" s="1">
        <v>120</v>
      </c>
      <c r="O600" s="1">
        <f t="shared" si="49"/>
        <v>0</v>
      </c>
      <c r="P600" s="1">
        <v>0</v>
      </c>
      <c r="Q600" s="1" t="s">
        <v>30</v>
      </c>
      <c r="R600" s="1" t="s">
        <v>26</v>
      </c>
    </row>
    <row r="601" spans="1:18" x14ac:dyDescent="0.35">
      <c r="A601" s="1" t="s">
        <v>632</v>
      </c>
      <c r="B601" s="1" t="str">
        <f t="shared" si="45"/>
        <v>Unknown</v>
      </c>
      <c r="C601" s="1"/>
      <c r="D601" s="1" t="str">
        <f t="shared" si="46"/>
        <v>Yes</v>
      </c>
      <c r="E601" s="1" t="s">
        <v>24</v>
      </c>
      <c r="F601" s="1">
        <v>1</v>
      </c>
      <c r="G601" s="1" t="s">
        <v>17</v>
      </c>
      <c r="H601" s="1" t="str">
        <f t="shared" si="47"/>
        <v>Yes</v>
      </c>
      <c r="I601" s="1" t="s">
        <v>29</v>
      </c>
      <c r="J601" s="1">
        <v>17343</v>
      </c>
      <c r="K601" s="1">
        <v>3788</v>
      </c>
      <c r="L601" s="1">
        <v>674</v>
      </c>
      <c r="M601" s="1">
        <f t="shared" si="48"/>
        <v>360</v>
      </c>
      <c r="N601" s="1"/>
      <c r="O601" s="1">
        <f t="shared" si="49"/>
        <v>1</v>
      </c>
      <c r="P601" s="1">
        <v>1</v>
      </c>
      <c r="Q601" s="1" t="s">
        <v>30</v>
      </c>
      <c r="R601" s="1" t="s">
        <v>26</v>
      </c>
    </row>
    <row r="602" spans="1:18" x14ac:dyDescent="0.35">
      <c r="A602" s="1" t="s">
        <v>633</v>
      </c>
      <c r="B602" s="1" t="str">
        <f t="shared" si="45"/>
        <v>Unknown</v>
      </c>
      <c r="C602" s="1"/>
      <c r="D602" s="1" t="str">
        <f t="shared" si="46"/>
        <v>No</v>
      </c>
      <c r="E602" s="1" t="s">
        <v>22</v>
      </c>
      <c r="F602" s="1">
        <v>1</v>
      </c>
      <c r="G602" s="1" t="s">
        <v>25</v>
      </c>
      <c r="H602" s="1" t="str">
        <f t="shared" si="47"/>
        <v>No</v>
      </c>
      <c r="I602" s="1" t="s">
        <v>36</v>
      </c>
      <c r="J602" s="1">
        <v>2985</v>
      </c>
      <c r="K602" s="1">
        <v>2448</v>
      </c>
      <c r="L602" s="1">
        <v>142</v>
      </c>
      <c r="M602" s="1">
        <f t="shared" si="48"/>
        <v>180</v>
      </c>
      <c r="N602" s="1">
        <v>180</v>
      </c>
      <c r="O602" s="1">
        <f t="shared" si="49"/>
        <v>0</v>
      </c>
      <c r="P602" s="1">
        <v>0</v>
      </c>
      <c r="Q602" s="1" t="s">
        <v>41</v>
      </c>
      <c r="R602" s="1" t="s">
        <v>26</v>
      </c>
    </row>
    <row r="603" spans="1:18" x14ac:dyDescent="0.35">
      <c r="A603" s="1" t="s">
        <v>634</v>
      </c>
      <c r="B603" s="1" t="str">
        <f t="shared" si="45"/>
        <v>Male</v>
      </c>
      <c r="C603" s="1" t="s">
        <v>14</v>
      </c>
      <c r="D603" s="1" t="str">
        <f t="shared" si="46"/>
        <v>Yes</v>
      </c>
      <c r="E603" s="1" t="s">
        <v>24</v>
      </c>
      <c r="F603" s="1" t="s">
        <v>16</v>
      </c>
      <c r="G603" s="1" t="s">
        <v>25</v>
      </c>
      <c r="H603" s="1" t="str">
        <f t="shared" si="47"/>
        <v>Yes</v>
      </c>
      <c r="I603" s="1" t="s">
        <v>15</v>
      </c>
      <c r="J603" s="1">
        <v>16805</v>
      </c>
      <c r="K603" s="1">
        <v>9430</v>
      </c>
      <c r="L603" s="1">
        <v>201</v>
      </c>
      <c r="M603" s="1">
        <f t="shared" si="48"/>
        <v>180</v>
      </c>
      <c r="N603" s="1">
        <v>180</v>
      </c>
      <c r="O603" s="1">
        <f t="shared" si="49"/>
        <v>1</v>
      </c>
      <c r="P603" s="1">
        <v>1</v>
      </c>
      <c r="Q603" s="1" t="s">
        <v>30</v>
      </c>
      <c r="R603" s="1" t="s">
        <v>26</v>
      </c>
    </row>
    <row r="604" spans="1:18" x14ac:dyDescent="0.35">
      <c r="A604" s="1" t="s">
        <v>635</v>
      </c>
      <c r="B604" s="1" t="str">
        <f t="shared" si="45"/>
        <v>Female</v>
      </c>
      <c r="C604" s="1" t="s">
        <v>28</v>
      </c>
      <c r="D604" s="1" t="str">
        <f t="shared" si="46"/>
        <v>No</v>
      </c>
      <c r="E604" s="1" t="s">
        <v>36</v>
      </c>
      <c r="F604" s="1">
        <v>0</v>
      </c>
      <c r="G604" s="1" t="s">
        <v>25</v>
      </c>
      <c r="H604" s="1" t="str">
        <f t="shared" si="47"/>
        <v>No</v>
      </c>
      <c r="I604" s="1" t="s">
        <v>22</v>
      </c>
      <c r="J604" s="1">
        <v>16995</v>
      </c>
      <c r="K604" s="1">
        <v>3772</v>
      </c>
      <c r="L604" s="1">
        <v>199</v>
      </c>
      <c r="M604" s="1">
        <f t="shared" si="48"/>
        <v>120</v>
      </c>
      <c r="N604" s="1">
        <v>120</v>
      </c>
      <c r="O604" s="1">
        <f t="shared" si="49"/>
        <v>1</v>
      </c>
      <c r="P604" s="1">
        <v>1</v>
      </c>
      <c r="Q604" s="1" t="s">
        <v>19</v>
      </c>
      <c r="R604" s="1" t="s">
        <v>26</v>
      </c>
    </row>
    <row r="605" spans="1:18" x14ac:dyDescent="0.35">
      <c r="A605" s="1" t="s">
        <v>636</v>
      </c>
      <c r="B605" s="1" t="str">
        <f t="shared" si="45"/>
        <v>Female</v>
      </c>
      <c r="C605" s="1" t="s">
        <v>43</v>
      </c>
      <c r="D605" s="1" t="str">
        <f t="shared" si="46"/>
        <v>No</v>
      </c>
      <c r="E605" s="1"/>
      <c r="F605" s="1">
        <v>1</v>
      </c>
      <c r="G605" s="1" t="s">
        <v>25</v>
      </c>
      <c r="H605" s="1" t="str">
        <f t="shared" si="47"/>
        <v>No</v>
      </c>
      <c r="I605" s="1"/>
      <c r="J605" s="1">
        <v>17613</v>
      </c>
      <c r="K605" s="1">
        <v>9553</v>
      </c>
      <c r="L605" s="1">
        <v>520</v>
      </c>
      <c r="M605" s="1">
        <f t="shared" si="48"/>
        <v>180</v>
      </c>
      <c r="N605" s="1">
        <v>180</v>
      </c>
      <c r="O605" s="1">
        <f t="shared" si="49"/>
        <v>0</v>
      </c>
      <c r="P605" s="1"/>
      <c r="Q605" s="1" t="s">
        <v>19</v>
      </c>
      <c r="R605" s="1" t="s">
        <v>26</v>
      </c>
    </row>
    <row r="606" spans="1:18" x14ac:dyDescent="0.35">
      <c r="A606" s="1" t="s">
        <v>637</v>
      </c>
      <c r="B606" s="1" t="str">
        <f t="shared" si="45"/>
        <v>Female</v>
      </c>
      <c r="C606" s="1" t="s">
        <v>28</v>
      </c>
      <c r="D606" s="1" t="str">
        <f t="shared" si="46"/>
        <v>No</v>
      </c>
      <c r="E606" s="1" t="s">
        <v>36</v>
      </c>
      <c r="F606" s="1">
        <v>1</v>
      </c>
      <c r="G606" s="1" t="s">
        <v>17</v>
      </c>
      <c r="H606" s="1" t="str">
        <f t="shared" si="47"/>
        <v>No</v>
      </c>
      <c r="I606" s="1" t="s">
        <v>36</v>
      </c>
      <c r="J606" s="1">
        <v>14089</v>
      </c>
      <c r="K606" s="1">
        <v>3027</v>
      </c>
      <c r="L606" s="1">
        <v>329</v>
      </c>
      <c r="M606" s="1">
        <f t="shared" si="48"/>
        <v>180</v>
      </c>
      <c r="N606" s="1">
        <v>180</v>
      </c>
      <c r="O606" s="1">
        <f t="shared" si="49"/>
        <v>0</v>
      </c>
      <c r="P606" s="1"/>
      <c r="Q606" s="1" t="s">
        <v>41</v>
      </c>
      <c r="R606" s="1" t="s">
        <v>26</v>
      </c>
    </row>
    <row r="607" spans="1:18" x14ac:dyDescent="0.35">
      <c r="A607" s="1" t="s">
        <v>638</v>
      </c>
      <c r="B607" s="1" t="str">
        <f t="shared" si="45"/>
        <v>Male</v>
      </c>
      <c r="C607" s="1" t="s">
        <v>33</v>
      </c>
      <c r="D607" s="1" t="str">
        <f t="shared" si="46"/>
        <v>Yes</v>
      </c>
      <c r="E607" s="1" t="s">
        <v>24</v>
      </c>
      <c r="F607" s="1">
        <v>2</v>
      </c>
      <c r="G607" s="1" t="s">
        <v>25</v>
      </c>
      <c r="H607" s="1" t="str">
        <f t="shared" si="47"/>
        <v>No</v>
      </c>
      <c r="I607" s="1" t="s">
        <v>22</v>
      </c>
      <c r="J607" s="1">
        <v>3384</v>
      </c>
      <c r="K607" s="1">
        <v>1196</v>
      </c>
      <c r="L607" s="1">
        <v>571</v>
      </c>
      <c r="M607" s="1">
        <f t="shared" si="48"/>
        <v>120</v>
      </c>
      <c r="N607" s="1">
        <v>120</v>
      </c>
      <c r="O607" s="1">
        <f t="shared" si="49"/>
        <v>0</v>
      </c>
      <c r="P607" s="1"/>
      <c r="Q607" s="1" t="s">
        <v>41</v>
      </c>
      <c r="R607" s="1" t="s">
        <v>20</v>
      </c>
    </row>
    <row r="608" spans="1:18" x14ac:dyDescent="0.35">
      <c r="A608" s="1" t="s">
        <v>639</v>
      </c>
      <c r="B608" s="1" t="str">
        <f t="shared" si="45"/>
        <v>Male</v>
      </c>
      <c r="C608" s="1" t="s">
        <v>33</v>
      </c>
      <c r="D608" s="1" t="str">
        <f t="shared" si="46"/>
        <v>Yes</v>
      </c>
      <c r="E608" s="1" t="s">
        <v>29</v>
      </c>
      <c r="F608" s="1">
        <v>0</v>
      </c>
      <c r="G608" s="1" t="s">
        <v>25</v>
      </c>
      <c r="H608" s="1" t="str">
        <f t="shared" si="47"/>
        <v>Yes</v>
      </c>
      <c r="I608" s="1" t="s">
        <v>15</v>
      </c>
      <c r="J608" s="1">
        <v>11903</v>
      </c>
      <c r="K608" s="1">
        <v>5407</v>
      </c>
      <c r="L608" s="1">
        <v>588</v>
      </c>
      <c r="M608" s="1">
        <f t="shared" si="48"/>
        <v>180</v>
      </c>
      <c r="N608" s="1">
        <v>180</v>
      </c>
      <c r="O608" s="1">
        <f t="shared" si="49"/>
        <v>1</v>
      </c>
      <c r="P608" s="1">
        <v>1</v>
      </c>
      <c r="Q608" s="1" t="s">
        <v>19</v>
      </c>
      <c r="R608" s="1" t="s">
        <v>20</v>
      </c>
    </row>
    <row r="609" spans="1:18" x14ac:dyDescent="0.35">
      <c r="A609" s="1" t="s">
        <v>640</v>
      </c>
      <c r="B609" s="1" t="str">
        <f t="shared" si="45"/>
        <v>Female</v>
      </c>
      <c r="C609" s="1" t="s">
        <v>28</v>
      </c>
      <c r="D609" s="1" t="str">
        <f t="shared" si="46"/>
        <v>No</v>
      </c>
      <c r="E609" s="1" t="s">
        <v>22</v>
      </c>
      <c r="F609" s="1">
        <v>1</v>
      </c>
      <c r="G609" s="1" t="s">
        <v>25</v>
      </c>
      <c r="H609" s="1" t="str">
        <f t="shared" si="47"/>
        <v>No</v>
      </c>
      <c r="I609" s="1" t="s">
        <v>18</v>
      </c>
      <c r="J609" s="1">
        <v>6131</v>
      </c>
      <c r="K609" s="1">
        <v>5944</v>
      </c>
      <c r="L609" s="1">
        <v>370</v>
      </c>
      <c r="M609" s="1">
        <f t="shared" si="48"/>
        <v>360</v>
      </c>
      <c r="N609" s="1"/>
      <c r="O609" s="1">
        <f t="shared" si="49"/>
        <v>0</v>
      </c>
      <c r="P609" s="1">
        <v>0</v>
      </c>
      <c r="Q609" s="1" t="s">
        <v>30</v>
      </c>
      <c r="R609" s="1" t="s">
        <v>26</v>
      </c>
    </row>
    <row r="610" spans="1:18" x14ac:dyDescent="0.35">
      <c r="A610" s="1" t="s">
        <v>641</v>
      </c>
      <c r="B610" s="1" t="str">
        <f t="shared" si="45"/>
        <v>Female</v>
      </c>
      <c r="C610" s="1" t="s">
        <v>61</v>
      </c>
      <c r="D610" s="1" t="str">
        <f t="shared" si="46"/>
        <v>No</v>
      </c>
      <c r="E610" s="1"/>
      <c r="F610" s="1">
        <v>1</v>
      </c>
      <c r="G610" s="1" t="s">
        <v>25</v>
      </c>
      <c r="H610" s="1" t="str">
        <f t="shared" si="47"/>
        <v>No</v>
      </c>
      <c r="I610" s="1"/>
      <c r="J610" s="1">
        <v>8769</v>
      </c>
      <c r="K610" s="1">
        <v>8899</v>
      </c>
      <c r="L610" s="1">
        <v>164</v>
      </c>
      <c r="M610" s="1">
        <f t="shared" si="48"/>
        <v>360</v>
      </c>
      <c r="N610" s="1"/>
      <c r="O610" s="1">
        <f t="shared" si="49"/>
        <v>0</v>
      </c>
      <c r="P610" s="1">
        <v>0</v>
      </c>
      <c r="Q610" s="1" t="s">
        <v>41</v>
      </c>
      <c r="R610" s="1" t="s">
        <v>20</v>
      </c>
    </row>
    <row r="611" spans="1:18" x14ac:dyDescent="0.35">
      <c r="A611" s="1" t="s">
        <v>642</v>
      </c>
      <c r="B611" s="1" t="str">
        <f t="shared" si="45"/>
        <v>Male</v>
      </c>
      <c r="C611" s="1" t="s">
        <v>14</v>
      </c>
      <c r="D611" s="1" t="str">
        <f t="shared" si="46"/>
        <v>Yes</v>
      </c>
      <c r="E611" s="1" t="s">
        <v>24</v>
      </c>
      <c r="F611" s="1">
        <v>2</v>
      </c>
      <c r="G611" s="1" t="s">
        <v>25</v>
      </c>
      <c r="H611" s="1" t="str">
        <f t="shared" si="47"/>
        <v>No</v>
      </c>
      <c r="I611" s="1" t="s">
        <v>36</v>
      </c>
      <c r="J611" s="1">
        <v>11458</v>
      </c>
      <c r="K611" s="1">
        <v>509</v>
      </c>
      <c r="L611" s="1">
        <v>610</v>
      </c>
      <c r="M611" s="1">
        <f t="shared" si="48"/>
        <v>360</v>
      </c>
      <c r="N611" s="1">
        <v>360</v>
      </c>
      <c r="O611" s="1">
        <f t="shared" si="49"/>
        <v>0</v>
      </c>
      <c r="P611" s="1"/>
      <c r="Q611" s="1" t="s">
        <v>41</v>
      </c>
      <c r="R611" s="1" t="s">
        <v>26</v>
      </c>
    </row>
    <row r="612" spans="1:18" x14ac:dyDescent="0.35">
      <c r="A612" s="1" t="s">
        <v>643</v>
      </c>
      <c r="B612" s="1" t="str">
        <f t="shared" si="45"/>
        <v>Male</v>
      </c>
      <c r="C612" s="1" t="s">
        <v>33</v>
      </c>
      <c r="D612" s="1" t="str">
        <f t="shared" si="46"/>
        <v>Yes</v>
      </c>
      <c r="E612" s="1" t="s">
        <v>29</v>
      </c>
      <c r="F612" s="1">
        <v>2</v>
      </c>
      <c r="G612" s="1" t="s">
        <v>17</v>
      </c>
      <c r="H612" s="1" t="str">
        <f t="shared" si="47"/>
        <v>No</v>
      </c>
      <c r="I612" s="1" t="s">
        <v>36</v>
      </c>
      <c r="J612" s="1">
        <v>5438</v>
      </c>
      <c r="K612" s="1">
        <v>5539</v>
      </c>
      <c r="L612" s="1">
        <v>120</v>
      </c>
      <c r="M612" s="1">
        <f t="shared" si="48"/>
        <v>180</v>
      </c>
      <c r="N612" s="1">
        <v>180</v>
      </c>
      <c r="O612" s="1">
        <f t="shared" si="49"/>
        <v>1</v>
      </c>
      <c r="P612" s="1">
        <v>1</v>
      </c>
      <c r="Q612" s="1" t="s">
        <v>19</v>
      </c>
      <c r="R612" s="1" t="s">
        <v>26</v>
      </c>
    </row>
    <row r="613" spans="1:18" x14ac:dyDescent="0.35">
      <c r="A613" s="1" t="s">
        <v>644</v>
      </c>
      <c r="B613" s="1" t="str">
        <f t="shared" si="45"/>
        <v>Female</v>
      </c>
      <c r="C613" s="1" t="s">
        <v>43</v>
      </c>
      <c r="D613" s="1" t="str">
        <f t="shared" si="46"/>
        <v>No</v>
      </c>
      <c r="E613" s="1" t="s">
        <v>36</v>
      </c>
      <c r="F613" s="1">
        <v>0</v>
      </c>
      <c r="G613" s="1" t="s">
        <v>17</v>
      </c>
      <c r="H613" s="1" t="str">
        <f t="shared" si="47"/>
        <v>Yes</v>
      </c>
      <c r="I613" s="1" t="s">
        <v>24</v>
      </c>
      <c r="J613" s="1">
        <v>13243</v>
      </c>
      <c r="K613" s="1">
        <v>1934</v>
      </c>
      <c r="L613" s="1">
        <v>666</v>
      </c>
      <c r="M613" s="1">
        <f t="shared" si="48"/>
        <v>120</v>
      </c>
      <c r="N613" s="1">
        <v>120</v>
      </c>
      <c r="O613" s="1">
        <f t="shared" si="49"/>
        <v>0</v>
      </c>
      <c r="P613" s="1"/>
      <c r="Q613" s="1" t="s">
        <v>19</v>
      </c>
      <c r="R613" s="1" t="s">
        <v>26</v>
      </c>
    </row>
    <row r="614" spans="1:18" x14ac:dyDescent="0.35">
      <c r="A614" s="1" t="s">
        <v>645</v>
      </c>
      <c r="B614" s="1" t="str">
        <f t="shared" si="45"/>
        <v>Male</v>
      </c>
      <c r="C614" s="1" t="s">
        <v>14</v>
      </c>
      <c r="D614" s="1" t="str">
        <f t="shared" si="46"/>
        <v>Yes</v>
      </c>
      <c r="E614" s="1" t="s">
        <v>15</v>
      </c>
      <c r="F614" s="1">
        <v>2</v>
      </c>
      <c r="G614" s="1" t="s">
        <v>25</v>
      </c>
      <c r="H614" s="1" t="str">
        <f t="shared" si="47"/>
        <v>No</v>
      </c>
      <c r="I614" s="1"/>
      <c r="J614" s="1">
        <v>19224</v>
      </c>
      <c r="K614" s="1">
        <v>7369</v>
      </c>
      <c r="L614" s="1">
        <v>207</v>
      </c>
      <c r="M614" s="1">
        <f t="shared" si="48"/>
        <v>180</v>
      </c>
      <c r="N614" s="1">
        <v>180</v>
      </c>
      <c r="O614" s="1">
        <f t="shared" si="49"/>
        <v>0</v>
      </c>
      <c r="P614" s="1">
        <v>0</v>
      </c>
      <c r="Q614" s="1" t="s">
        <v>30</v>
      </c>
      <c r="R614" s="1" t="s">
        <v>20</v>
      </c>
    </row>
    <row r="615" spans="1:18" x14ac:dyDescent="0.35">
      <c r="A615" s="1" t="s">
        <v>646</v>
      </c>
      <c r="B615" s="1" t="str">
        <f t="shared" si="45"/>
        <v>Female</v>
      </c>
      <c r="C615" s="1" t="s">
        <v>43</v>
      </c>
      <c r="D615" s="1" t="str">
        <f t="shared" si="46"/>
        <v>Yes</v>
      </c>
      <c r="E615" s="1" t="s">
        <v>15</v>
      </c>
      <c r="F615" s="1">
        <v>1</v>
      </c>
      <c r="G615" s="1" t="s">
        <v>17</v>
      </c>
      <c r="H615" s="1" t="str">
        <f t="shared" si="47"/>
        <v>No</v>
      </c>
      <c r="I615" s="1" t="s">
        <v>36</v>
      </c>
      <c r="J615" s="1">
        <v>19714</v>
      </c>
      <c r="K615" s="1">
        <v>2917</v>
      </c>
      <c r="L615" s="1">
        <v>291</v>
      </c>
      <c r="M615" s="1">
        <f t="shared" si="48"/>
        <v>360</v>
      </c>
      <c r="N615" s="1">
        <v>360</v>
      </c>
      <c r="O615" s="1">
        <f t="shared" si="49"/>
        <v>1</v>
      </c>
      <c r="P615" s="1">
        <v>1</v>
      </c>
      <c r="Q615" s="1" t="s">
        <v>41</v>
      </c>
      <c r="R615" s="1" t="s">
        <v>26</v>
      </c>
    </row>
    <row r="616" spans="1:18" x14ac:dyDescent="0.35">
      <c r="A616" s="1" t="s">
        <v>647</v>
      </c>
      <c r="B616" s="1" t="str">
        <f t="shared" si="45"/>
        <v>Female</v>
      </c>
      <c r="C616" s="1" t="s">
        <v>28</v>
      </c>
      <c r="D616" s="1" t="str">
        <f t="shared" si="46"/>
        <v>No</v>
      </c>
      <c r="E616" s="1" t="s">
        <v>36</v>
      </c>
      <c r="F616" s="1">
        <v>1</v>
      </c>
      <c r="G616" s="1" t="s">
        <v>17</v>
      </c>
      <c r="H616" s="1" t="str">
        <f t="shared" si="47"/>
        <v>Yes</v>
      </c>
      <c r="I616" s="1" t="s">
        <v>15</v>
      </c>
      <c r="J616" s="1">
        <v>14347</v>
      </c>
      <c r="K616" s="1">
        <v>942</v>
      </c>
      <c r="L616" s="1">
        <v>207</v>
      </c>
      <c r="M616" s="1">
        <f t="shared" si="48"/>
        <v>360</v>
      </c>
      <c r="N616" s="1">
        <v>360</v>
      </c>
      <c r="O616" s="1">
        <f t="shared" si="49"/>
        <v>1</v>
      </c>
      <c r="P616" s="1">
        <v>1</v>
      </c>
      <c r="Q616" s="1" t="s">
        <v>19</v>
      </c>
      <c r="R616" s="1" t="s">
        <v>20</v>
      </c>
    </row>
    <row r="617" spans="1:18" x14ac:dyDescent="0.35">
      <c r="A617" s="1" t="s">
        <v>648</v>
      </c>
      <c r="B617" s="1" t="str">
        <f t="shared" si="45"/>
        <v>Male</v>
      </c>
      <c r="C617" s="1" t="s">
        <v>52</v>
      </c>
      <c r="D617" s="1" t="str">
        <f t="shared" si="46"/>
        <v>No</v>
      </c>
      <c r="E617" s="1" t="s">
        <v>18</v>
      </c>
      <c r="F617" s="1">
        <v>2</v>
      </c>
      <c r="G617" s="1" t="s">
        <v>17</v>
      </c>
      <c r="H617" s="1" t="str">
        <f t="shared" si="47"/>
        <v>No</v>
      </c>
      <c r="I617" s="1"/>
      <c r="J617" s="1">
        <v>19179</v>
      </c>
      <c r="K617" s="1">
        <v>187</v>
      </c>
      <c r="L617" s="1">
        <v>79</v>
      </c>
      <c r="M617" s="1">
        <f t="shared" si="48"/>
        <v>360</v>
      </c>
      <c r="N617" s="1"/>
      <c r="O617" s="1">
        <f t="shared" si="49"/>
        <v>0</v>
      </c>
      <c r="P617" s="1">
        <v>0</v>
      </c>
      <c r="Q617" s="1" t="s">
        <v>41</v>
      </c>
      <c r="R617" s="1" t="s">
        <v>26</v>
      </c>
    </row>
    <row r="618" spans="1:18" x14ac:dyDescent="0.35">
      <c r="A618" s="1" t="s">
        <v>649</v>
      </c>
      <c r="B618" s="1" t="str">
        <f t="shared" si="45"/>
        <v>Female</v>
      </c>
      <c r="C618" s="1" t="s">
        <v>28</v>
      </c>
      <c r="D618" s="1" t="str">
        <f t="shared" si="46"/>
        <v>No</v>
      </c>
      <c r="E618" s="1"/>
      <c r="F618" s="1" t="s">
        <v>16</v>
      </c>
      <c r="G618" s="1" t="s">
        <v>17</v>
      </c>
      <c r="H618" s="1" t="str">
        <f t="shared" si="47"/>
        <v>Yes</v>
      </c>
      <c r="I618" s="1" t="s">
        <v>29</v>
      </c>
      <c r="J618" s="1">
        <v>6199</v>
      </c>
      <c r="K618" s="1">
        <v>7288</v>
      </c>
      <c r="L618" s="1">
        <v>314</v>
      </c>
      <c r="M618" s="1">
        <f t="shared" si="48"/>
        <v>120</v>
      </c>
      <c r="N618" s="1">
        <v>120</v>
      </c>
      <c r="O618" s="1">
        <f t="shared" si="49"/>
        <v>0</v>
      </c>
      <c r="P618" s="1"/>
      <c r="Q618" s="1" t="s">
        <v>30</v>
      </c>
      <c r="R618" s="1" t="s">
        <v>26</v>
      </c>
    </row>
    <row r="619" spans="1:18" x14ac:dyDescent="0.35">
      <c r="A619" s="1" t="s">
        <v>650</v>
      </c>
      <c r="B619" s="1" t="str">
        <f t="shared" si="45"/>
        <v>Unknown</v>
      </c>
      <c r="C619" s="1"/>
      <c r="D619" s="1" t="str">
        <f t="shared" si="46"/>
        <v>Yes</v>
      </c>
      <c r="E619" s="1" t="s">
        <v>29</v>
      </c>
      <c r="F619" s="1">
        <v>1</v>
      </c>
      <c r="G619" s="1" t="s">
        <v>25</v>
      </c>
      <c r="H619" s="1" t="str">
        <f t="shared" si="47"/>
        <v>No</v>
      </c>
      <c r="I619" s="1" t="s">
        <v>22</v>
      </c>
      <c r="J619" s="1">
        <v>5598</v>
      </c>
      <c r="K619" s="1">
        <v>9730</v>
      </c>
      <c r="L619" s="1">
        <v>50</v>
      </c>
      <c r="M619" s="1">
        <f t="shared" si="48"/>
        <v>180</v>
      </c>
      <c r="N619" s="1">
        <v>180</v>
      </c>
      <c r="O619" s="1">
        <f t="shared" si="49"/>
        <v>0</v>
      </c>
      <c r="P619" s="1"/>
      <c r="Q619" s="1" t="s">
        <v>30</v>
      </c>
      <c r="R619" s="1" t="s">
        <v>20</v>
      </c>
    </row>
    <row r="620" spans="1:18" x14ac:dyDescent="0.35">
      <c r="A620" s="1" t="s">
        <v>651</v>
      </c>
      <c r="B620" s="1" t="str">
        <f t="shared" si="45"/>
        <v>Female</v>
      </c>
      <c r="C620" s="1" t="s">
        <v>28</v>
      </c>
      <c r="D620" s="1" t="str">
        <f t="shared" si="46"/>
        <v>No</v>
      </c>
      <c r="E620" s="1" t="s">
        <v>36</v>
      </c>
      <c r="F620" s="1">
        <v>2</v>
      </c>
      <c r="G620" s="1" t="s">
        <v>17</v>
      </c>
      <c r="H620" s="1" t="str">
        <f t="shared" si="47"/>
        <v>No</v>
      </c>
      <c r="I620" s="1"/>
      <c r="J620" s="1">
        <v>13300</v>
      </c>
      <c r="K620" s="1">
        <v>315</v>
      </c>
      <c r="L620" s="1">
        <v>686</v>
      </c>
      <c r="M620" s="1">
        <f t="shared" si="48"/>
        <v>360</v>
      </c>
      <c r="N620" s="1">
        <v>360</v>
      </c>
      <c r="O620" s="1">
        <f t="shared" si="49"/>
        <v>0</v>
      </c>
      <c r="P620" s="1">
        <v>0</v>
      </c>
      <c r="Q620" s="1" t="s">
        <v>41</v>
      </c>
      <c r="R620" s="1" t="s">
        <v>26</v>
      </c>
    </row>
    <row r="621" spans="1:18" x14ac:dyDescent="0.35">
      <c r="A621" s="1" t="s">
        <v>652</v>
      </c>
      <c r="B621" s="1" t="str">
        <f t="shared" si="45"/>
        <v>Female</v>
      </c>
      <c r="C621" s="1" t="s">
        <v>61</v>
      </c>
      <c r="D621" s="1" t="str">
        <f t="shared" si="46"/>
        <v>No</v>
      </c>
      <c r="E621" s="1" t="s">
        <v>22</v>
      </c>
      <c r="F621" s="1">
        <v>2</v>
      </c>
      <c r="G621" s="1" t="s">
        <v>17</v>
      </c>
      <c r="H621" s="1" t="str">
        <f t="shared" si="47"/>
        <v>No</v>
      </c>
      <c r="I621" s="1" t="s">
        <v>22</v>
      </c>
      <c r="J621" s="1">
        <v>5636</v>
      </c>
      <c r="K621" s="1">
        <v>8714</v>
      </c>
      <c r="L621" s="1">
        <v>82</v>
      </c>
      <c r="M621" s="1">
        <f t="shared" si="48"/>
        <v>360</v>
      </c>
      <c r="N621" s="1">
        <v>360</v>
      </c>
      <c r="O621" s="1">
        <f t="shared" si="49"/>
        <v>0</v>
      </c>
      <c r="P621" s="1">
        <v>0</v>
      </c>
      <c r="Q621" s="1" t="s">
        <v>30</v>
      </c>
      <c r="R621" s="1" t="s">
        <v>20</v>
      </c>
    </row>
    <row r="622" spans="1:18" x14ac:dyDescent="0.35">
      <c r="A622" s="1" t="s">
        <v>653</v>
      </c>
      <c r="B622" s="1" t="str">
        <f t="shared" si="45"/>
        <v>Female</v>
      </c>
      <c r="C622" s="1" t="s">
        <v>28</v>
      </c>
      <c r="D622" s="1" t="str">
        <f t="shared" si="46"/>
        <v>Yes</v>
      </c>
      <c r="E622" s="1" t="s">
        <v>24</v>
      </c>
      <c r="F622" s="1" t="s">
        <v>16</v>
      </c>
      <c r="G622" s="1" t="s">
        <v>17</v>
      </c>
      <c r="H622" s="1" t="str">
        <f t="shared" si="47"/>
        <v>Yes</v>
      </c>
      <c r="I622" s="1" t="s">
        <v>24</v>
      </c>
      <c r="J622" s="1">
        <v>6867</v>
      </c>
      <c r="K622" s="1">
        <v>7685</v>
      </c>
      <c r="L622" s="1">
        <v>574</v>
      </c>
      <c r="M622" s="1">
        <f t="shared" si="48"/>
        <v>180</v>
      </c>
      <c r="N622" s="1">
        <v>180</v>
      </c>
      <c r="O622" s="1">
        <f t="shared" si="49"/>
        <v>0</v>
      </c>
      <c r="P622" s="1"/>
      <c r="Q622" s="1" t="s">
        <v>30</v>
      </c>
      <c r="R622" s="1" t="s">
        <v>20</v>
      </c>
    </row>
    <row r="623" spans="1:18" x14ac:dyDescent="0.35">
      <c r="A623" s="1" t="s">
        <v>654</v>
      </c>
      <c r="B623" s="1" t="str">
        <f t="shared" si="45"/>
        <v>Male</v>
      </c>
      <c r="C623" s="1" t="s">
        <v>52</v>
      </c>
      <c r="D623" s="1" t="str">
        <f t="shared" si="46"/>
        <v>No</v>
      </c>
      <c r="E623" s="1"/>
      <c r="F623" s="1" t="s">
        <v>16</v>
      </c>
      <c r="G623" s="1" t="s">
        <v>25</v>
      </c>
      <c r="H623" s="1" t="str">
        <f t="shared" si="47"/>
        <v>No</v>
      </c>
      <c r="I623" s="1"/>
      <c r="J623" s="1">
        <v>11701</v>
      </c>
      <c r="K623" s="1">
        <v>8929</v>
      </c>
      <c r="L623" s="1">
        <v>650</v>
      </c>
      <c r="M623" s="1">
        <f t="shared" si="48"/>
        <v>360</v>
      </c>
      <c r="N623" s="1">
        <v>360</v>
      </c>
      <c r="O623" s="1">
        <f t="shared" si="49"/>
        <v>1</v>
      </c>
      <c r="P623" s="1">
        <v>1</v>
      </c>
      <c r="Q623" s="1" t="s">
        <v>19</v>
      </c>
      <c r="R623" s="1" t="s">
        <v>26</v>
      </c>
    </row>
    <row r="624" spans="1:18" x14ac:dyDescent="0.35">
      <c r="A624" s="1" t="s">
        <v>655</v>
      </c>
      <c r="B624" s="1" t="str">
        <f t="shared" si="45"/>
        <v>Unknown</v>
      </c>
      <c r="C624" s="1"/>
      <c r="D624" s="1" t="str">
        <f t="shared" si="46"/>
        <v>Yes</v>
      </c>
      <c r="E624" s="1" t="s">
        <v>29</v>
      </c>
      <c r="F624" s="1">
        <v>2</v>
      </c>
      <c r="G624" s="1" t="s">
        <v>25</v>
      </c>
      <c r="H624" s="1" t="str">
        <f t="shared" si="47"/>
        <v>No</v>
      </c>
      <c r="I624" s="1"/>
      <c r="J624" s="1">
        <v>3792</v>
      </c>
      <c r="K624" s="1">
        <v>9508</v>
      </c>
      <c r="L624" s="1">
        <v>169</v>
      </c>
      <c r="M624" s="1">
        <f t="shared" si="48"/>
        <v>180</v>
      </c>
      <c r="N624" s="1">
        <v>180</v>
      </c>
      <c r="O624" s="1">
        <f t="shared" si="49"/>
        <v>0</v>
      </c>
      <c r="P624" s="1"/>
      <c r="Q624" s="1" t="s">
        <v>41</v>
      </c>
      <c r="R624" s="1" t="s">
        <v>26</v>
      </c>
    </row>
    <row r="625" spans="1:18" x14ac:dyDescent="0.35">
      <c r="A625" s="1" t="s">
        <v>656</v>
      </c>
      <c r="B625" s="1" t="str">
        <f t="shared" si="45"/>
        <v>Unknown</v>
      </c>
      <c r="C625" s="1"/>
      <c r="D625" s="1" t="str">
        <f t="shared" si="46"/>
        <v>No</v>
      </c>
      <c r="E625" s="1"/>
      <c r="F625" s="1" t="s">
        <v>16</v>
      </c>
      <c r="G625" s="1" t="s">
        <v>25</v>
      </c>
      <c r="H625" s="1" t="str">
        <f t="shared" si="47"/>
        <v>Yes</v>
      </c>
      <c r="I625" s="1" t="s">
        <v>29</v>
      </c>
      <c r="J625" s="1">
        <v>4776</v>
      </c>
      <c r="K625" s="1">
        <v>7535</v>
      </c>
      <c r="L625" s="1">
        <v>452</v>
      </c>
      <c r="M625" s="1">
        <f t="shared" si="48"/>
        <v>360</v>
      </c>
      <c r="N625" s="1">
        <v>360</v>
      </c>
      <c r="O625" s="1">
        <f t="shared" si="49"/>
        <v>0</v>
      </c>
      <c r="P625" s="1">
        <v>0</v>
      </c>
      <c r="Q625" s="1" t="s">
        <v>19</v>
      </c>
      <c r="R625" s="1" t="s">
        <v>20</v>
      </c>
    </row>
    <row r="626" spans="1:18" x14ac:dyDescent="0.35">
      <c r="A626" s="1" t="s">
        <v>657</v>
      </c>
      <c r="B626" s="1" t="str">
        <f t="shared" si="45"/>
        <v>Female</v>
      </c>
      <c r="C626" s="1" t="s">
        <v>61</v>
      </c>
      <c r="D626" s="1" t="str">
        <f t="shared" si="46"/>
        <v>Yes</v>
      </c>
      <c r="E626" s="1" t="s">
        <v>29</v>
      </c>
      <c r="F626" s="1">
        <v>1</v>
      </c>
      <c r="G626" s="1" t="s">
        <v>25</v>
      </c>
      <c r="H626" s="1" t="str">
        <f t="shared" si="47"/>
        <v>No</v>
      </c>
      <c r="I626" s="1" t="s">
        <v>22</v>
      </c>
      <c r="J626" s="1">
        <v>4819</v>
      </c>
      <c r="K626" s="1">
        <v>1894</v>
      </c>
      <c r="L626" s="1">
        <v>648</v>
      </c>
      <c r="M626" s="1">
        <f t="shared" si="48"/>
        <v>120</v>
      </c>
      <c r="N626" s="1">
        <v>120</v>
      </c>
      <c r="O626" s="1">
        <f t="shared" si="49"/>
        <v>0</v>
      </c>
      <c r="P626" s="1"/>
      <c r="Q626" s="1" t="s">
        <v>19</v>
      </c>
      <c r="R626" s="1" t="s">
        <v>20</v>
      </c>
    </row>
    <row r="627" spans="1:18" x14ac:dyDescent="0.35">
      <c r="A627" s="1" t="s">
        <v>658</v>
      </c>
      <c r="B627" s="1" t="str">
        <f t="shared" si="45"/>
        <v>Male</v>
      </c>
      <c r="C627" s="1" t="s">
        <v>33</v>
      </c>
      <c r="D627" s="1" t="str">
        <f t="shared" si="46"/>
        <v>No</v>
      </c>
      <c r="E627" s="1" t="s">
        <v>18</v>
      </c>
      <c r="F627" s="1">
        <v>2</v>
      </c>
      <c r="G627" s="1" t="s">
        <v>17</v>
      </c>
      <c r="H627" s="1" t="str">
        <f t="shared" si="47"/>
        <v>No</v>
      </c>
      <c r="I627" s="1"/>
      <c r="J627" s="1">
        <v>19796</v>
      </c>
      <c r="K627" s="1">
        <v>5257</v>
      </c>
      <c r="L627" s="1">
        <v>616</v>
      </c>
      <c r="M627" s="1">
        <f t="shared" si="48"/>
        <v>180</v>
      </c>
      <c r="N627" s="1">
        <v>180</v>
      </c>
      <c r="O627" s="1">
        <f t="shared" si="49"/>
        <v>0</v>
      </c>
      <c r="P627" s="1"/>
      <c r="Q627" s="1" t="s">
        <v>19</v>
      </c>
      <c r="R627" s="1" t="s">
        <v>26</v>
      </c>
    </row>
    <row r="628" spans="1:18" x14ac:dyDescent="0.35">
      <c r="A628" s="1" t="s">
        <v>659</v>
      </c>
      <c r="B628" s="1" t="str">
        <f t="shared" si="45"/>
        <v>Male</v>
      </c>
      <c r="C628" s="1" t="s">
        <v>14</v>
      </c>
      <c r="D628" s="1" t="str">
        <f t="shared" si="46"/>
        <v>No</v>
      </c>
      <c r="E628" s="1" t="s">
        <v>36</v>
      </c>
      <c r="F628" s="1">
        <v>2</v>
      </c>
      <c r="G628" s="1" t="s">
        <v>17</v>
      </c>
      <c r="H628" s="1" t="str">
        <f t="shared" si="47"/>
        <v>No</v>
      </c>
      <c r="I628" s="1" t="s">
        <v>18</v>
      </c>
      <c r="J628" s="1">
        <v>5804</v>
      </c>
      <c r="K628" s="1">
        <v>9474</v>
      </c>
      <c r="L628" s="1">
        <v>640</v>
      </c>
      <c r="M628" s="1">
        <f t="shared" si="48"/>
        <v>360</v>
      </c>
      <c r="N628" s="1">
        <v>360</v>
      </c>
      <c r="O628" s="1">
        <f t="shared" si="49"/>
        <v>0</v>
      </c>
      <c r="P628" s="1">
        <v>0</v>
      </c>
      <c r="Q628" s="1" t="s">
        <v>19</v>
      </c>
      <c r="R628" s="1" t="s">
        <v>26</v>
      </c>
    </row>
    <row r="629" spans="1:18" x14ac:dyDescent="0.35">
      <c r="A629" s="1" t="s">
        <v>660</v>
      </c>
      <c r="B629" s="1" t="str">
        <f t="shared" si="45"/>
        <v>Female</v>
      </c>
      <c r="C629" s="1" t="s">
        <v>61</v>
      </c>
      <c r="D629" s="1" t="str">
        <f t="shared" si="46"/>
        <v>No</v>
      </c>
      <c r="E629" s="1" t="s">
        <v>22</v>
      </c>
      <c r="F629" s="1">
        <v>2</v>
      </c>
      <c r="G629" s="1" t="s">
        <v>17</v>
      </c>
      <c r="H629" s="1" t="str">
        <f t="shared" si="47"/>
        <v>No</v>
      </c>
      <c r="I629" s="1"/>
      <c r="J629" s="1">
        <v>10721</v>
      </c>
      <c r="K629" s="1">
        <v>1640</v>
      </c>
      <c r="L629" s="1">
        <v>441</v>
      </c>
      <c r="M629" s="1">
        <f t="shared" si="48"/>
        <v>360</v>
      </c>
      <c r="N629" s="1"/>
      <c r="O629" s="1">
        <f t="shared" si="49"/>
        <v>1</v>
      </c>
      <c r="P629" s="1">
        <v>1</v>
      </c>
      <c r="Q629" s="1" t="s">
        <v>41</v>
      </c>
      <c r="R629" s="1" t="s">
        <v>20</v>
      </c>
    </row>
    <row r="630" spans="1:18" x14ac:dyDescent="0.35">
      <c r="A630" s="1" t="s">
        <v>661</v>
      </c>
      <c r="B630" s="1" t="str">
        <f t="shared" si="45"/>
        <v>Unknown</v>
      </c>
      <c r="C630" s="1"/>
      <c r="D630" s="1" t="str">
        <f t="shared" si="46"/>
        <v>No</v>
      </c>
      <c r="E630" s="1" t="s">
        <v>22</v>
      </c>
      <c r="F630" s="1">
        <v>1</v>
      </c>
      <c r="G630" s="1" t="s">
        <v>17</v>
      </c>
      <c r="H630" s="1" t="str">
        <f t="shared" si="47"/>
        <v>No</v>
      </c>
      <c r="I630" s="1"/>
      <c r="J630" s="1">
        <v>11277</v>
      </c>
      <c r="K630" s="1">
        <v>5535</v>
      </c>
      <c r="L630" s="1">
        <v>364</v>
      </c>
      <c r="M630" s="1">
        <f t="shared" si="48"/>
        <v>180</v>
      </c>
      <c r="N630" s="1">
        <v>180</v>
      </c>
      <c r="O630" s="1">
        <f t="shared" si="49"/>
        <v>0</v>
      </c>
      <c r="P630" s="1">
        <v>0</v>
      </c>
      <c r="Q630" s="1" t="s">
        <v>41</v>
      </c>
      <c r="R630" s="1" t="s">
        <v>26</v>
      </c>
    </row>
    <row r="631" spans="1:18" x14ac:dyDescent="0.35">
      <c r="A631" s="1" t="s">
        <v>662</v>
      </c>
      <c r="B631" s="1" t="str">
        <f t="shared" si="45"/>
        <v>Female</v>
      </c>
      <c r="C631" s="1" t="s">
        <v>43</v>
      </c>
      <c r="D631" s="1" t="str">
        <f t="shared" si="46"/>
        <v>No</v>
      </c>
      <c r="E631" s="1" t="s">
        <v>18</v>
      </c>
      <c r="F631" s="1">
        <v>0</v>
      </c>
      <c r="G631" s="1" t="s">
        <v>17</v>
      </c>
      <c r="H631" s="1" t="str">
        <f t="shared" si="47"/>
        <v>Yes</v>
      </c>
      <c r="I631" s="1" t="s">
        <v>15</v>
      </c>
      <c r="J631" s="1">
        <v>2700</v>
      </c>
      <c r="K631" s="1">
        <v>1267</v>
      </c>
      <c r="L631" s="1">
        <v>318</v>
      </c>
      <c r="M631" s="1">
        <f t="shared" si="48"/>
        <v>180</v>
      </c>
      <c r="N631" s="1">
        <v>180</v>
      </c>
      <c r="O631" s="1">
        <f t="shared" si="49"/>
        <v>1</v>
      </c>
      <c r="P631" s="1">
        <v>1</v>
      </c>
      <c r="Q631" s="1" t="s">
        <v>41</v>
      </c>
      <c r="R631" s="1" t="s">
        <v>26</v>
      </c>
    </row>
    <row r="632" spans="1:18" x14ac:dyDescent="0.35">
      <c r="A632" s="1" t="s">
        <v>663</v>
      </c>
      <c r="B632" s="1" t="str">
        <f t="shared" si="45"/>
        <v>Male</v>
      </c>
      <c r="C632" s="1" t="s">
        <v>33</v>
      </c>
      <c r="D632" s="1" t="str">
        <f t="shared" si="46"/>
        <v>Yes</v>
      </c>
      <c r="E632" s="1" t="s">
        <v>24</v>
      </c>
      <c r="F632" s="1">
        <v>0</v>
      </c>
      <c r="G632" s="1" t="s">
        <v>25</v>
      </c>
      <c r="H632" s="1" t="str">
        <f t="shared" si="47"/>
        <v>No</v>
      </c>
      <c r="I632" s="1" t="s">
        <v>18</v>
      </c>
      <c r="J632" s="1">
        <v>4994</v>
      </c>
      <c r="K632" s="1">
        <v>1753</v>
      </c>
      <c r="L632" s="1">
        <v>119</v>
      </c>
      <c r="M632" s="1">
        <f t="shared" si="48"/>
        <v>180</v>
      </c>
      <c r="N632" s="1">
        <v>180</v>
      </c>
      <c r="O632" s="1">
        <f t="shared" si="49"/>
        <v>1</v>
      </c>
      <c r="P632" s="1">
        <v>1</v>
      </c>
      <c r="Q632" s="1" t="s">
        <v>41</v>
      </c>
      <c r="R632" s="1" t="s">
        <v>20</v>
      </c>
    </row>
    <row r="633" spans="1:18" x14ac:dyDescent="0.35">
      <c r="A633" s="1" t="s">
        <v>664</v>
      </c>
      <c r="B633" s="1" t="str">
        <f t="shared" si="45"/>
        <v>Unknown</v>
      </c>
      <c r="C633" s="1"/>
      <c r="D633" s="1" t="str">
        <f t="shared" si="46"/>
        <v>Yes</v>
      </c>
      <c r="E633" s="1" t="s">
        <v>15</v>
      </c>
      <c r="F633" s="1">
        <v>2</v>
      </c>
      <c r="G633" s="1" t="s">
        <v>25</v>
      </c>
      <c r="H633" s="1" t="str">
        <f t="shared" si="47"/>
        <v>Yes</v>
      </c>
      <c r="I633" s="1" t="s">
        <v>15</v>
      </c>
      <c r="J633" s="1">
        <v>11704</v>
      </c>
      <c r="K633" s="1">
        <v>821</v>
      </c>
      <c r="L633" s="1">
        <v>460</v>
      </c>
      <c r="M633" s="1">
        <f t="shared" si="48"/>
        <v>360</v>
      </c>
      <c r="N633" s="1">
        <v>360</v>
      </c>
      <c r="O633" s="1">
        <f t="shared" si="49"/>
        <v>0</v>
      </c>
      <c r="P633" s="1"/>
      <c r="Q633" s="1" t="s">
        <v>30</v>
      </c>
      <c r="R633" s="1" t="s">
        <v>26</v>
      </c>
    </row>
    <row r="634" spans="1:18" x14ac:dyDescent="0.35">
      <c r="A634" s="1" t="s">
        <v>665</v>
      </c>
      <c r="B634" s="1" t="str">
        <f t="shared" si="45"/>
        <v>Male</v>
      </c>
      <c r="C634" s="1" t="s">
        <v>33</v>
      </c>
      <c r="D634" s="1" t="str">
        <f t="shared" si="46"/>
        <v>No</v>
      </c>
      <c r="E634" s="1" t="s">
        <v>18</v>
      </c>
      <c r="F634" s="1">
        <v>0</v>
      </c>
      <c r="G634" s="1" t="s">
        <v>17</v>
      </c>
      <c r="H634" s="1" t="str">
        <f t="shared" si="47"/>
        <v>Yes</v>
      </c>
      <c r="I634" s="1" t="s">
        <v>29</v>
      </c>
      <c r="J634" s="1">
        <v>5480</v>
      </c>
      <c r="K634" s="1">
        <v>2233</v>
      </c>
      <c r="L634" s="1">
        <v>528</v>
      </c>
      <c r="M634" s="1">
        <f t="shared" si="48"/>
        <v>360</v>
      </c>
      <c r="N634" s="1">
        <v>360</v>
      </c>
      <c r="O634" s="1">
        <f t="shared" si="49"/>
        <v>1</v>
      </c>
      <c r="P634" s="1">
        <v>1</v>
      </c>
      <c r="Q634" s="1" t="s">
        <v>19</v>
      </c>
      <c r="R634" s="1" t="s">
        <v>26</v>
      </c>
    </row>
    <row r="635" spans="1:18" x14ac:dyDescent="0.35">
      <c r="A635" s="1" t="s">
        <v>666</v>
      </c>
      <c r="B635" s="1" t="str">
        <f t="shared" si="45"/>
        <v>Female</v>
      </c>
      <c r="C635" s="1" t="s">
        <v>43</v>
      </c>
      <c r="D635" s="1" t="str">
        <f t="shared" si="46"/>
        <v>Yes</v>
      </c>
      <c r="E635" s="1" t="s">
        <v>24</v>
      </c>
      <c r="F635" s="1" t="s">
        <v>16</v>
      </c>
      <c r="G635" s="1" t="s">
        <v>25</v>
      </c>
      <c r="H635" s="1" t="str">
        <f t="shared" si="47"/>
        <v>Yes</v>
      </c>
      <c r="I635" s="1" t="s">
        <v>15</v>
      </c>
      <c r="J635" s="1">
        <v>10557</v>
      </c>
      <c r="K635" s="1">
        <v>9419</v>
      </c>
      <c r="L635" s="1">
        <v>156</v>
      </c>
      <c r="M635" s="1">
        <f t="shared" si="48"/>
        <v>360</v>
      </c>
      <c r="N635" s="1"/>
      <c r="O635" s="1">
        <f t="shared" si="49"/>
        <v>0</v>
      </c>
      <c r="P635" s="1"/>
      <c r="Q635" s="1" t="s">
        <v>19</v>
      </c>
      <c r="R635" s="1" t="s">
        <v>26</v>
      </c>
    </row>
    <row r="636" spans="1:18" x14ac:dyDescent="0.35">
      <c r="A636" s="1" t="s">
        <v>667</v>
      </c>
      <c r="B636" s="1" t="str">
        <f t="shared" si="45"/>
        <v>Female</v>
      </c>
      <c r="C636" s="1" t="s">
        <v>43</v>
      </c>
      <c r="D636" s="1" t="str">
        <f t="shared" si="46"/>
        <v>No</v>
      </c>
      <c r="E636" s="1"/>
      <c r="F636" s="1">
        <v>0</v>
      </c>
      <c r="G636" s="1" t="s">
        <v>17</v>
      </c>
      <c r="H636" s="1" t="str">
        <f t="shared" si="47"/>
        <v>No</v>
      </c>
      <c r="I636" s="1"/>
      <c r="J636" s="1">
        <v>4159</v>
      </c>
      <c r="K636" s="1">
        <v>7581</v>
      </c>
      <c r="L636" s="1">
        <v>516</v>
      </c>
      <c r="M636" s="1">
        <f t="shared" si="48"/>
        <v>180</v>
      </c>
      <c r="N636" s="1">
        <v>180</v>
      </c>
      <c r="O636" s="1">
        <f t="shared" si="49"/>
        <v>1</v>
      </c>
      <c r="P636" s="1">
        <v>1</v>
      </c>
      <c r="Q636" s="1" t="s">
        <v>41</v>
      </c>
      <c r="R636" s="1" t="s">
        <v>20</v>
      </c>
    </row>
    <row r="637" spans="1:18" x14ac:dyDescent="0.35">
      <c r="A637" s="1" t="s">
        <v>668</v>
      </c>
      <c r="B637" s="1" t="str">
        <f t="shared" si="45"/>
        <v>Male</v>
      </c>
      <c r="C637" s="1" t="s">
        <v>33</v>
      </c>
      <c r="D637" s="1" t="str">
        <f t="shared" si="46"/>
        <v>No</v>
      </c>
      <c r="E637" s="1" t="s">
        <v>22</v>
      </c>
      <c r="F637" s="1">
        <v>1</v>
      </c>
      <c r="G637" s="1" t="s">
        <v>17</v>
      </c>
      <c r="H637" s="1" t="str">
        <f t="shared" si="47"/>
        <v>No</v>
      </c>
      <c r="I637" s="1" t="s">
        <v>18</v>
      </c>
      <c r="J637" s="1">
        <v>12832</v>
      </c>
      <c r="K637" s="1">
        <v>8260</v>
      </c>
      <c r="L637" s="1">
        <v>135</v>
      </c>
      <c r="M637" s="1">
        <f t="shared" si="48"/>
        <v>360</v>
      </c>
      <c r="N637" s="1">
        <v>360</v>
      </c>
      <c r="O637" s="1">
        <f t="shared" si="49"/>
        <v>1</v>
      </c>
      <c r="P637" s="1">
        <v>1</v>
      </c>
      <c r="Q637" s="1" t="s">
        <v>30</v>
      </c>
      <c r="R637" s="1" t="s">
        <v>26</v>
      </c>
    </row>
    <row r="638" spans="1:18" x14ac:dyDescent="0.35">
      <c r="A638" s="1" t="s">
        <v>669</v>
      </c>
      <c r="B638" s="1" t="str">
        <f t="shared" si="45"/>
        <v>Unknown</v>
      </c>
      <c r="C638" s="1"/>
      <c r="D638" s="1" t="str">
        <f t="shared" si="46"/>
        <v>No</v>
      </c>
      <c r="E638" s="1"/>
      <c r="F638" s="1" t="s">
        <v>16</v>
      </c>
      <c r="G638" s="1" t="s">
        <v>25</v>
      </c>
      <c r="H638" s="1" t="str">
        <f t="shared" si="47"/>
        <v>Yes</v>
      </c>
      <c r="I638" s="1" t="s">
        <v>24</v>
      </c>
      <c r="J638" s="1">
        <v>4648</v>
      </c>
      <c r="K638" s="1">
        <v>1954</v>
      </c>
      <c r="L638" s="1">
        <v>275</v>
      </c>
      <c r="M638" s="1">
        <f t="shared" si="48"/>
        <v>360</v>
      </c>
      <c r="N638" s="1"/>
      <c r="O638" s="1">
        <f t="shared" si="49"/>
        <v>0</v>
      </c>
      <c r="P638" s="1"/>
      <c r="Q638" s="1" t="s">
        <v>41</v>
      </c>
      <c r="R638" s="1" t="s">
        <v>26</v>
      </c>
    </row>
    <row r="639" spans="1:18" x14ac:dyDescent="0.35">
      <c r="A639" s="1" t="s">
        <v>670</v>
      </c>
      <c r="B639" s="1" t="str">
        <f t="shared" si="45"/>
        <v>Female</v>
      </c>
      <c r="C639" s="1" t="s">
        <v>61</v>
      </c>
      <c r="D639" s="1" t="str">
        <f t="shared" si="46"/>
        <v>No</v>
      </c>
      <c r="E639" s="1"/>
      <c r="F639" s="1">
        <v>2</v>
      </c>
      <c r="G639" s="1" t="s">
        <v>17</v>
      </c>
      <c r="H639" s="1" t="str">
        <f t="shared" si="47"/>
        <v>No</v>
      </c>
      <c r="I639" s="1" t="s">
        <v>22</v>
      </c>
      <c r="J639" s="1">
        <v>5436</v>
      </c>
      <c r="K639" s="1">
        <v>3855</v>
      </c>
      <c r="L639" s="1">
        <v>171</v>
      </c>
      <c r="M639" s="1">
        <f t="shared" si="48"/>
        <v>120</v>
      </c>
      <c r="N639" s="1">
        <v>120</v>
      </c>
      <c r="O639" s="1">
        <f t="shared" si="49"/>
        <v>0</v>
      </c>
      <c r="P639" s="1">
        <v>0</v>
      </c>
      <c r="Q639" s="1" t="s">
        <v>41</v>
      </c>
      <c r="R639" s="1" t="s">
        <v>26</v>
      </c>
    </row>
    <row r="640" spans="1:18" x14ac:dyDescent="0.35">
      <c r="A640" s="1" t="s">
        <v>671</v>
      </c>
      <c r="B640" s="1" t="str">
        <f t="shared" si="45"/>
        <v>Unknown</v>
      </c>
      <c r="C640" s="1"/>
      <c r="D640" s="1" t="str">
        <f t="shared" si="46"/>
        <v>No</v>
      </c>
      <c r="E640" s="1" t="s">
        <v>22</v>
      </c>
      <c r="F640" s="1">
        <v>1</v>
      </c>
      <c r="G640" s="1" t="s">
        <v>25</v>
      </c>
      <c r="H640" s="1" t="str">
        <f t="shared" si="47"/>
        <v>No</v>
      </c>
      <c r="I640" s="1" t="s">
        <v>18</v>
      </c>
      <c r="J640" s="1">
        <v>4966</v>
      </c>
      <c r="K640" s="1">
        <v>7207</v>
      </c>
      <c r="L640" s="1">
        <v>182</v>
      </c>
      <c r="M640" s="1">
        <f t="shared" si="48"/>
        <v>120</v>
      </c>
      <c r="N640" s="1">
        <v>120</v>
      </c>
      <c r="O640" s="1">
        <f t="shared" si="49"/>
        <v>0</v>
      </c>
      <c r="P640" s="1">
        <v>0</v>
      </c>
      <c r="Q640" s="1" t="s">
        <v>41</v>
      </c>
      <c r="R640" s="1" t="s">
        <v>26</v>
      </c>
    </row>
    <row r="641" spans="1:18" x14ac:dyDescent="0.35">
      <c r="A641" s="1" t="s">
        <v>672</v>
      </c>
      <c r="B641" s="1" t="str">
        <f t="shared" si="45"/>
        <v>Female</v>
      </c>
      <c r="C641" s="1" t="s">
        <v>61</v>
      </c>
      <c r="D641" s="1" t="str">
        <f t="shared" si="46"/>
        <v>No</v>
      </c>
      <c r="E641" s="1"/>
      <c r="F641" s="1">
        <v>0</v>
      </c>
      <c r="G641" s="1" t="s">
        <v>17</v>
      </c>
      <c r="H641" s="1" t="str">
        <f t="shared" si="47"/>
        <v>No</v>
      </c>
      <c r="I641" s="1"/>
      <c r="J641" s="1">
        <v>7118</v>
      </c>
      <c r="K641" s="1">
        <v>8206</v>
      </c>
      <c r="L641" s="1">
        <v>613</v>
      </c>
      <c r="M641" s="1">
        <f t="shared" si="48"/>
        <v>360</v>
      </c>
      <c r="N641" s="1">
        <v>360</v>
      </c>
      <c r="O641" s="1">
        <f t="shared" si="49"/>
        <v>0</v>
      </c>
      <c r="P641" s="1">
        <v>0</v>
      </c>
      <c r="Q641" s="1" t="s">
        <v>30</v>
      </c>
      <c r="R641" s="1" t="s">
        <v>26</v>
      </c>
    </row>
    <row r="642" spans="1:18" x14ac:dyDescent="0.35">
      <c r="A642" s="1" t="s">
        <v>673</v>
      </c>
      <c r="B642" s="1" t="str">
        <f t="shared" ref="B642:B705" si="50">IF(ISBLANK(C642),"Unknown", IF(LOWER(TRIM(C642))="male","Male","Female"))</f>
        <v>Male</v>
      </c>
      <c r="C642" s="1" t="s">
        <v>14</v>
      </c>
      <c r="D642" s="1" t="str">
        <f t="shared" ref="D642:D705" si="51">IF(ISBLANK(E642),"No",PROPER(TRIM(E642)))</f>
        <v>Yes</v>
      </c>
      <c r="E642" s="1" t="s">
        <v>29</v>
      </c>
      <c r="F642" s="1">
        <v>2</v>
      </c>
      <c r="G642" s="1" t="s">
        <v>17</v>
      </c>
      <c r="H642" s="1" t="str">
        <f t="shared" ref="H642:H705" si="52">IF(ISBLANK(I642),"No",PROPER(TRIM(I642)))</f>
        <v>Yes</v>
      </c>
      <c r="I642" s="1" t="s">
        <v>24</v>
      </c>
      <c r="J642" s="1">
        <v>17872</v>
      </c>
      <c r="K642" s="1">
        <v>4904</v>
      </c>
      <c r="L642" s="1">
        <v>472</v>
      </c>
      <c r="M642" s="1">
        <f t="shared" ref="M642:M705" si="53">IF(ISBLANK(N642),360,N642)</f>
        <v>360</v>
      </c>
      <c r="N642" s="1">
        <v>360</v>
      </c>
      <c r="O642" s="1">
        <f t="shared" ref="O642:O705" si="54">IF(ISBLANK(P642),0,P642)</f>
        <v>0</v>
      </c>
      <c r="P642" s="1"/>
      <c r="Q642" s="1" t="s">
        <v>19</v>
      </c>
      <c r="R642" s="1" t="s">
        <v>20</v>
      </c>
    </row>
    <row r="643" spans="1:18" x14ac:dyDescent="0.35">
      <c r="A643" s="1" t="s">
        <v>674</v>
      </c>
      <c r="B643" s="1" t="str">
        <f t="shared" si="50"/>
        <v>Female</v>
      </c>
      <c r="C643" s="1" t="s">
        <v>43</v>
      </c>
      <c r="D643" s="1" t="str">
        <f t="shared" si="51"/>
        <v>No</v>
      </c>
      <c r="E643" s="1"/>
      <c r="F643" s="1">
        <v>1</v>
      </c>
      <c r="G643" s="1" t="s">
        <v>17</v>
      </c>
      <c r="H643" s="1" t="str">
        <f t="shared" si="52"/>
        <v>No</v>
      </c>
      <c r="I643" s="1"/>
      <c r="J643" s="1">
        <v>10938</v>
      </c>
      <c r="K643" s="1">
        <v>3271</v>
      </c>
      <c r="L643" s="1">
        <v>91</v>
      </c>
      <c r="M643" s="1">
        <f t="shared" si="53"/>
        <v>360</v>
      </c>
      <c r="N643" s="1"/>
      <c r="O643" s="1">
        <f t="shared" si="54"/>
        <v>1</v>
      </c>
      <c r="P643" s="1">
        <v>1</v>
      </c>
      <c r="Q643" s="1" t="s">
        <v>41</v>
      </c>
      <c r="R643" s="1" t="s">
        <v>26</v>
      </c>
    </row>
    <row r="644" spans="1:18" x14ac:dyDescent="0.35">
      <c r="A644" s="1" t="s">
        <v>675</v>
      </c>
      <c r="B644" s="1" t="str">
        <f t="shared" si="50"/>
        <v>Unknown</v>
      </c>
      <c r="C644" s="1"/>
      <c r="D644" s="1" t="str">
        <f t="shared" si="51"/>
        <v>No</v>
      </c>
      <c r="E644" s="1" t="s">
        <v>22</v>
      </c>
      <c r="F644" s="1">
        <v>0</v>
      </c>
      <c r="G644" s="1" t="s">
        <v>25</v>
      </c>
      <c r="H644" s="1" t="str">
        <f t="shared" si="52"/>
        <v>No</v>
      </c>
      <c r="I644" s="1" t="s">
        <v>18</v>
      </c>
      <c r="J644" s="1">
        <v>12429</v>
      </c>
      <c r="K644" s="1">
        <v>2110</v>
      </c>
      <c r="L644" s="1">
        <v>368</v>
      </c>
      <c r="M644" s="1">
        <f t="shared" si="53"/>
        <v>120</v>
      </c>
      <c r="N644" s="1">
        <v>120</v>
      </c>
      <c r="O644" s="1">
        <f t="shared" si="54"/>
        <v>1</v>
      </c>
      <c r="P644" s="1">
        <v>1</v>
      </c>
      <c r="Q644" s="1" t="s">
        <v>30</v>
      </c>
      <c r="R644" s="1" t="s">
        <v>26</v>
      </c>
    </row>
    <row r="645" spans="1:18" x14ac:dyDescent="0.35">
      <c r="A645" s="1" t="s">
        <v>676</v>
      </c>
      <c r="B645" s="1" t="str">
        <f t="shared" si="50"/>
        <v>Female</v>
      </c>
      <c r="C645" s="1" t="s">
        <v>28</v>
      </c>
      <c r="D645" s="1" t="str">
        <f t="shared" si="51"/>
        <v>Yes</v>
      </c>
      <c r="E645" s="1" t="s">
        <v>15</v>
      </c>
      <c r="F645" s="1">
        <v>1</v>
      </c>
      <c r="G645" s="1" t="s">
        <v>17</v>
      </c>
      <c r="H645" s="1" t="str">
        <f t="shared" si="52"/>
        <v>No</v>
      </c>
      <c r="I645" s="1"/>
      <c r="J645" s="1">
        <v>10393</v>
      </c>
      <c r="K645" s="1">
        <v>2766</v>
      </c>
      <c r="L645" s="1">
        <v>246</v>
      </c>
      <c r="M645" s="1">
        <f t="shared" si="53"/>
        <v>120</v>
      </c>
      <c r="N645" s="1">
        <v>120</v>
      </c>
      <c r="O645" s="1">
        <f t="shared" si="54"/>
        <v>0</v>
      </c>
      <c r="P645" s="1">
        <v>0</v>
      </c>
      <c r="Q645" s="1" t="s">
        <v>41</v>
      </c>
      <c r="R645" s="1" t="s">
        <v>26</v>
      </c>
    </row>
    <row r="646" spans="1:18" x14ac:dyDescent="0.35">
      <c r="A646" s="1" t="s">
        <v>677</v>
      </c>
      <c r="B646" s="1" t="str">
        <f t="shared" si="50"/>
        <v>Female</v>
      </c>
      <c r="C646" s="1" t="s">
        <v>28</v>
      </c>
      <c r="D646" s="1" t="str">
        <f t="shared" si="51"/>
        <v>No</v>
      </c>
      <c r="E646" s="1" t="s">
        <v>22</v>
      </c>
      <c r="F646" s="1" t="s">
        <v>16</v>
      </c>
      <c r="G646" s="1" t="s">
        <v>25</v>
      </c>
      <c r="H646" s="1" t="str">
        <f t="shared" si="52"/>
        <v>No</v>
      </c>
      <c r="I646" s="1" t="s">
        <v>22</v>
      </c>
      <c r="J646" s="1">
        <v>7336</v>
      </c>
      <c r="K646" s="1">
        <v>3478</v>
      </c>
      <c r="L646" s="1">
        <v>492</v>
      </c>
      <c r="M646" s="1">
        <f t="shared" si="53"/>
        <v>360</v>
      </c>
      <c r="N646" s="1"/>
      <c r="O646" s="1">
        <f t="shared" si="54"/>
        <v>0</v>
      </c>
      <c r="P646" s="1">
        <v>0</v>
      </c>
      <c r="Q646" s="1" t="s">
        <v>41</v>
      </c>
      <c r="R646" s="1" t="s">
        <v>26</v>
      </c>
    </row>
    <row r="647" spans="1:18" x14ac:dyDescent="0.35">
      <c r="A647" s="1" t="s">
        <v>678</v>
      </c>
      <c r="B647" s="1" t="str">
        <f t="shared" si="50"/>
        <v>Female</v>
      </c>
      <c r="C647" s="1" t="s">
        <v>28</v>
      </c>
      <c r="D647" s="1" t="str">
        <f t="shared" si="51"/>
        <v>No</v>
      </c>
      <c r="E647" s="1"/>
      <c r="F647" s="1">
        <v>2</v>
      </c>
      <c r="G647" s="1" t="s">
        <v>25</v>
      </c>
      <c r="H647" s="1" t="str">
        <f t="shared" si="52"/>
        <v>No</v>
      </c>
      <c r="I647" s="1"/>
      <c r="J647" s="1">
        <v>9071</v>
      </c>
      <c r="K647" s="1">
        <v>9584</v>
      </c>
      <c r="L647" s="1">
        <v>310</v>
      </c>
      <c r="M647" s="1">
        <f t="shared" si="53"/>
        <v>360</v>
      </c>
      <c r="N647" s="1"/>
      <c r="O647" s="1">
        <f t="shared" si="54"/>
        <v>1</v>
      </c>
      <c r="P647" s="1">
        <v>1</v>
      </c>
      <c r="Q647" s="1" t="s">
        <v>41</v>
      </c>
      <c r="R647" s="1" t="s">
        <v>20</v>
      </c>
    </row>
    <row r="648" spans="1:18" x14ac:dyDescent="0.35">
      <c r="A648" s="1" t="s">
        <v>679</v>
      </c>
      <c r="B648" s="1" t="str">
        <f t="shared" si="50"/>
        <v>Male</v>
      </c>
      <c r="C648" s="1" t="s">
        <v>33</v>
      </c>
      <c r="D648" s="1" t="str">
        <f t="shared" si="51"/>
        <v>Yes</v>
      </c>
      <c r="E648" s="1" t="s">
        <v>15</v>
      </c>
      <c r="F648" s="1">
        <v>0</v>
      </c>
      <c r="G648" s="1" t="s">
        <v>25</v>
      </c>
      <c r="H648" s="1" t="str">
        <f t="shared" si="52"/>
        <v>No</v>
      </c>
      <c r="I648" s="1" t="s">
        <v>36</v>
      </c>
      <c r="J648" s="1">
        <v>13124</v>
      </c>
      <c r="K648" s="1">
        <v>1932</v>
      </c>
      <c r="L648" s="1">
        <v>321</v>
      </c>
      <c r="M648" s="1">
        <f t="shared" si="53"/>
        <v>120</v>
      </c>
      <c r="N648" s="1">
        <v>120</v>
      </c>
      <c r="O648" s="1">
        <f t="shared" si="54"/>
        <v>1</v>
      </c>
      <c r="P648" s="1">
        <v>1</v>
      </c>
      <c r="Q648" s="1" t="s">
        <v>19</v>
      </c>
      <c r="R648" s="1" t="s">
        <v>20</v>
      </c>
    </row>
    <row r="649" spans="1:18" x14ac:dyDescent="0.35">
      <c r="A649" s="1" t="s">
        <v>680</v>
      </c>
      <c r="B649" s="1" t="str">
        <f t="shared" si="50"/>
        <v>Male</v>
      </c>
      <c r="C649" s="1" t="s">
        <v>14</v>
      </c>
      <c r="D649" s="1" t="str">
        <f t="shared" si="51"/>
        <v>Yes</v>
      </c>
      <c r="E649" s="1" t="s">
        <v>15</v>
      </c>
      <c r="F649" s="1">
        <v>1</v>
      </c>
      <c r="G649" s="1" t="s">
        <v>17</v>
      </c>
      <c r="H649" s="1" t="str">
        <f t="shared" si="52"/>
        <v>No</v>
      </c>
      <c r="I649" s="1" t="s">
        <v>36</v>
      </c>
      <c r="J649" s="1">
        <v>6423</v>
      </c>
      <c r="K649" s="1">
        <v>6791</v>
      </c>
      <c r="L649" s="1">
        <v>90</v>
      </c>
      <c r="M649" s="1">
        <f t="shared" si="53"/>
        <v>360</v>
      </c>
      <c r="N649" s="1">
        <v>360</v>
      </c>
      <c r="O649" s="1">
        <f t="shared" si="54"/>
        <v>1</v>
      </c>
      <c r="P649" s="1">
        <v>1</v>
      </c>
      <c r="Q649" s="1" t="s">
        <v>19</v>
      </c>
      <c r="R649" s="1" t="s">
        <v>26</v>
      </c>
    </row>
    <row r="650" spans="1:18" x14ac:dyDescent="0.35">
      <c r="A650" s="1" t="s">
        <v>681</v>
      </c>
      <c r="B650" s="1" t="str">
        <f t="shared" si="50"/>
        <v>Unknown</v>
      </c>
      <c r="C650" s="1"/>
      <c r="D650" s="1" t="str">
        <f t="shared" si="51"/>
        <v>No</v>
      </c>
      <c r="E650" s="1" t="s">
        <v>22</v>
      </c>
      <c r="F650" s="1" t="s">
        <v>16</v>
      </c>
      <c r="G650" s="1" t="s">
        <v>25</v>
      </c>
      <c r="H650" s="1" t="str">
        <f t="shared" si="52"/>
        <v>No</v>
      </c>
      <c r="I650" s="1"/>
      <c r="J650" s="1">
        <v>1550</v>
      </c>
      <c r="K650" s="1">
        <v>9104</v>
      </c>
      <c r="L650" s="1">
        <v>99</v>
      </c>
      <c r="M650" s="1">
        <f t="shared" si="53"/>
        <v>360</v>
      </c>
      <c r="N650" s="1"/>
      <c r="O650" s="1">
        <f t="shared" si="54"/>
        <v>1</v>
      </c>
      <c r="P650" s="1">
        <v>1</v>
      </c>
      <c r="Q650" s="1" t="s">
        <v>30</v>
      </c>
      <c r="R650" s="1" t="s">
        <v>20</v>
      </c>
    </row>
    <row r="651" spans="1:18" x14ac:dyDescent="0.35">
      <c r="A651" s="1" t="s">
        <v>682</v>
      </c>
      <c r="B651" s="1" t="str">
        <f t="shared" si="50"/>
        <v>Female</v>
      </c>
      <c r="C651" s="1" t="s">
        <v>43</v>
      </c>
      <c r="D651" s="1" t="str">
        <f t="shared" si="51"/>
        <v>No</v>
      </c>
      <c r="E651" s="1"/>
      <c r="F651" s="1">
        <v>1</v>
      </c>
      <c r="G651" s="1" t="s">
        <v>25</v>
      </c>
      <c r="H651" s="1" t="str">
        <f t="shared" si="52"/>
        <v>No</v>
      </c>
      <c r="I651" s="1"/>
      <c r="J651" s="1">
        <v>10620</v>
      </c>
      <c r="K651" s="1">
        <v>6542</v>
      </c>
      <c r="L651" s="1">
        <v>317</v>
      </c>
      <c r="M651" s="1">
        <f t="shared" si="53"/>
        <v>360</v>
      </c>
      <c r="N651" s="1"/>
      <c r="O651" s="1">
        <f t="shared" si="54"/>
        <v>0</v>
      </c>
      <c r="P651" s="1"/>
      <c r="Q651" s="1" t="s">
        <v>41</v>
      </c>
      <c r="R651" s="1" t="s">
        <v>20</v>
      </c>
    </row>
    <row r="652" spans="1:18" x14ac:dyDescent="0.35">
      <c r="A652" s="1" t="s">
        <v>683</v>
      </c>
      <c r="B652" s="1" t="str">
        <f t="shared" si="50"/>
        <v>Male</v>
      </c>
      <c r="C652" s="1" t="s">
        <v>52</v>
      </c>
      <c r="D652" s="1" t="str">
        <f t="shared" si="51"/>
        <v>No</v>
      </c>
      <c r="E652" s="1" t="s">
        <v>36</v>
      </c>
      <c r="F652" s="1">
        <v>2</v>
      </c>
      <c r="G652" s="1" t="s">
        <v>25</v>
      </c>
      <c r="H652" s="1" t="str">
        <f t="shared" si="52"/>
        <v>Yes</v>
      </c>
      <c r="I652" s="1" t="s">
        <v>29</v>
      </c>
      <c r="J652" s="1">
        <v>12179</v>
      </c>
      <c r="K652" s="1">
        <v>8117</v>
      </c>
      <c r="L652" s="1">
        <v>280</v>
      </c>
      <c r="M652" s="1">
        <f t="shared" si="53"/>
        <v>360</v>
      </c>
      <c r="N652" s="1">
        <v>360</v>
      </c>
      <c r="O652" s="1">
        <f t="shared" si="54"/>
        <v>1</v>
      </c>
      <c r="P652" s="1">
        <v>1</v>
      </c>
      <c r="Q652" s="1" t="s">
        <v>41</v>
      </c>
      <c r="R652" s="1" t="s">
        <v>26</v>
      </c>
    </row>
    <row r="653" spans="1:18" x14ac:dyDescent="0.35">
      <c r="A653" s="1" t="s">
        <v>684</v>
      </c>
      <c r="B653" s="1" t="str">
        <f t="shared" si="50"/>
        <v>Male</v>
      </c>
      <c r="C653" s="1" t="s">
        <v>33</v>
      </c>
      <c r="D653" s="1" t="str">
        <f t="shared" si="51"/>
        <v>No</v>
      </c>
      <c r="E653" s="1"/>
      <c r="F653" s="1">
        <v>0</v>
      </c>
      <c r="G653" s="1" t="s">
        <v>17</v>
      </c>
      <c r="H653" s="1" t="str">
        <f t="shared" si="52"/>
        <v>Yes</v>
      </c>
      <c r="I653" s="1" t="s">
        <v>29</v>
      </c>
      <c r="J653" s="1">
        <v>10269</v>
      </c>
      <c r="K653" s="1">
        <v>2411</v>
      </c>
      <c r="L653" s="1">
        <v>136</v>
      </c>
      <c r="M653" s="1">
        <f t="shared" si="53"/>
        <v>120</v>
      </c>
      <c r="N653" s="1">
        <v>120</v>
      </c>
      <c r="O653" s="1">
        <f t="shared" si="54"/>
        <v>1</v>
      </c>
      <c r="P653" s="1">
        <v>1</v>
      </c>
      <c r="Q653" s="1" t="s">
        <v>30</v>
      </c>
      <c r="R653" s="1" t="s">
        <v>26</v>
      </c>
    </row>
    <row r="654" spans="1:18" x14ac:dyDescent="0.35">
      <c r="A654" s="1" t="s">
        <v>685</v>
      </c>
      <c r="B654" s="1" t="str">
        <f t="shared" si="50"/>
        <v>Unknown</v>
      </c>
      <c r="C654" s="1"/>
      <c r="D654" s="1" t="str">
        <f t="shared" si="51"/>
        <v>No</v>
      </c>
      <c r="E654" s="1" t="s">
        <v>36</v>
      </c>
      <c r="F654" s="1">
        <v>2</v>
      </c>
      <c r="G654" s="1" t="s">
        <v>25</v>
      </c>
      <c r="H654" s="1" t="str">
        <f t="shared" si="52"/>
        <v>Yes</v>
      </c>
      <c r="I654" s="1" t="s">
        <v>29</v>
      </c>
      <c r="J654" s="1">
        <v>14944</v>
      </c>
      <c r="K654" s="1">
        <v>5645</v>
      </c>
      <c r="L654" s="1">
        <v>585</v>
      </c>
      <c r="M654" s="1">
        <f t="shared" si="53"/>
        <v>180</v>
      </c>
      <c r="N654" s="1">
        <v>180</v>
      </c>
      <c r="O654" s="1">
        <f t="shared" si="54"/>
        <v>0</v>
      </c>
      <c r="P654" s="1">
        <v>0</v>
      </c>
      <c r="Q654" s="1" t="s">
        <v>30</v>
      </c>
      <c r="R654" s="1" t="s">
        <v>20</v>
      </c>
    </row>
    <row r="655" spans="1:18" x14ac:dyDescent="0.35">
      <c r="A655" s="1" t="s">
        <v>686</v>
      </c>
      <c r="B655" s="1" t="str">
        <f t="shared" si="50"/>
        <v>Female</v>
      </c>
      <c r="C655" s="1" t="s">
        <v>43</v>
      </c>
      <c r="D655" s="1" t="str">
        <f t="shared" si="51"/>
        <v>Yes</v>
      </c>
      <c r="E655" s="1" t="s">
        <v>24</v>
      </c>
      <c r="F655" s="1">
        <v>0</v>
      </c>
      <c r="G655" s="1" t="s">
        <v>17</v>
      </c>
      <c r="H655" s="1" t="str">
        <f t="shared" si="52"/>
        <v>No</v>
      </c>
      <c r="I655" s="1"/>
      <c r="J655" s="1">
        <v>9291</v>
      </c>
      <c r="K655" s="1">
        <v>3740</v>
      </c>
      <c r="L655" s="1">
        <v>55</v>
      </c>
      <c r="M655" s="1">
        <f t="shared" si="53"/>
        <v>360</v>
      </c>
      <c r="N655" s="1">
        <v>360</v>
      </c>
      <c r="O655" s="1">
        <f t="shared" si="54"/>
        <v>0</v>
      </c>
      <c r="P655" s="1"/>
      <c r="Q655" s="1" t="s">
        <v>41</v>
      </c>
      <c r="R655" s="1" t="s">
        <v>20</v>
      </c>
    </row>
    <row r="656" spans="1:18" x14ac:dyDescent="0.35">
      <c r="A656" s="1" t="s">
        <v>687</v>
      </c>
      <c r="B656" s="1" t="str">
        <f t="shared" si="50"/>
        <v>Male</v>
      </c>
      <c r="C656" s="1" t="s">
        <v>14</v>
      </c>
      <c r="D656" s="1" t="str">
        <f t="shared" si="51"/>
        <v>No</v>
      </c>
      <c r="E656" s="1"/>
      <c r="F656" s="1">
        <v>2</v>
      </c>
      <c r="G656" s="1" t="s">
        <v>17</v>
      </c>
      <c r="H656" s="1" t="str">
        <f t="shared" si="52"/>
        <v>No</v>
      </c>
      <c r="I656" s="1"/>
      <c r="J656" s="1">
        <v>11132</v>
      </c>
      <c r="K656" s="1">
        <v>7000</v>
      </c>
      <c r="L656" s="1">
        <v>484</v>
      </c>
      <c r="M656" s="1">
        <f t="shared" si="53"/>
        <v>360</v>
      </c>
      <c r="N656" s="1">
        <v>360</v>
      </c>
      <c r="O656" s="1">
        <f t="shared" si="54"/>
        <v>0</v>
      </c>
      <c r="P656" s="1">
        <v>0</v>
      </c>
      <c r="Q656" s="1" t="s">
        <v>30</v>
      </c>
      <c r="R656" s="1" t="s">
        <v>20</v>
      </c>
    </row>
    <row r="657" spans="1:18" x14ac:dyDescent="0.35">
      <c r="A657" s="1" t="s">
        <v>688</v>
      </c>
      <c r="B657" s="1" t="str">
        <f t="shared" si="50"/>
        <v>Unknown</v>
      </c>
      <c r="C657" s="1"/>
      <c r="D657" s="1" t="str">
        <f t="shared" si="51"/>
        <v>No</v>
      </c>
      <c r="E657" s="1" t="s">
        <v>18</v>
      </c>
      <c r="F657" s="1" t="s">
        <v>16</v>
      </c>
      <c r="G657" s="1" t="s">
        <v>17</v>
      </c>
      <c r="H657" s="1" t="str">
        <f t="shared" si="52"/>
        <v>No</v>
      </c>
      <c r="I657" s="1"/>
      <c r="J657" s="1">
        <v>14842</v>
      </c>
      <c r="K657" s="1">
        <v>6824</v>
      </c>
      <c r="L657" s="1">
        <v>481</v>
      </c>
      <c r="M657" s="1">
        <f t="shared" si="53"/>
        <v>360</v>
      </c>
      <c r="N657" s="1">
        <v>360</v>
      </c>
      <c r="O657" s="1">
        <f t="shared" si="54"/>
        <v>0</v>
      </c>
      <c r="P657" s="1">
        <v>0</v>
      </c>
      <c r="Q657" s="1" t="s">
        <v>30</v>
      </c>
      <c r="R657" s="1" t="s">
        <v>26</v>
      </c>
    </row>
    <row r="658" spans="1:18" x14ac:dyDescent="0.35">
      <c r="A658" s="1" t="s">
        <v>689</v>
      </c>
      <c r="B658" s="1" t="str">
        <f t="shared" si="50"/>
        <v>Female</v>
      </c>
      <c r="C658" s="1" t="s">
        <v>61</v>
      </c>
      <c r="D658" s="1" t="str">
        <f t="shared" si="51"/>
        <v>No</v>
      </c>
      <c r="E658" s="1" t="s">
        <v>18</v>
      </c>
      <c r="F658" s="1">
        <v>0</v>
      </c>
      <c r="G658" s="1" t="s">
        <v>17</v>
      </c>
      <c r="H658" s="1" t="str">
        <f t="shared" si="52"/>
        <v>Yes</v>
      </c>
      <c r="I658" s="1" t="s">
        <v>29</v>
      </c>
      <c r="J658" s="1">
        <v>16867</v>
      </c>
      <c r="K658" s="1">
        <v>3280</v>
      </c>
      <c r="L658" s="1">
        <v>384</v>
      </c>
      <c r="M658" s="1">
        <f t="shared" si="53"/>
        <v>180</v>
      </c>
      <c r="N658" s="1">
        <v>180</v>
      </c>
      <c r="O658" s="1">
        <f t="shared" si="54"/>
        <v>0</v>
      </c>
      <c r="P658" s="1"/>
      <c r="Q658" s="1" t="s">
        <v>19</v>
      </c>
      <c r="R658" s="1" t="s">
        <v>20</v>
      </c>
    </row>
    <row r="659" spans="1:18" x14ac:dyDescent="0.35">
      <c r="A659" s="1" t="s">
        <v>690</v>
      </c>
      <c r="B659" s="1" t="str">
        <f t="shared" si="50"/>
        <v>Unknown</v>
      </c>
      <c r="C659" s="1"/>
      <c r="D659" s="1" t="str">
        <f t="shared" si="51"/>
        <v>Yes</v>
      </c>
      <c r="E659" s="1" t="s">
        <v>15</v>
      </c>
      <c r="F659" s="1">
        <v>2</v>
      </c>
      <c r="G659" s="1" t="s">
        <v>25</v>
      </c>
      <c r="H659" s="1" t="str">
        <f t="shared" si="52"/>
        <v>Yes</v>
      </c>
      <c r="I659" s="1" t="s">
        <v>15</v>
      </c>
      <c r="J659" s="1">
        <v>6356</v>
      </c>
      <c r="K659" s="1">
        <v>1692</v>
      </c>
      <c r="L659" s="1">
        <v>484</v>
      </c>
      <c r="M659" s="1">
        <f t="shared" si="53"/>
        <v>120</v>
      </c>
      <c r="N659" s="1">
        <v>120</v>
      </c>
      <c r="O659" s="1">
        <f t="shared" si="54"/>
        <v>0</v>
      </c>
      <c r="P659" s="1">
        <v>0</v>
      </c>
      <c r="Q659" s="1" t="s">
        <v>30</v>
      </c>
      <c r="R659" s="1" t="s">
        <v>26</v>
      </c>
    </row>
    <row r="660" spans="1:18" x14ac:dyDescent="0.35">
      <c r="A660" s="1" t="s">
        <v>691</v>
      </c>
      <c r="B660" s="1" t="str">
        <f t="shared" si="50"/>
        <v>Female</v>
      </c>
      <c r="C660" s="1" t="s">
        <v>43</v>
      </c>
      <c r="D660" s="1" t="str">
        <f t="shared" si="51"/>
        <v>No</v>
      </c>
      <c r="E660" s="1" t="s">
        <v>18</v>
      </c>
      <c r="F660" s="1" t="s">
        <v>16</v>
      </c>
      <c r="G660" s="1" t="s">
        <v>25</v>
      </c>
      <c r="H660" s="1" t="str">
        <f t="shared" si="52"/>
        <v>No</v>
      </c>
      <c r="I660" s="1" t="s">
        <v>36</v>
      </c>
      <c r="J660" s="1">
        <v>1652</v>
      </c>
      <c r="K660" s="1">
        <v>1429</v>
      </c>
      <c r="L660" s="1">
        <v>172</v>
      </c>
      <c r="M660" s="1">
        <f t="shared" si="53"/>
        <v>360</v>
      </c>
      <c r="N660" s="1">
        <v>360</v>
      </c>
      <c r="O660" s="1">
        <f t="shared" si="54"/>
        <v>0</v>
      </c>
      <c r="P660" s="1">
        <v>0</v>
      </c>
      <c r="Q660" s="1" t="s">
        <v>19</v>
      </c>
      <c r="R660" s="1" t="s">
        <v>26</v>
      </c>
    </row>
    <row r="661" spans="1:18" x14ac:dyDescent="0.35">
      <c r="A661" s="1" t="s">
        <v>692</v>
      </c>
      <c r="B661" s="1" t="str">
        <f t="shared" si="50"/>
        <v>Unknown</v>
      </c>
      <c r="C661" s="1"/>
      <c r="D661" s="1" t="str">
        <f t="shared" si="51"/>
        <v>No</v>
      </c>
      <c r="E661" s="1" t="s">
        <v>36</v>
      </c>
      <c r="F661" s="1">
        <v>2</v>
      </c>
      <c r="G661" s="1" t="s">
        <v>25</v>
      </c>
      <c r="H661" s="1" t="str">
        <f t="shared" si="52"/>
        <v>No</v>
      </c>
      <c r="I661" s="1"/>
      <c r="J661" s="1">
        <v>10448</v>
      </c>
      <c r="K661" s="1">
        <v>8980</v>
      </c>
      <c r="L661" s="1">
        <v>663</v>
      </c>
      <c r="M661" s="1">
        <f t="shared" si="53"/>
        <v>120</v>
      </c>
      <c r="N661" s="1">
        <v>120</v>
      </c>
      <c r="O661" s="1">
        <f t="shared" si="54"/>
        <v>0</v>
      </c>
      <c r="P661" s="1"/>
      <c r="Q661" s="1" t="s">
        <v>19</v>
      </c>
      <c r="R661" s="1" t="s">
        <v>26</v>
      </c>
    </row>
    <row r="662" spans="1:18" x14ac:dyDescent="0.35">
      <c r="A662" s="1" t="s">
        <v>693</v>
      </c>
      <c r="B662" s="1" t="str">
        <f t="shared" si="50"/>
        <v>Female</v>
      </c>
      <c r="C662" s="1" t="s">
        <v>61</v>
      </c>
      <c r="D662" s="1" t="str">
        <f t="shared" si="51"/>
        <v>Yes</v>
      </c>
      <c r="E662" s="1" t="s">
        <v>24</v>
      </c>
      <c r="F662" s="1">
        <v>0</v>
      </c>
      <c r="G662" s="1" t="s">
        <v>25</v>
      </c>
      <c r="H662" s="1" t="str">
        <f t="shared" si="52"/>
        <v>Yes</v>
      </c>
      <c r="I662" s="1" t="s">
        <v>29</v>
      </c>
      <c r="J662" s="1">
        <v>15685</v>
      </c>
      <c r="K662" s="1">
        <v>9992</v>
      </c>
      <c r="L662" s="1">
        <v>414</v>
      </c>
      <c r="M662" s="1">
        <f t="shared" si="53"/>
        <v>180</v>
      </c>
      <c r="N662" s="1">
        <v>180</v>
      </c>
      <c r="O662" s="1">
        <f t="shared" si="54"/>
        <v>0</v>
      </c>
      <c r="P662" s="1">
        <v>0</v>
      </c>
      <c r="Q662" s="1" t="s">
        <v>19</v>
      </c>
      <c r="R662" s="1" t="s">
        <v>20</v>
      </c>
    </row>
    <row r="663" spans="1:18" x14ac:dyDescent="0.35">
      <c r="A663" s="1" t="s">
        <v>694</v>
      </c>
      <c r="B663" s="1" t="str">
        <f t="shared" si="50"/>
        <v>Unknown</v>
      </c>
      <c r="C663" s="1"/>
      <c r="D663" s="1" t="str">
        <f t="shared" si="51"/>
        <v>No</v>
      </c>
      <c r="E663" s="1"/>
      <c r="F663" s="1">
        <v>0</v>
      </c>
      <c r="G663" s="1" t="s">
        <v>17</v>
      </c>
      <c r="H663" s="1" t="str">
        <f t="shared" si="52"/>
        <v>Yes</v>
      </c>
      <c r="I663" s="1" t="s">
        <v>15</v>
      </c>
      <c r="J663" s="1">
        <v>3040</v>
      </c>
      <c r="K663" s="1">
        <v>8635</v>
      </c>
      <c r="L663" s="1">
        <v>475</v>
      </c>
      <c r="M663" s="1">
        <f t="shared" si="53"/>
        <v>360</v>
      </c>
      <c r="N663" s="1">
        <v>360</v>
      </c>
      <c r="O663" s="1">
        <f t="shared" si="54"/>
        <v>1</v>
      </c>
      <c r="P663" s="1">
        <v>1</v>
      </c>
      <c r="Q663" s="1" t="s">
        <v>30</v>
      </c>
      <c r="R663" s="1" t="s">
        <v>26</v>
      </c>
    </row>
    <row r="664" spans="1:18" x14ac:dyDescent="0.35">
      <c r="A664" s="1" t="s">
        <v>695</v>
      </c>
      <c r="B664" s="1" t="str">
        <f t="shared" si="50"/>
        <v>Female</v>
      </c>
      <c r="C664" s="1" t="s">
        <v>43</v>
      </c>
      <c r="D664" s="1" t="str">
        <f t="shared" si="51"/>
        <v>No</v>
      </c>
      <c r="E664" s="1"/>
      <c r="F664" s="1">
        <v>1</v>
      </c>
      <c r="G664" s="1" t="s">
        <v>17</v>
      </c>
      <c r="H664" s="1" t="str">
        <f t="shared" si="52"/>
        <v>No</v>
      </c>
      <c r="I664" s="1"/>
      <c r="J664" s="1">
        <v>12896</v>
      </c>
      <c r="K664" s="1">
        <v>5200</v>
      </c>
      <c r="L664" s="1">
        <v>208</v>
      </c>
      <c r="M664" s="1">
        <f t="shared" si="53"/>
        <v>360</v>
      </c>
      <c r="N664" s="1">
        <v>360</v>
      </c>
      <c r="O664" s="1">
        <f t="shared" si="54"/>
        <v>0</v>
      </c>
      <c r="P664" s="1">
        <v>0</v>
      </c>
      <c r="Q664" s="1" t="s">
        <v>41</v>
      </c>
      <c r="R664" s="1" t="s">
        <v>20</v>
      </c>
    </row>
    <row r="665" spans="1:18" x14ac:dyDescent="0.35">
      <c r="A665" s="1" t="s">
        <v>696</v>
      </c>
      <c r="B665" s="1" t="str">
        <f t="shared" si="50"/>
        <v>Unknown</v>
      </c>
      <c r="C665" s="1"/>
      <c r="D665" s="1" t="str">
        <f t="shared" si="51"/>
        <v>No</v>
      </c>
      <c r="E665" s="1"/>
      <c r="F665" s="1">
        <v>0</v>
      </c>
      <c r="G665" s="1" t="s">
        <v>25</v>
      </c>
      <c r="H665" s="1" t="str">
        <f t="shared" si="52"/>
        <v>Yes</v>
      </c>
      <c r="I665" s="1" t="s">
        <v>24</v>
      </c>
      <c r="J665" s="1">
        <v>10185</v>
      </c>
      <c r="K665" s="1">
        <v>8311</v>
      </c>
      <c r="L665" s="1">
        <v>416</v>
      </c>
      <c r="M665" s="1">
        <f t="shared" si="53"/>
        <v>120</v>
      </c>
      <c r="N665" s="1">
        <v>120</v>
      </c>
      <c r="O665" s="1">
        <f t="shared" si="54"/>
        <v>0</v>
      </c>
      <c r="P665" s="1">
        <v>0</v>
      </c>
      <c r="Q665" s="1" t="s">
        <v>19</v>
      </c>
      <c r="R665" s="1" t="s">
        <v>20</v>
      </c>
    </row>
    <row r="666" spans="1:18" x14ac:dyDescent="0.35">
      <c r="A666" s="1" t="s">
        <v>697</v>
      </c>
      <c r="B666" s="1" t="str">
        <f t="shared" si="50"/>
        <v>Unknown</v>
      </c>
      <c r="C666" s="1"/>
      <c r="D666" s="1" t="str">
        <f t="shared" si="51"/>
        <v>Yes</v>
      </c>
      <c r="E666" s="1" t="s">
        <v>29</v>
      </c>
      <c r="F666" s="1">
        <v>0</v>
      </c>
      <c r="G666" s="1" t="s">
        <v>25</v>
      </c>
      <c r="H666" s="1" t="str">
        <f t="shared" si="52"/>
        <v>No</v>
      </c>
      <c r="I666" s="1"/>
      <c r="J666" s="1">
        <v>6566</v>
      </c>
      <c r="K666" s="1">
        <v>8636</v>
      </c>
      <c r="L666" s="1">
        <v>461</v>
      </c>
      <c r="M666" s="1">
        <f t="shared" si="53"/>
        <v>180</v>
      </c>
      <c r="N666" s="1">
        <v>180</v>
      </c>
      <c r="O666" s="1">
        <f t="shared" si="54"/>
        <v>1</v>
      </c>
      <c r="P666" s="1">
        <v>1</v>
      </c>
      <c r="Q666" s="1" t="s">
        <v>30</v>
      </c>
      <c r="R666" s="1" t="s">
        <v>20</v>
      </c>
    </row>
    <row r="667" spans="1:18" x14ac:dyDescent="0.35">
      <c r="A667" s="1" t="s">
        <v>698</v>
      </c>
      <c r="B667" s="1" t="str">
        <f t="shared" si="50"/>
        <v>Female</v>
      </c>
      <c r="C667" s="1" t="s">
        <v>43</v>
      </c>
      <c r="D667" s="1" t="str">
        <f t="shared" si="51"/>
        <v>Yes</v>
      </c>
      <c r="E667" s="1" t="s">
        <v>24</v>
      </c>
      <c r="F667" s="1" t="s">
        <v>16</v>
      </c>
      <c r="G667" s="1" t="s">
        <v>17</v>
      </c>
      <c r="H667" s="1" t="str">
        <f t="shared" si="52"/>
        <v>Yes</v>
      </c>
      <c r="I667" s="1" t="s">
        <v>29</v>
      </c>
      <c r="J667" s="1">
        <v>9053</v>
      </c>
      <c r="K667" s="1">
        <v>7805</v>
      </c>
      <c r="L667" s="1">
        <v>328</v>
      </c>
      <c r="M667" s="1">
        <f t="shared" si="53"/>
        <v>180</v>
      </c>
      <c r="N667" s="1">
        <v>180</v>
      </c>
      <c r="O667" s="1">
        <f t="shared" si="54"/>
        <v>0</v>
      </c>
      <c r="P667" s="1"/>
      <c r="Q667" s="1" t="s">
        <v>41</v>
      </c>
      <c r="R667" s="1" t="s">
        <v>20</v>
      </c>
    </row>
    <row r="668" spans="1:18" x14ac:dyDescent="0.35">
      <c r="A668" s="1" t="s">
        <v>699</v>
      </c>
      <c r="B668" s="1" t="str">
        <f t="shared" si="50"/>
        <v>Female</v>
      </c>
      <c r="C668" s="1" t="s">
        <v>28</v>
      </c>
      <c r="D668" s="1" t="str">
        <f t="shared" si="51"/>
        <v>Yes</v>
      </c>
      <c r="E668" s="1" t="s">
        <v>15</v>
      </c>
      <c r="F668" s="1">
        <v>2</v>
      </c>
      <c r="G668" s="1" t="s">
        <v>17</v>
      </c>
      <c r="H668" s="1" t="str">
        <f t="shared" si="52"/>
        <v>Yes</v>
      </c>
      <c r="I668" s="1" t="s">
        <v>29</v>
      </c>
      <c r="J668" s="1">
        <v>10124</v>
      </c>
      <c r="K668" s="1">
        <v>9688</v>
      </c>
      <c r="L668" s="1">
        <v>196</v>
      </c>
      <c r="M668" s="1">
        <f t="shared" si="53"/>
        <v>120</v>
      </c>
      <c r="N668" s="1">
        <v>120</v>
      </c>
      <c r="O668" s="1">
        <f t="shared" si="54"/>
        <v>0</v>
      </c>
      <c r="P668" s="1"/>
      <c r="Q668" s="1" t="s">
        <v>19</v>
      </c>
      <c r="R668" s="1" t="s">
        <v>26</v>
      </c>
    </row>
    <row r="669" spans="1:18" x14ac:dyDescent="0.35">
      <c r="A669" s="1" t="s">
        <v>700</v>
      </c>
      <c r="B669" s="1" t="str">
        <f t="shared" si="50"/>
        <v>Male</v>
      </c>
      <c r="C669" s="1" t="s">
        <v>33</v>
      </c>
      <c r="D669" s="1" t="str">
        <f t="shared" si="51"/>
        <v>Yes</v>
      </c>
      <c r="E669" s="1" t="s">
        <v>15</v>
      </c>
      <c r="F669" s="1">
        <v>2</v>
      </c>
      <c r="G669" s="1" t="s">
        <v>25</v>
      </c>
      <c r="H669" s="1" t="str">
        <f t="shared" si="52"/>
        <v>Yes</v>
      </c>
      <c r="I669" s="1" t="s">
        <v>15</v>
      </c>
      <c r="J669" s="1">
        <v>17968</v>
      </c>
      <c r="K669" s="1">
        <v>658</v>
      </c>
      <c r="L669" s="1">
        <v>556</v>
      </c>
      <c r="M669" s="1">
        <f t="shared" si="53"/>
        <v>360</v>
      </c>
      <c r="N669" s="1">
        <v>360</v>
      </c>
      <c r="O669" s="1">
        <f t="shared" si="54"/>
        <v>1</v>
      </c>
      <c r="P669" s="1">
        <v>1</v>
      </c>
      <c r="Q669" s="1" t="s">
        <v>30</v>
      </c>
      <c r="R669" s="1" t="s">
        <v>20</v>
      </c>
    </row>
    <row r="670" spans="1:18" x14ac:dyDescent="0.35">
      <c r="A670" s="1" t="s">
        <v>701</v>
      </c>
      <c r="B670" s="1" t="str">
        <f t="shared" si="50"/>
        <v>Unknown</v>
      </c>
      <c r="C670" s="1"/>
      <c r="D670" s="1" t="str">
        <f t="shared" si="51"/>
        <v>No</v>
      </c>
      <c r="E670" s="1" t="s">
        <v>22</v>
      </c>
      <c r="F670" s="1">
        <v>0</v>
      </c>
      <c r="G670" s="1" t="s">
        <v>17</v>
      </c>
      <c r="H670" s="1" t="str">
        <f t="shared" si="52"/>
        <v>Yes</v>
      </c>
      <c r="I670" s="1" t="s">
        <v>24</v>
      </c>
      <c r="J670" s="1">
        <v>19099</v>
      </c>
      <c r="K670" s="1">
        <v>4126</v>
      </c>
      <c r="L670" s="1">
        <v>170</v>
      </c>
      <c r="M670" s="1">
        <f t="shared" si="53"/>
        <v>180</v>
      </c>
      <c r="N670" s="1">
        <v>180</v>
      </c>
      <c r="O670" s="1">
        <f t="shared" si="54"/>
        <v>1</v>
      </c>
      <c r="P670" s="1">
        <v>1</v>
      </c>
      <c r="Q670" s="1" t="s">
        <v>19</v>
      </c>
      <c r="R670" s="1" t="s">
        <v>20</v>
      </c>
    </row>
    <row r="671" spans="1:18" x14ac:dyDescent="0.35">
      <c r="A671" s="1" t="s">
        <v>702</v>
      </c>
      <c r="B671" s="1" t="str">
        <f t="shared" si="50"/>
        <v>Female</v>
      </c>
      <c r="C671" s="1" t="s">
        <v>28</v>
      </c>
      <c r="D671" s="1" t="str">
        <f t="shared" si="51"/>
        <v>No</v>
      </c>
      <c r="E671" s="1"/>
      <c r="F671" s="1">
        <v>2</v>
      </c>
      <c r="G671" s="1" t="s">
        <v>17</v>
      </c>
      <c r="H671" s="1" t="str">
        <f t="shared" si="52"/>
        <v>No</v>
      </c>
      <c r="I671" s="1"/>
      <c r="J671" s="1">
        <v>15462</v>
      </c>
      <c r="K671" s="1">
        <v>926</v>
      </c>
      <c r="L671" s="1">
        <v>297</v>
      </c>
      <c r="M671" s="1">
        <f t="shared" si="53"/>
        <v>180</v>
      </c>
      <c r="N671" s="1">
        <v>180</v>
      </c>
      <c r="O671" s="1">
        <f t="shared" si="54"/>
        <v>1</v>
      </c>
      <c r="P671" s="1">
        <v>1</v>
      </c>
      <c r="Q671" s="1" t="s">
        <v>19</v>
      </c>
      <c r="R671" s="1" t="s">
        <v>20</v>
      </c>
    </row>
    <row r="672" spans="1:18" x14ac:dyDescent="0.35">
      <c r="A672" s="1" t="s">
        <v>703</v>
      </c>
      <c r="B672" s="1" t="str">
        <f t="shared" si="50"/>
        <v>Unknown</v>
      </c>
      <c r="C672" s="1"/>
      <c r="D672" s="1" t="str">
        <f t="shared" si="51"/>
        <v>No</v>
      </c>
      <c r="E672" s="1"/>
      <c r="F672" s="1">
        <v>0</v>
      </c>
      <c r="G672" s="1" t="s">
        <v>17</v>
      </c>
      <c r="H672" s="1" t="str">
        <f t="shared" si="52"/>
        <v>No</v>
      </c>
      <c r="I672" s="1"/>
      <c r="J672" s="1">
        <v>6724</v>
      </c>
      <c r="K672" s="1">
        <v>9432</v>
      </c>
      <c r="L672" s="1">
        <v>187</v>
      </c>
      <c r="M672" s="1">
        <f t="shared" si="53"/>
        <v>360</v>
      </c>
      <c r="N672" s="1">
        <v>360</v>
      </c>
      <c r="O672" s="1">
        <f t="shared" si="54"/>
        <v>0</v>
      </c>
      <c r="P672" s="1">
        <v>0</v>
      </c>
      <c r="Q672" s="1" t="s">
        <v>19</v>
      </c>
      <c r="R672" s="1" t="s">
        <v>20</v>
      </c>
    </row>
    <row r="673" spans="1:18" x14ac:dyDescent="0.35">
      <c r="A673" s="1" t="s">
        <v>704</v>
      </c>
      <c r="B673" s="1" t="str">
        <f t="shared" si="50"/>
        <v>Female</v>
      </c>
      <c r="C673" s="1" t="s">
        <v>43</v>
      </c>
      <c r="D673" s="1" t="str">
        <f t="shared" si="51"/>
        <v>No</v>
      </c>
      <c r="E673" s="1" t="s">
        <v>22</v>
      </c>
      <c r="F673" s="1" t="s">
        <v>16</v>
      </c>
      <c r="G673" s="1" t="s">
        <v>25</v>
      </c>
      <c r="H673" s="1" t="str">
        <f t="shared" si="52"/>
        <v>No</v>
      </c>
      <c r="I673" s="1"/>
      <c r="J673" s="1">
        <v>16042</v>
      </c>
      <c r="K673" s="1">
        <v>8133</v>
      </c>
      <c r="L673" s="1">
        <v>607</v>
      </c>
      <c r="M673" s="1">
        <f t="shared" si="53"/>
        <v>360</v>
      </c>
      <c r="N673" s="1"/>
      <c r="O673" s="1">
        <f t="shared" si="54"/>
        <v>1</v>
      </c>
      <c r="P673" s="1">
        <v>1</v>
      </c>
      <c r="Q673" s="1" t="s">
        <v>30</v>
      </c>
      <c r="R673" s="1" t="s">
        <v>26</v>
      </c>
    </row>
    <row r="674" spans="1:18" x14ac:dyDescent="0.35">
      <c r="A674" s="1" t="s">
        <v>705</v>
      </c>
      <c r="B674" s="1" t="str">
        <f t="shared" si="50"/>
        <v>Female</v>
      </c>
      <c r="C674" s="1" t="s">
        <v>28</v>
      </c>
      <c r="D674" s="1" t="str">
        <f t="shared" si="51"/>
        <v>No</v>
      </c>
      <c r="E674" s="1"/>
      <c r="F674" s="1">
        <v>2</v>
      </c>
      <c r="G674" s="1" t="s">
        <v>25</v>
      </c>
      <c r="H674" s="1" t="str">
        <f t="shared" si="52"/>
        <v>No</v>
      </c>
      <c r="I674" s="1"/>
      <c r="J674" s="1">
        <v>19480</v>
      </c>
      <c r="K674" s="1">
        <v>2790</v>
      </c>
      <c r="L674" s="1">
        <v>66</v>
      </c>
      <c r="M674" s="1">
        <f t="shared" si="53"/>
        <v>360</v>
      </c>
      <c r="N674" s="1"/>
      <c r="O674" s="1">
        <f t="shared" si="54"/>
        <v>1</v>
      </c>
      <c r="P674" s="1">
        <v>1</v>
      </c>
      <c r="Q674" s="1" t="s">
        <v>41</v>
      </c>
      <c r="R674" s="1" t="s">
        <v>20</v>
      </c>
    </row>
    <row r="675" spans="1:18" x14ac:dyDescent="0.35">
      <c r="A675" s="1" t="s">
        <v>706</v>
      </c>
      <c r="B675" s="1" t="str">
        <f t="shared" si="50"/>
        <v>Female</v>
      </c>
      <c r="C675" s="1" t="s">
        <v>28</v>
      </c>
      <c r="D675" s="1" t="str">
        <f t="shared" si="51"/>
        <v>Yes</v>
      </c>
      <c r="E675" s="1" t="s">
        <v>15</v>
      </c>
      <c r="F675" s="1">
        <v>1</v>
      </c>
      <c r="G675" s="1" t="s">
        <v>17</v>
      </c>
      <c r="H675" s="1" t="str">
        <f t="shared" si="52"/>
        <v>No</v>
      </c>
      <c r="I675" s="1"/>
      <c r="J675" s="1">
        <v>13558</v>
      </c>
      <c r="K675" s="1">
        <v>2608</v>
      </c>
      <c r="L675" s="1">
        <v>494</v>
      </c>
      <c r="M675" s="1">
        <f t="shared" si="53"/>
        <v>180</v>
      </c>
      <c r="N675" s="1">
        <v>180</v>
      </c>
      <c r="O675" s="1">
        <f t="shared" si="54"/>
        <v>0</v>
      </c>
      <c r="P675" s="1"/>
      <c r="Q675" s="1" t="s">
        <v>41</v>
      </c>
      <c r="R675" s="1" t="s">
        <v>26</v>
      </c>
    </row>
    <row r="676" spans="1:18" x14ac:dyDescent="0.35">
      <c r="A676" s="1" t="s">
        <v>707</v>
      </c>
      <c r="B676" s="1" t="str">
        <f t="shared" si="50"/>
        <v>Unknown</v>
      </c>
      <c r="C676" s="1"/>
      <c r="D676" s="1" t="str">
        <f t="shared" si="51"/>
        <v>No</v>
      </c>
      <c r="E676" s="1" t="s">
        <v>36</v>
      </c>
      <c r="F676" s="1">
        <v>0</v>
      </c>
      <c r="G676" s="1" t="s">
        <v>17</v>
      </c>
      <c r="H676" s="1" t="str">
        <f t="shared" si="52"/>
        <v>Yes</v>
      </c>
      <c r="I676" s="1" t="s">
        <v>29</v>
      </c>
      <c r="J676" s="1">
        <v>6802</v>
      </c>
      <c r="K676" s="1">
        <v>3818</v>
      </c>
      <c r="L676" s="1">
        <v>168</v>
      </c>
      <c r="M676" s="1">
        <f t="shared" si="53"/>
        <v>180</v>
      </c>
      <c r="N676" s="1">
        <v>180</v>
      </c>
      <c r="O676" s="1">
        <f t="shared" si="54"/>
        <v>0</v>
      </c>
      <c r="P676" s="1"/>
      <c r="Q676" s="1" t="s">
        <v>19</v>
      </c>
      <c r="R676" s="1" t="s">
        <v>20</v>
      </c>
    </row>
    <row r="677" spans="1:18" x14ac:dyDescent="0.35">
      <c r="A677" s="1" t="s">
        <v>708</v>
      </c>
      <c r="B677" s="1" t="str">
        <f t="shared" si="50"/>
        <v>Unknown</v>
      </c>
      <c r="C677" s="1"/>
      <c r="D677" s="1" t="str">
        <f t="shared" si="51"/>
        <v>Yes</v>
      </c>
      <c r="E677" s="1" t="s">
        <v>29</v>
      </c>
      <c r="F677" s="1">
        <v>0</v>
      </c>
      <c r="G677" s="1" t="s">
        <v>25</v>
      </c>
      <c r="H677" s="1" t="str">
        <f t="shared" si="52"/>
        <v>No</v>
      </c>
      <c r="I677" s="1"/>
      <c r="J677" s="1">
        <v>8183</v>
      </c>
      <c r="K677" s="1">
        <v>4026</v>
      </c>
      <c r="L677" s="1">
        <v>604</v>
      </c>
      <c r="M677" s="1">
        <f t="shared" si="53"/>
        <v>180</v>
      </c>
      <c r="N677" s="1">
        <v>180</v>
      </c>
      <c r="O677" s="1">
        <f t="shared" si="54"/>
        <v>1</v>
      </c>
      <c r="P677" s="1">
        <v>1</v>
      </c>
      <c r="Q677" s="1" t="s">
        <v>30</v>
      </c>
      <c r="R677" s="1" t="s">
        <v>20</v>
      </c>
    </row>
    <row r="678" spans="1:18" x14ac:dyDescent="0.35">
      <c r="A678" s="1" t="s">
        <v>709</v>
      </c>
      <c r="B678" s="1" t="str">
        <f t="shared" si="50"/>
        <v>Female</v>
      </c>
      <c r="C678" s="1" t="s">
        <v>28</v>
      </c>
      <c r="D678" s="1" t="str">
        <f t="shared" si="51"/>
        <v>No</v>
      </c>
      <c r="E678" s="1"/>
      <c r="F678" s="1">
        <v>1</v>
      </c>
      <c r="G678" s="1" t="s">
        <v>25</v>
      </c>
      <c r="H678" s="1" t="str">
        <f t="shared" si="52"/>
        <v>Yes</v>
      </c>
      <c r="I678" s="1" t="s">
        <v>29</v>
      </c>
      <c r="J678" s="1">
        <v>4810</v>
      </c>
      <c r="K678" s="1">
        <v>6368</v>
      </c>
      <c r="L678" s="1">
        <v>495</v>
      </c>
      <c r="M678" s="1">
        <f t="shared" si="53"/>
        <v>120</v>
      </c>
      <c r="N678" s="1">
        <v>120</v>
      </c>
      <c r="O678" s="1">
        <f t="shared" si="54"/>
        <v>0</v>
      </c>
      <c r="P678" s="1">
        <v>0</v>
      </c>
      <c r="Q678" s="1" t="s">
        <v>41</v>
      </c>
      <c r="R678" s="1" t="s">
        <v>20</v>
      </c>
    </row>
    <row r="679" spans="1:18" x14ac:dyDescent="0.35">
      <c r="A679" s="1" t="s">
        <v>710</v>
      </c>
      <c r="B679" s="1" t="str">
        <f t="shared" si="50"/>
        <v>Male</v>
      </c>
      <c r="C679" s="1" t="s">
        <v>52</v>
      </c>
      <c r="D679" s="1" t="str">
        <f t="shared" si="51"/>
        <v>Yes</v>
      </c>
      <c r="E679" s="1" t="s">
        <v>15</v>
      </c>
      <c r="F679" s="1" t="s">
        <v>16</v>
      </c>
      <c r="G679" s="1" t="s">
        <v>25</v>
      </c>
      <c r="H679" s="1" t="str">
        <f t="shared" si="52"/>
        <v>No</v>
      </c>
      <c r="I679" s="1"/>
      <c r="J679" s="1">
        <v>7923</v>
      </c>
      <c r="K679" s="1">
        <v>306</v>
      </c>
      <c r="L679" s="1">
        <v>631</v>
      </c>
      <c r="M679" s="1">
        <f t="shared" si="53"/>
        <v>360</v>
      </c>
      <c r="N679" s="1"/>
      <c r="O679" s="1">
        <f t="shared" si="54"/>
        <v>0</v>
      </c>
      <c r="P679" s="1">
        <v>0</v>
      </c>
      <c r="Q679" s="1" t="s">
        <v>41</v>
      </c>
      <c r="R679" s="1" t="s">
        <v>26</v>
      </c>
    </row>
    <row r="680" spans="1:18" x14ac:dyDescent="0.35">
      <c r="A680" s="1" t="s">
        <v>711</v>
      </c>
      <c r="B680" s="1" t="str">
        <f t="shared" si="50"/>
        <v>Unknown</v>
      </c>
      <c r="C680" s="1"/>
      <c r="D680" s="1" t="str">
        <f t="shared" si="51"/>
        <v>Yes</v>
      </c>
      <c r="E680" s="1" t="s">
        <v>15</v>
      </c>
      <c r="F680" s="1">
        <v>0</v>
      </c>
      <c r="G680" s="1" t="s">
        <v>25</v>
      </c>
      <c r="H680" s="1" t="str">
        <f t="shared" si="52"/>
        <v>No</v>
      </c>
      <c r="I680" s="1" t="s">
        <v>18</v>
      </c>
      <c r="J680" s="1">
        <v>9361</v>
      </c>
      <c r="K680" s="1">
        <v>5773</v>
      </c>
      <c r="L680" s="1">
        <v>303</v>
      </c>
      <c r="M680" s="1">
        <f t="shared" si="53"/>
        <v>180</v>
      </c>
      <c r="N680" s="1">
        <v>180</v>
      </c>
      <c r="O680" s="1">
        <f t="shared" si="54"/>
        <v>1</v>
      </c>
      <c r="P680" s="1">
        <v>1</v>
      </c>
      <c r="Q680" s="1" t="s">
        <v>30</v>
      </c>
      <c r="R680" s="1" t="s">
        <v>20</v>
      </c>
    </row>
    <row r="681" spans="1:18" x14ac:dyDescent="0.35">
      <c r="A681" s="1" t="s">
        <v>712</v>
      </c>
      <c r="B681" s="1" t="str">
        <f t="shared" si="50"/>
        <v>Male</v>
      </c>
      <c r="C681" s="1" t="s">
        <v>14</v>
      </c>
      <c r="D681" s="1" t="str">
        <f t="shared" si="51"/>
        <v>No</v>
      </c>
      <c r="E681" s="1" t="s">
        <v>36</v>
      </c>
      <c r="F681" s="1">
        <v>0</v>
      </c>
      <c r="G681" s="1" t="s">
        <v>25</v>
      </c>
      <c r="H681" s="1" t="str">
        <f t="shared" si="52"/>
        <v>No</v>
      </c>
      <c r="I681" s="1" t="s">
        <v>18</v>
      </c>
      <c r="J681" s="1">
        <v>9230</v>
      </c>
      <c r="K681" s="1">
        <v>7970</v>
      </c>
      <c r="L681" s="1">
        <v>606</v>
      </c>
      <c r="M681" s="1">
        <f t="shared" si="53"/>
        <v>120</v>
      </c>
      <c r="N681" s="1">
        <v>120</v>
      </c>
      <c r="O681" s="1">
        <f t="shared" si="54"/>
        <v>0</v>
      </c>
      <c r="P681" s="1">
        <v>0</v>
      </c>
      <c r="Q681" s="1" t="s">
        <v>30</v>
      </c>
      <c r="R681" s="1" t="s">
        <v>26</v>
      </c>
    </row>
    <row r="682" spans="1:18" x14ac:dyDescent="0.35">
      <c r="A682" s="1" t="s">
        <v>713</v>
      </c>
      <c r="B682" s="1" t="str">
        <f t="shared" si="50"/>
        <v>Male</v>
      </c>
      <c r="C682" s="1" t="s">
        <v>52</v>
      </c>
      <c r="D682" s="1" t="str">
        <f t="shared" si="51"/>
        <v>No</v>
      </c>
      <c r="E682" s="1" t="s">
        <v>18</v>
      </c>
      <c r="F682" s="1">
        <v>2</v>
      </c>
      <c r="G682" s="1" t="s">
        <v>17</v>
      </c>
      <c r="H682" s="1" t="str">
        <f t="shared" si="52"/>
        <v>No</v>
      </c>
      <c r="I682" s="1" t="s">
        <v>22</v>
      </c>
      <c r="J682" s="1">
        <v>15148</v>
      </c>
      <c r="K682" s="1">
        <v>1794</v>
      </c>
      <c r="L682" s="1">
        <v>93</v>
      </c>
      <c r="M682" s="1">
        <f t="shared" si="53"/>
        <v>360</v>
      </c>
      <c r="N682" s="1">
        <v>360</v>
      </c>
      <c r="O682" s="1">
        <f t="shared" si="54"/>
        <v>0</v>
      </c>
      <c r="P682" s="1"/>
      <c r="Q682" s="1" t="s">
        <v>19</v>
      </c>
      <c r="R682" s="1" t="s">
        <v>20</v>
      </c>
    </row>
    <row r="683" spans="1:18" x14ac:dyDescent="0.35">
      <c r="A683" s="1" t="s">
        <v>714</v>
      </c>
      <c r="B683" s="1" t="str">
        <f t="shared" si="50"/>
        <v>Unknown</v>
      </c>
      <c r="C683" s="1"/>
      <c r="D683" s="1" t="str">
        <f t="shared" si="51"/>
        <v>No</v>
      </c>
      <c r="E683" s="1"/>
      <c r="F683" s="1">
        <v>2</v>
      </c>
      <c r="G683" s="1" t="s">
        <v>17</v>
      </c>
      <c r="H683" s="1" t="str">
        <f t="shared" si="52"/>
        <v>No</v>
      </c>
      <c r="I683" s="1" t="s">
        <v>36</v>
      </c>
      <c r="J683" s="1">
        <v>14277</v>
      </c>
      <c r="K683" s="1">
        <v>9897</v>
      </c>
      <c r="L683" s="1">
        <v>418</v>
      </c>
      <c r="M683" s="1">
        <f t="shared" si="53"/>
        <v>360</v>
      </c>
      <c r="N683" s="1">
        <v>360</v>
      </c>
      <c r="O683" s="1">
        <f t="shared" si="54"/>
        <v>0</v>
      </c>
      <c r="P683" s="1"/>
      <c r="Q683" s="1" t="s">
        <v>19</v>
      </c>
      <c r="R683" s="1" t="s">
        <v>20</v>
      </c>
    </row>
    <row r="684" spans="1:18" x14ac:dyDescent="0.35">
      <c r="A684" s="1" t="s">
        <v>715</v>
      </c>
      <c r="B684" s="1" t="str">
        <f t="shared" si="50"/>
        <v>Unknown</v>
      </c>
      <c r="C684" s="1"/>
      <c r="D684" s="1" t="str">
        <f t="shared" si="51"/>
        <v>No</v>
      </c>
      <c r="E684" s="1"/>
      <c r="F684" s="1">
        <v>1</v>
      </c>
      <c r="G684" s="1" t="s">
        <v>25</v>
      </c>
      <c r="H684" s="1" t="str">
        <f t="shared" si="52"/>
        <v>No</v>
      </c>
      <c r="I684" s="1"/>
      <c r="J684" s="1">
        <v>2603</v>
      </c>
      <c r="K684" s="1">
        <v>3674</v>
      </c>
      <c r="L684" s="1">
        <v>91</v>
      </c>
      <c r="M684" s="1">
        <f t="shared" si="53"/>
        <v>360</v>
      </c>
      <c r="N684" s="1">
        <v>360</v>
      </c>
      <c r="O684" s="1">
        <f t="shared" si="54"/>
        <v>1</v>
      </c>
      <c r="P684" s="1">
        <v>1</v>
      </c>
      <c r="Q684" s="1" t="s">
        <v>19</v>
      </c>
      <c r="R684" s="1" t="s">
        <v>26</v>
      </c>
    </row>
    <row r="685" spans="1:18" x14ac:dyDescent="0.35">
      <c r="A685" s="1" t="s">
        <v>716</v>
      </c>
      <c r="B685" s="1" t="str">
        <f t="shared" si="50"/>
        <v>Male</v>
      </c>
      <c r="C685" s="1" t="s">
        <v>14</v>
      </c>
      <c r="D685" s="1" t="str">
        <f t="shared" si="51"/>
        <v>Yes</v>
      </c>
      <c r="E685" s="1" t="s">
        <v>15</v>
      </c>
      <c r="F685" s="1">
        <v>0</v>
      </c>
      <c r="G685" s="1" t="s">
        <v>17</v>
      </c>
      <c r="H685" s="1" t="str">
        <f t="shared" si="52"/>
        <v>Yes</v>
      </c>
      <c r="I685" s="1" t="s">
        <v>24</v>
      </c>
      <c r="J685" s="1">
        <v>5385</v>
      </c>
      <c r="K685" s="1">
        <v>2953</v>
      </c>
      <c r="L685" s="1">
        <v>421</v>
      </c>
      <c r="M685" s="1">
        <f t="shared" si="53"/>
        <v>120</v>
      </c>
      <c r="N685" s="1">
        <v>120</v>
      </c>
      <c r="O685" s="1">
        <f t="shared" si="54"/>
        <v>1</v>
      </c>
      <c r="P685" s="1">
        <v>1</v>
      </c>
      <c r="Q685" s="1" t="s">
        <v>19</v>
      </c>
      <c r="R685" s="1" t="s">
        <v>26</v>
      </c>
    </row>
    <row r="686" spans="1:18" x14ac:dyDescent="0.35">
      <c r="A686" s="1" t="s">
        <v>717</v>
      </c>
      <c r="B686" s="1" t="str">
        <f t="shared" si="50"/>
        <v>Female</v>
      </c>
      <c r="C686" s="1" t="s">
        <v>43</v>
      </c>
      <c r="D686" s="1" t="str">
        <f t="shared" si="51"/>
        <v>No</v>
      </c>
      <c r="E686" s="1" t="s">
        <v>22</v>
      </c>
      <c r="F686" s="1">
        <v>2</v>
      </c>
      <c r="G686" s="1" t="s">
        <v>25</v>
      </c>
      <c r="H686" s="1" t="str">
        <f t="shared" si="52"/>
        <v>No</v>
      </c>
      <c r="I686" s="1" t="s">
        <v>36</v>
      </c>
      <c r="J686" s="1">
        <v>3601</v>
      </c>
      <c r="K686" s="1">
        <v>938</v>
      </c>
      <c r="L686" s="1">
        <v>207</v>
      </c>
      <c r="M686" s="1">
        <f t="shared" si="53"/>
        <v>360</v>
      </c>
      <c r="N686" s="1">
        <v>360</v>
      </c>
      <c r="O686" s="1">
        <f t="shared" si="54"/>
        <v>0</v>
      </c>
      <c r="P686" s="1"/>
      <c r="Q686" s="1" t="s">
        <v>41</v>
      </c>
      <c r="R686" s="1" t="s">
        <v>20</v>
      </c>
    </row>
    <row r="687" spans="1:18" x14ac:dyDescent="0.35">
      <c r="A687" s="1" t="s">
        <v>718</v>
      </c>
      <c r="B687" s="1" t="str">
        <f t="shared" si="50"/>
        <v>Unknown</v>
      </c>
      <c r="C687" s="1"/>
      <c r="D687" s="1" t="str">
        <f t="shared" si="51"/>
        <v>No</v>
      </c>
      <c r="E687" s="1" t="s">
        <v>22</v>
      </c>
      <c r="F687" s="1">
        <v>2</v>
      </c>
      <c r="G687" s="1" t="s">
        <v>17</v>
      </c>
      <c r="H687" s="1" t="str">
        <f t="shared" si="52"/>
        <v>Yes</v>
      </c>
      <c r="I687" s="1" t="s">
        <v>15</v>
      </c>
      <c r="J687" s="1">
        <v>12060</v>
      </c>
      <c r="K687" s="1">
        <v>9624</v>
      </c>
      <c r="L687" s="1">
        <v>61</v>
      </c>
      <c r="M687" s="1">
        <f t="shared" si="53"/>
        <v>120</v>
      </c>
      <c r="N687" s="1">
        <v>120</v>
      </c>
      <c r="O687" s="1">
        <f t="shared" si="54"/>
        <v>1</v>
      </c>
      <c r="P687" s="1">
        <v>1</v>
      </c>
      <c r="Q687" s="1" t="s">
        <v>41</v>
      </c>
      <c r="R687" s="1" t="s">
        <v>26</v>
      </c>
    </row>
    <row r="688" spans="1:18" x14ac:dyDescent="0.35">
      <c r="A688" s="1" t="s">
        <v>719</v>
      </c>
      <c r="B688" s="1" t="str">
        <f t="shared" si="50"/>
        <v>Unknown</v>
      </c>
      <c r="C688" s="1"/>
      <c r="D688" s="1" t="str">
        <f t="shared" si="51"/>
        <v>No</v>
      </c>
      <c r="E688" s="1" t="s">
        <v>36</v>
      </c>
      <c r="F688" s="1">
        <v>1</v>
      </c>
      <c r="G688" s="1" t="s">
        <v>17</v>
      </c>
      <c r="H688" s="1" t="str">
        <f t="shared" si="52"/>
        <v>Yes</v>
      </c>
      <c r="I688" s="1" t="s">
        <v>29</v>
      </c>
      <c r="J688" s="1">
        <v>13028</v>
      </c>
      <c r="K688" s="1">
        <v>4345</v>
      </c>
      <c r="L688" s="1">
        <v>458</v>
      </c>
      <c r="M688" s="1">
        <f t="shared" si="53"/>
        <v>120</v>
      </c>
      <c r="N688" s="1">
        <v>120</v>
      </c>
      <c r="O688" s="1">
        <f t="shared" si="54"/>
        <v>1</v>
      </c>
      <c r="P688" s="1">
        <v>1</v>
      </c>
      <c r="Q688" s="1" t="s">
        <v>30</v>
      </c>
      <c r="R688" s="1" t="s">
        <v>26</v>
      </c>
    </row>
    <row r="689" spans="1:18" x14ac:dyDescent="0.35">
      <c r="A689" s="1" t="s">
        <v>720</v>
      </c>
      <c r="B689" s="1" t="str">
        <f t="shared" si="50"/>
        <v>Female</v>
      </c>
      <c r="C689" s="1" t="s">
        <v>61</v>
      </c>
      <c r="D689" s="1" t="str">
        <f t="shared" si="51"/>
        <v>No</v>
      </c>
      <c r="E689" s="1" t="s">
        <v>36</v>
      </c>
      <c r="F689" s="1">
        <v>0</v>
      </c>
      <c r="G689" s="1" t="s">
        <v>17</v>
      </c>
      <c r="H689" s="1" t="str">
        <f t="shared" si="52"/>
        <v>No</v>
      </c>
      <c r="I689" s="1" t="s">
        <v>36</v>
      </c>
      <c r="J689" s="1">
        <v>5549</v>
      </c>
      <c r="K689" s="1">
        <v>9164</v>
      </c>
      <c r="L689" s="1">
        <v>633</v>
      </c>
      <c r="M689" s="1">
        <f t="shared" si="53"/>
        <v>360</v>
      </c>
      <c r="N689" s="1"/>
      <c r="O689" s="1">
        <f t="shared" si="54"/>
        <v>0</v>
      </c>
      <c r="P689" s="1"/>
      <c r="Q689" s="1" t="s">
        <v>19</v>
      </c>
      <c r="R689" s="1" t="s">
        <v>26</v>
      </c>
    </row>
    <row r="690" spans="1:18" x14ac:dyDescent="0.35">
      <c r="A690" s="1" t="s">
        <v>721</v>
      </c>
      <c r="B690" s="1" t="str">
        <f t="shared" si="50"/>
        <v>Unknown</v>
      </c>
      <c r="C690" s="1"/>
      <c r="D690" s="1" t="str">
        <f t="shared" si="51"/>
        <v>No</v>
      </c>
      <c r="E690" s="1"/>
      <c r="F690" s="1">
        <v>1</v>
      </c>
      <c r="G690" s="1" t="s">
        <v>25</v>
      </c>
      <c r="H690" s="1" t="str">
        <f t="shared" si="52"/>
        <v>No</v>
      </c>
      <c r="I690" s="1"/>
      <c r="J690" s="1">
        <v>17189</v>
      </c>
      <c r="K690" s="1">
        <v>3347</v>
      </c>
      <c r="L690" s="1">
        <v>391</v>
      </c>
      <c r="M690" s="1">
        <f t="shared" si="53"/>
        <v>120</v>
      </c>
      <c r="N690" s="1">
        <v>120</v>
      </c>
      <c r="O690" s="1">
        <f t="shared" si="54"/>
        <v>0</v>
      </c>
      <c r="P690" s="1"/>
      <c r="Q690" s="1" t="s">
        <v>30</v>
      </c>
      <c r="R690" s="1" t="s">
        <v>20</v>
      </c>
    </row>
    <row r="691" spans="1:18" x14ac:dyDescent="0.35">
      <c r="A691" s="1" t="s">
        <v>722</v>
      </c>
      <c r="B691" s="1" t="str">
        <f t="shared" si="50"/>
        <v>Unknown</v>
      </c>
      <c r="C691" s="1"/>
      <c r="D691" s="1" t="str">
        <f t="shared" si="51"/>
        <v>No</v>
      </c>
      <c r="E691" s="1"/>
      <c r="F691" s="1">
        <v>2</v>
      </c>
      <c r="G691" s="1" t="s">
        <v>25</v>
      </c>
      <c r="H691" s="1" t="str">
        <f t="shared" si="52"/>
        <v>No</v>
      </c>
      <c r="I691" s="1"/>
      <c r="J691" s="1">
        <v>3389</v>
      </c>
      <c r="K691" s="1">
        <v>5032</v>
      </c>
      <c r="L691" s="1">
        <v>128</v>
      </c>
      <c r="M691" s="1">
        <f t="shared" si="53"/>
        <v>360</v>
      </c>
      <c r="N691" s="1"/>
      <c r="O691" s="1">
        <f t="shared" si="54"/>
        <v>0</v>
      </c>
      <c r="P691" s="1">
        <v>0</v>
      </c>
      <c r="Q691" s="1" t="s">
        <v>19</v>
      </c>
      <c r="R691" s="1" t="s">
        <v>20</v>
      </c>
    </row>
    <row r="692" spans="1:18" x14ac:dyDescent="0.35">
      <c r="A692" s="1" t="s">
        <v>723</v>
      </c>
      <c r="B692" s="1" t="str">
        <f t="shared" si="50"/>
        <v>Female</v>
      </c>
      <c r="C692" s="1" t="s">
        <v>61</v>
      </c>
      <c r="D692" s="1" t="str">
        <f t="shared" si="51"/>
        <v>No</v>
      </c>
      <c r="E692" s="1" t="s">
        <v>18</v>
      </c>
      <c r="F692" s="1">
        <v>1</v>
      </c>
      <c r="G692" s="1" t="s">
        <v>25</v>
      </c>
      <c r="H692" s="1" t="str">
        <f t="shared" si="52"/>
        <v>No</v>
      </c>
      <c r="I692" s="1"/>
      <c r="J692" s="1">
        <v>4188</v>
      </c>
      <c r="K692" s="1">
        <v>4079</v>
      </c>
      <c r="L692" s="1">
        <v>320</v>
      </c>
      <c r="M692" s="1">
        <f t="shared" si="53"/>
        <v>120</v>
      </c>
      <c r="N692" s="1">
        <v>120</v>
      </c>
      <c r="O692" s="1">
        <f t="shared" si="54"/>
        <v>1</v>
      </c>
      <c r="P692" s="1">
        <v>1</v>
      </c>
      <c r="Q692" s="1" t="s">
        <v>41</v>
      </c>
      <c r="R692" s="1" t="s">
        <v>26</v>
      </c>
    </row>
    <row r="693" spans="1:18" x14ac:dyDescent="0.35">
      <c r="A693" s="1" t="s">
        <v>724</v>
      </c>
      <c r="B693" s="1" t="str">
        <f t="shared" si="50"/>
        <v>Female</v>
      </c>
      <c r="C693" s="1" t="s">
        <v>28</v>
      </c>
      <c r="D693" s="1" t="str">
        <f t="shared" si="51"/>
        <v>No</v>
      </c>
      <c r="E693" s="1" t="s">
        <v>22</v>
      </c>
      <c r="F693" s="1" t="s">
        <v>16</v>
      </c>
      <c r="G693" s="1" t="s">
        <v>25</v>
      </c>
      <c r="H693" s="1" t="str">
        <f t="shared" si="52"/>
        <v>No</v>
      </c>
      <c r="I693" s="1" t="s">
        <v>18</v>
      </c>
      <c r="J693" s="1">
        <v>4562</v>
      </c>
      <c r="K693" s="1">
        <v>5876</v>
      </c>
      <c r="L693" s="1">
        <v>684</v>
      </c>
      <c r="M693" s="1">
        <f t="shared" si="53"/>
        <v>360</v>
      </c>
      <c r="N693" s="1">
        <v>360</v>
      </c>
      <c r="O693" s="1">
        <f t="shared" si="54"/>
        <v>0</v>
      </c>
      <c r="P693" s="1">
        <v>0</v>
      </c>
      <c r="Q693" s="1" t="s">
        <v>19</v>
      </c>
      <c r="R693" s="1" t="s">
        <v>26</v>
      </c>
    </row>
    <row r="694" spans="1:18" x14ac:dyDescent="0.35">
      <c r="A694" s="1" t="s">
        <v>725</v>
      </c>
      <c r="B694" s="1" t="str">
        <f t="shared" si="50"/>
        <v>Male</v>
      </c>
      <c r="C694" s="1" t="s">
        <v>14</v>
      </c>
      <c r="D694" s="1" t="str">
        <f t="shared" si="51"/>
        <v>No</v>
      </c>
      <c r="E694" s="1"/>
      <c r="F694" s="1" t="s">
        <v>16</v>
      </c>
      <c r="G694" s="1" t="s">
        <v>25</v>
      </c>
      <c r="H694" s="1" t="str">
        <f t="shared" si="52"/>
        <v>No</v>
      </c>
      <c r="I694" s="1"/>
      <c r="J694" s="1">
        <v>18626</v>
      </c>
      <c r="K694" s="1">
        <v>1510</v>
      </c>
      <c r="L694" s="1">
        <v>456</v>
      </c>
      <c r="M694" s="1">
        <f t="shared" si="53"/>
        <v>360</v>
      </c>
      <c r="N694" s="1"/>
      <c r="O694" s="1">
        <f t="shared" si="54"/>
        <v>1</v>
      </c>
      <c r="P694" s="1">
        <v>1</v>
      </c>
      <c r="Q694" s="1" t="s">
        <v>30</v>
      </c>
      <c r="R694" s="1" t="s">
        <v>20</v>
      </c>
    </row>
    <row r="695" spans="1:18" x14ac:dyDescent="0.35">
      <c r="A695" s="1" t="s">
        <v>726</v>
      </c>
      <c r="B695" s="1" t="str">
        <f t="shared" si="50"/>
        <v>Unknown</v>
      </c>
      <c r="C695" s="1"/>
      <c r="D695" s="1" t="str">
        <f t="shared" si="51"/>
        <v>No</v>
      </c>
      <c r="E695" s="1" t="s">
        <v>22</v>
      </c>
      <c r="F695" s="1">
        <v>1</v>
      </c>
      <c r="G695" s="1" t="s">
        <v>25</v>
      </c>
      <c r="H695" s="1" t="str">
        <f t="shared" si="52"/>
        <v>No</v>
      </c>
      <c r="I695" s="1"/>
      <c r="J695" s="1">
        <v>9647</v>
      </c>
      <c r="K695" s="1">
        <v>2371</v>
      </c>
      <c r="L695" s="1">
        <v>657</v>
      </c>
      <c r="M695" s="1">
        <f t="shared" si="53"/>
        <v>360</v>
      </c>
      <c r="N695" s="1">
        <v>360</v>
      </c>
      <c r="O695" s="1">
        <f t="shared" si="54"/>
        <v>0</v>
      </c>
      <c r="P695" s="1">
        <v>0</v>
      </c>
      <c r="Q695" s="1" t="s">
        <v>30</v>
      </c>
      <c r="R695" s="1" t="s">
        <v>26</v>
      </c>
    </row>
    <row r="696" spans="1:18" x14ac:dyDescent="0.35">
      <c r="A696" s="1" t="s">
        <v>727</v>
      </c>
      <c r="B696" s="1" t="str">
        <f t="shared" si="50"/>
        <v>Unknown</v>
      </c>
      <c r="C696" s="1"/>
      <c r="D696" s="1" t="str">
        <f t="shared" si="51"/>
        <v>Yes</v>
      </c>
      <c r="E696" s="1" t="s">
        <v>15</v>
      </c>
      <c r="F696" s="1">
        <v>0</v>
      </c>
      <c r="G696" s="1" t="s">
        <v>17</v>
      </c>
      <c r="H696" s="1" t="str">
        <f t="shared" si="52"/>
        <v>No</v>
      </c>
      <c r="I696" s="1" t="s">
        <v>36</v>
      </c>
      <c r="J696" s="1">
        <v>14771</v>
      </c>
      <c r="K696" s="1">
        <v>180</v>
      </c>
      <c r="L696" s="1">
        <v>70</v>
      </c>
      <c r="M696" s="1">
        <f t="shared" si="53"/>
        <v>360</v>
      </c>
      <c r="N696" s="1">
        <v>360</v>
      </c>
      <c r="O696" s="1">
        <f t="shared" si="54"/>
        <v>1</v>
      </c>
      <c r="P696" s="1">
        <v>1</v>
      </c>
      <c r="Q696" s="1" t="s">
        <v>41</v>
      </c>
      <c r="R696" s="1" t="s">
        <v>20</v>
      </c>
    </row>
    <row r="697" spans="1:18" x14ac:dyDescent="0.35">
      <c r="A697" s="1" t="s">
        <v>728</v>
      </c>
      <c r="B697" s="1" t="str">
        <f t="shared" si="50"/>
        <v>Female</v>
      </c>
      <c r="C697" s="1" t="s">
        <v>61</v>
      </c>
      <c r="D697" s="1" t="str">
        <f t="shared" si="51"/>
        <v>No</v>
      </c>
      <c r="E697" s="1" t="s">
        <v>22</v>
      </c>
      <c r="F697" s="1">
        <v>1</v>
      </c>
      <c r="G697" s="1" t="s">
        <v>17</v>
      </c>
      <c r="H697" s="1" t="str">
        <f t="shared" si="52"/>
        <v>Yes</v>
      </c>
      <c r="I697" s="1" t="s">
        <v>15</v>
      </c>
      <c r="J697" s="1">
        <v>6522</v>
      </c>
      <c r="K697" s="1">
        <v>6794</v>
      </c>
      <c r="L697" s="1">
        <v>95</v>
      </c>
      <c r="M697" s="1">
        <f t="shared" si="53"/>
        <v>360</v>
      </c>
      <c r="N697" s="1">
        <v>360</v>
      </c>
      <c r="O697" s="1">
        <f t="shared" si="54"/>
        <v>0</v>
      </c>
      <c r="P697" s="1">
        <v>0</v>
      </c>
      <c r="Q697" s="1" t="s">
        <v>19</v>
      </c>
      <c r="R697" s="1" t="s">
        <v>20</v>
      </c>
    </row>
    <row r="698" spans="1:18" x14ac:dyDescent="0.35">
      <c r="A698" s="1" t="s">
        <v>729</v>
      </c>
      <c r="B698" s="1" t="str">
        <f t="shared" si="50"/>
        <v>Female</v>
      </c>
      <c r="C698" s="1" t="s">
        <v>43</v>
      </c>
      <c r="D698" s="1" t="str">
        <f t="shared" si="51"/>
        <v>No</v>
      </c>
      <c r="E698" s="1"/>
      <c r="F698" s="1" t="s">
        <v>16</v>
      </c>
      <c r="G698" s="1" t="s">
        <v>25</v>
      </c>
      <c r="H698" s="1" t="str">
        <f t="shared" si="52"/>
        <v>No</v>
      </c>
      <c r="I698" s="1"/>
      <c r="J698" s="1">
        <v>10256</v>
      </c>
      <c r="K698" s="1">
        <v>5500</v>
      </c>
      <c r="L698" s="1">
        <v>273</v>
      </c>
      <c r="M698" s="1">
        <f t="shared" si="53"/>
        <v>360</v>
      </c>
      <c r="N698" s="1"/>
      <c r="O698" s="1">
        <f t="shared" si="54"/>
        <v>1</v>
      </c>
      <c r="P698" s="1">
        <v>1</v>
      </c>
      <c r="Q698" s="1" t="s">
        <v>41</v>
      </c>
      <c r="R698" s="1" t="s">
        <v>20</v>
      </c>
    </row>
    <row r="699" spans="1:18" x14ac:dyDescent="0.35">
      <c r="A699" s="1" t="s">
        <v>730</v>
      </c>
      <c r="B699" s="1" t="str">
        <f t="shared" si="50"/>
        <v>Male</v>
      </c>
      <c r="C699" s="1" t="s">
        <v>33</v>
      </c>
      <c r="D699" s="1" t="str">
        <f t="shared" si="51"/>
        <v>Yes</v>
      </c>
      <c r="E699" s="1" t="s">
        <v>24</v>
      </c>
      <c r="F699" s="1">
        <v>1</v>
      </c>
      <c r="G699" s="1" t="s">
        <v>17</v>
      </c>
      <c r="H699" s="1" t="str">
        <f t="shared" si="52"/>
        <v>Yes</v>
      </c>
      <c r="I699" s="1" t="s">
        <v>24</v>
      </c>
      <c r="J699" s="1">
        <v>9707</v>
      </c>
      <c r="K699" s="1">
        <v>3002</v>
      </c>
      <c r="L699" s="1">
        <v>312</v>
      </c>
      <c r="M699" s="1">
        <f t="shared" si="53"/>
        <v>180</v>
      </c>
      <c r="N699" s="1">
        <v>180</v>
      </c>
      <c r="O699" s="1">
        <f t="shared" si="54"/>
        <v>0</v>
      </c>
      <c r="P699" s="1">
        <v>0</v>
      </c>
      <c r="Q699" s="1" t="s">
        <v>41</v>
      </c>
      <c r="R699" s="1" t="s">
        <v>26</v>
      </c>
    </row>
    <row r="700" spans="1:18" x14ac:dyDescent="0.35">
      <c r="A700" s="1" t="s">
        <v>731</v>
      </c>
      <c r="B700" s="1" t="str">
        <f t="shared" si="50"/>
        <v>Male</v>
      </c>
      <c r="C700" s="1" t="s">
        <v>14</v>
      </c>
      <c r="D700" s="1" t="str">
        <f t="shared" si="51"/>
        <v>Yes</v>
      </c>
      <c r="E700" s="1" t="s">
        <v>29</v>
      </c>
      <c r="F700" s="1" t="s">
        <v>16</v>
      </c>
      <c r="G700" s="1" t="s">
        <v>25</v>
      </c>
      <c r="H700" s="1" t="str">
        <f t="shared" si="52"/>
        <v>No</v>
      </c>
      <c r="I700" s="1"/>
      <c r="J700" s="1">
        <v>19034</v>
      </c>
      <c r="K700" s="1">
        <v>2606</v>
      </c>
      <c r="L700" s="1">
        <v>662</v>
      </c>
      <c r="M700" s="1">
        <f t="shared" si="53"/>
        <v>360</v>
      </c>
      <c r="N700" s="1">
        <v>360</v>
      </c>
      <c r="O700" s="1">
        <f t="shared" si="54"/>
        <v>0</v>
      </c>
      <c r="P700" s="1"/>
      <c r="Q700" s="1" t="s">
        <v>41</v>
      </c>
      <c r="R700" s="1" t="s">
        <v>20</v>
      </c>
    </row>
    <row r="701" spans="1:18" x14ac:dyDescent="0.35">
      <c r="A701" s="1" t="s">
        <v>732</v>
      </c>
      <c r="B701" s="1" t="str">
        <f t="shared" si="50"/>
        <v>Unknown</v>
      </c>
      <c r="C701" s="1"/>
      <c r="D701" s="1" t="str">
        <f t="shared" si="51"/>
        <v>No</v>
      </c>
      <c r="E701" s="1"/>
      <c r="F701" s="1">
        <v>0</v>
      </c>
      <c r="G701" s="1" t="s">
        <v>17</v>
      </c>
      <c r="H701" s="1" t="str">
        <f t="shared" si="52"/>
        <v>No</v>
      </c>
      <c r="I701" s="1"/>
      <c r="J701" s="1">
        <v>15993</v>
      </c>
      <c r="K701" s="1">
        <v>2932</v>
      </c>
      <c r="L701" s="1">
        <v>141</v>
      </c>
      <c r="M701" s="1">
        <f t="shared" si="53"/>
        <v>120</v>
      </c>
      <c r="N701" s="1">
        <v>120</v>
      </c>
      <c r="O701" s="1">
        <f t="shared" si="54"/>
        <v>1</v>
      </c>
      <c r="P701" s="1">
        <v>1</v>
      </c>
      <c r="Q701" s="1" t="s">
        <v>19</v>
      </c>
      <c r="R701" s="1" t="s">
        <v>26</v>
      </c>
    </row>
    <row r="702" spans="1:18" x14ac:dyDescent="0.35">
      <c r="A702" s="1" t="s">
        <v>733</v>
      </c>
      <c r="B702" s="1" t="str">
        <f t="shared" si="50"/>
        <v>Male</v>
      </c>
      <c r="C702" s="1" t="s">
        <v>33</v>
      </c>
      <c r="D702" s="1" t="str">
        <f t="shared" si="51"/>
        <v>No</v>
      </c>
      <c r="E702" s="1"/>
      <c r="F702" s="1">
        <v>0</v>
      </c>
      <c r="G702" s="1" t="s">
        <v>17</v>
      </c>
      <c r="H702" s="1" t="str">
        <f t="shared" si="52"/>
        <v>No</v>
      </c>
      <c r="I702" s="1"/>
      <c r="J702" s="1">
        <v>11362</v>
      </c>
      <c r="K702" s="1">
        <v>6652</v>
      </c>
      <c r="L702" s="1">
        <v>680</v>
      </c>
      <c r="M702" s="1">
        <f t="shared" si="53"/>
        <v>360</v>
      </c>
      <c r="N702" s="1"/>
      <c r="O702" s="1">
        <f t="shared" si="54"/>
        <v>0</v>
      </c>
      <c r="P702" s="1">
        <v>0</v>
      </c>
      <c r="Q702" s="1" t="s">
        <v>30</v>
      </c>
      <c r="R702" s="1" t="s">
        <v>26</v>
      </c>
    </row>
    <row r="703" spans="1:18" x14ac:dyDescent="0.35">
      <c r="A703" s="1" t="s">
        <v>734</v>
      </c>
      <c r="B703" s="1" t="str">
        <f t="shared" si="50"/>
        <v>Unknown</v>
      </c>
      <c r="C703" s="1"/>
      <c r="D703" s="1" t="str">
        <f t="shared" si="51"/>
        <v>No</v>
      </c>
      <c r="E703" s="1"/>
      <c r="F703" s="1">
        <v>0</v>
      </c>
      <c r="G703" s="1" t="s">
        <v>25</v>
      </c>
      <c r="H703" s="1" t="str">
        <f t="shared" si="52"/>
        <v>No</v>
      </c>
      <c r="I703" s="1" t="s">
        <v>22</v>
      </c>
      <c r="J703" s="1">
        <v>3700</v>
      </c>
      <c r="K703" s="1">
        <v>2073</v>
      </c>
      <c r="L703" s="1">
        <v>570</v>
      </c>
      <c r="M703" s="1">
        <f t="shared" si="53"/>
        <v>360</v>
      </c>
      <c r="N703" s="1"/>
      <c r="O703" s="1">
        <f t="shared" si="54"/>
        <v>1</v>
      </c>
      <c r="P703" s="1">
        <v>1</v>
      </c>
      <c r="Q703" s="1" t="s">
        <v>41</v>
      </c>
      <c r="R703" s="1" t="s">
        <v>20</v>
      </c>
    </row>
    <row r="704" spans="1:18" x14ac:dyDescent="0.35">
      <c r="A704" s="1" t="s">
        <v>735</v>
      </c>
      <c r="B704" s="1" t="str">
        <f t="shared" si="50"/>
        <v>Female</v>
      </c>
      <c r="C704" s="1" t="s">
        <v>43</v>
      </c>
      <c r="D704" s="1" t="str">
        <f t="shared" si="51"/>
        <v>No</v>
      </c>
      <c r="E704" s="1"/>
      <c r="F704" s="1" t="s">
        <v>16</v>
      </c>
      <c r="G704" s="1" t="s">
        <v>17</v>
      </c>
      <c r="H704" s="1" t="str">
        <f t="shared" si="52"/>
        <v>No</v>
      </c>
      <c r="I704" s="1"/>
      <c r="J704" s="1">
        <v>10944</v>
      </c>
      <c r="K704" s="1">
        <v>4340</v>
      </c>
      <c r="L704" s="1">
        <v>392</v>
      </c>
      <c r="M704" s="1">
        <f t="shared" si="53"/>
        <v>120</v>
      </c>
      <c r="N704" s="1">
        <v>120</v>
      </c>
      <c r="O704" s="1">
        <f t="shared" si="54"/>
        <v>0</v>
      </c>
      <c r="P704" s="1">
        <v>0</v>
      </c>
      <c r="Q704" s="1" t="s">
        <v>19</v>
      </c>
      <c r="R704" s="1" t="s">
        <v>26</v>
      </c>
    </row>
    <row r="705" spans="1:18" x14ac:dyDescent="0.35">
      <c r="A705" s="1" t="s">
        <v>736</v>
      </c>
      <c r="B705" s="1" t="str">
        <f t="shared" si="50"/>
        <v>Unknown</v>
      </c>
      <c r="C705" s="1"/>
      <c r="D705" s="1" t="str">
        <f t="shared" si="51"/>
        <v>No</v>
      </c>
      <c r="E705" s="1" t="s">
        <v>22</v>
      </c>
      <c r="F705" s="1">
        <v>1</v>
      </c>
      <c r="G705" s="1" t="s">
        <v>25</v>
      </c>
      <c r="H705" s="1" t="str">
        <f t="shared" si="52"/>
        <v>No</v>
      </c>
      <c r="I705" s="1"/>
      <c r="J705" s="1">
        <v>17906</v>
      </c>
      <c r="K705" s="1">
        <v>8375</v>
      </c>
      <c r="L705" s="1">
        <v>145</v>
      </c>
      <c r="M705" s="1">
        <f t="shared" si="53"/>
        <v>360</v>
      </c>
      <c r="N705" s="1"/>
      <c r="O705" s="1">
        <f t="shared" si="54"/>
        <v>0</v>
      </c>
      <c r="P705" s="1">
        <v>0</v>
      </c>
      <c r="Q705" s="1" t="s">
        <v>30</v>
      </c>
      <c r="R705" s="1" t="s">
        <v>20</v>
      </c>
    </row>
    <row r="706" spans="1:18" x14ac:dyDescent="0.35">
      <c r="A706" s="1" t="s">
        <v>737</v>
      </c>
      <c r="B706" s="1" t="str">
        <f t="shared" ref="B706:B769" si="55">IF(ISBLANK(C706),"Unknown", IF(LOWER(TRIM(C706))="male","Male","Female"))</f>
        <v>Male</v>
      </c>
      <c r="C706" s="1" t="s">
        <v>52</v>
      </c>
      <c r="D706" s="1" t="str">
        <f t="shared" ref="D706:D769" si="56">IF(ISBLANK(E706),"No",PROPER(TRIM(E706)))</f>
        <v>No</v>
      </c>
      <c r="E706" s="1"/>
      <c r="F706" s="1">
        <v>1</v>
      </c>
      <c r="G706" s="1" t="s">
        <v>25</v>
      </c>
      <c r="H706" s="1" t="str">
        <f t="shared" ref="H706:H769" si="57">IF(ISBLANK(I706),"No",PROPER(TRIM(I706)))</f>
        <v>No</v>
      </c>
      <c r="I706" s="1" t="s">
        <v>36</v>
      </c>
      <c r="J706" s="1">
        <v>6102</v>
      </c>
      <c r="K706" s="1">
        <v>3377</v>
      </c>
      <c r="L706" s="1">
        <v>78</v>
      </c>
      <c r="M706" s="1">
        <f t="shared" ref="M706:M769" si="58">IF(ISBLANK(N706),360,N706)</f>
        <v>120</v>
      </c>
      <c r="N706" s="1">
        <v>120</v>
      </c>
      <c r="O706" s="1">
        <f t="shared" ref="O706:O769" si="59">IF(ISBLANK(P706),0,P706)</f>
        <v>0</v>
      </c>
      <c r="P706" s="1">
        <v>0</v>
      </c>
      <c r="Q706" s="1" t="s">
        <v>30</v>
      </c>
      <c r="R706" s="1" t="s">
        <v>26</v>
      </c>
    </row>
    <row r="707" spans="1:18" x14ac:dyDescent="0.35">
      <c r="A707" s="1" t="s">
        <v>738</v>
      </c>
      <c r="B707" s="1" t="str">
        <f t="shared" si="55"/>
        <v>Male</v>
      </c>
      <c r="C707" s="1" t="s">
        <v>33</v>
      </c>
      <c r="D707" s="1" t="str">
        <f t="shared" si="56"/>
        <v>No</v>
      </c>
      <c r="E707" s="1" t="s">
        <v>18</v>
      </c>
      <c r="F707" s="1" t="s">
        <v>16</v>
      </c>
      <c r="G707" s="1" t="s">
        <v>25</v>
      </c>
      <c r="H707" s="1" t="str">
        <f t="shared" si="57"/>
        <v>Yes</v>
      </c>
      <c r="I707" s="1" t="s">
        <v>29</v>
      </c>
      <c r="J707" s="1">
        <v>18542</v>
      </c>
      <c r="K707" s="1">
        <v>5081</v>
      </c>
      <c r="L707" s="1">
        <v>461</v>
      </c>
      <c r="M707" s="1">
        <f t="shared" si="58"/>
        <v>180</v>
      </c>
      <c r="N707" s="1">
        <v>180</v>
      </c>
      <c r="O707" s="1">
        <f t="shared" si="59"/>
        <v>0</v>
      </c>
      <c r="P707" s="1">
        <v>0</v>
      </c>
      <c r="Q707" s="1" t="s">
        <v>30</v>
      </c>
      <c r="R707" s="1" t="s">
        <v>20</v>
      </c>
    </row>
    <row r="708" spans="1:18" x14ac:dyDescent="0.35">
      <c r="A708" s="1" t="s">
        <v>739</v>
      </c>
      <c r="B708" s="1" t="str">
        <f t="shared" si="55"/>
        <v>Female</v>
      </c>
      <c r="C708" s="1" t="s">
        <v>61</v>
      </c>
      <c r="D708" s="1" t="str">
        <f t="shared" si="56"/>
        <v>No</v>
      </c>
      <c r="E708" s="1" t="s">
        <v>22</v>
      </c>
      <c r="F708" s="1">
        <v>0</v>
      </c>
      <c r="G708" s="1" t="s">
        <v>17</v>
      </c>
      <c r="H708" s="1" t="str">
        <f t="shared" si="57"/>
        <v>No</v>
      </c>
      <c r="I708" s="1"/>
      <c r="J708" s="1">
        <v>19903</v>
      </c>
      <c r="K708" s="1">
        <v>7749</v>
      </c>
      <c r="L708" s="1">
        <v>254</v>
      </c>
      <c r="M708" s="1">
        <f t="shared" si="58"/>
        <v>360</v>
      </c>
      <c r="N708" s="1"/>
      <c r="O708" s="1">
        <f t="shared" si="59"/>
        <v>0</v>
      </c>
      <c r="P708" s="1">
        <v>0</v>
      </c>
      <c r="Q708" s="1" t="s">
        <v>41</v>
      </c>
      <c r="R708" s="1" t="s">
        <v>26</v>
      </c>
    </row>
    <row r="709" spans="1:18" x14ac:dyDescent="0.35">
      <c r="A709" s="1" t="s">
        <v>740</v>
      </c>
      <c r="B709" s="1" t="str">
        <f t="shared" si="55"/>
        <v>Male</v>
      </c>
      <c r="C709" s="1" t="s">
        <v>14</v>
      </c>
      <c r="D709" s="1" t="str">
        <f t="shared" si="56"/>
        <v>Yes</v>
      </c>
      <c r="E709" s="1" t="s">
        <v>24</v>
      </c>
      <c r="F709" s="1" t="s">
        <v>16</v>
      </c>
      <c r="G709" s="1" t="s">
        <v>17</v>
      </c>
      <c r="H709" s="1" t="str">
        <f t="shared" si="57"/>
        <v>No</v>
      </c>
      <c r="I709" s="1"/>
      <c r="J709" s="1">
        <v>11870</v>
      </c>
      <c r="K709" s="1">
        <v>6150</v>
      </c>
      <c r="L709" s="1">
        <v>370</v>
      </c>
      <c r="M709" s="1">
        <f t="shared" si="58"/>
        <v>120</v>
      </c>
      <c r="N709" s="1">
        <v>120</v>
      </c>
      <c r="O709" s="1">
        <f t="shared" si="59"/>
        <v>0</v>
      </c>
      <c r="P709" s="1"/>
      <c r="Q709" s="1" t="s">
        <v>41</v>
      </c>
      <c r="R709" s="1" t="s">
        <v>26</v>
      </c>
    </row>
    <row r="710" spans="1:18" x14ac:dyDescent="0.35">
      <c r="A710" s="1" t="s">
        <v>741</v>
      </c>
      <c r="B710" s="1" t="str">
        <f t="shared" si="55"/>
        <v>Unknown</v>
      </c>
      <c r="C710" s="1"/>
      <c r="D710" s="1" t="str">
        <f t="shared" si="56"/>
        <v>Yes</v>
      </c>
      <c r="E710" s="1" t="s">
        <v>29</v>
      </c>
      <c r="F710" s="1">
        <v>0</v>
      </c>
      <c r="G710" s="1" t="s">
        <v>25</v>
      </c>
      <c r="H710" s="1" t="str">
        <f t="shared" si="57"/>
        <v>No</v>
      </c>
      <c r="I710" s="1" t="s">
        <v>22</v>
      </c>
      <c r="J710" s="1">
        <v>18173</v>
      </c>
      <c r="K710" s="1">
        <v>8623</v>
      </c>
      <c r="L710" s="1">
        <v>415</v>
      </c>
      <c r="M710" s="1">
        <f t="shared" si="58"/>
        <v>360</v>
      </c>
      <c r="N710" s="1">
        <v>360</v>
      </c>
      <c r="O710" s="1">
        <f t="shared" si="59"/>
        <v>1</v>
      </c>
      <c r="P710" s="1">
        <v>1</v>
      </c>
      <c r="Q710" s="1" t="s">
        <v>19</v>
      </c>
      <c r="R710" s="1" t="s">
        <v>20</v>
      </c>
    </row>
    <row r="711" spans="1:18" x14ac:dyDescent="0.35">
      <c r="A711" s="1" t="s">
        <v>742</v>
      </c>
      <c r="B711" s="1" t="str">
        <f t="shared" si="55"/>
        <v>Unknown</v>
      </c>
      <c r="C711" s="1"/>
      <c r="D711" s="1" t="str">
        <f t="shared" si="56"/>
        <v>No</v>
      </c>
      <c r="E711" s="1" t="s">
        <v>22</v>
      </c>
      <c r="F711" s="1" t="s">
        <v>16</v>
      </c>
      <c r="G711" s="1" t="s">
        <v>17</v>
      </c>
      <c r="H711" s="1" t="str">
        <f t="shared" si="57"/>
        <v>Yes</v>
      </c>
      <c r="I711" s="1" t="s">
        <v>29</v>
      </c>
      <c r="J711" s="1">
        <v>7288</v>
      </c>
      <c r="K711" s="1">
        <v>7540</v>
      </c>
      <c r="L711" s="1">
        <v>224</v>
      </c>
      <c r="M711" s="1">
        <f t="shared" si="58"/>
        <v>120</v>
      </c>
      <c r="N711" s="1">
        <v>120</v>
      </c>
      <c r="O711" s="1">
        <f t="shared" si="59"/>
        <v>0</v>
      </c>
      <c r="P711" s="1"/>
      <c r="Q711" s="1" t="s">
        <v>30</v>
      </c>
      <c r="R711" s="1" t="s">
        <v>26</v>
      </c>
    </row>
    <row r="712" spans="1:18" x14ac:dyDescent="0.35">
      <c r="A712" s="1" t="s">
        <v>743</v>
      </c>
      <c r="B712" s="1" t="str">
        <f t="shared" si="55"/>
        <v>Unknown</v>
      </c>
      <c r="C712" s="1"/>
      <c r="D712" s="1" t="str">
        <f t="shared" si="56"/>
        <v>No</v>
      </c>
      <c r="E712" s="1" t="s">
        <v>18</v>
      </c>
      <c r="F712" s="1">
        <v>2</v>
      </c>
      <c r="G712" s="1" t="s">
        <v>17</v>
      </c>
      <c r="H712" s="1" t="str">
        <f t="shared" si="57"/>
        <v>Yes</v>
      </c>
      <c r="I712" s="1" t="s">
        <v>24</v>
      </c>
      <c r="J712" s="1">
        <v>7145</v>
      </c>
      <c r="K712" s="1">
        <v>7161</v>
      </c>
      <c r="L712" s="1">
        <v>222</v>
      </c>
      <c r="M712" s="1">
        <f t="shared" si="58"/>
        <v>360</v>
      </c>
      <c r="N712" s="1"/>
      <c r="O712" s="1">
        <f t="shared" si="59"/>
        <v>0</v>
      </c>
      <c r="P712" s="1">
        <v>0</v>
      </c>
      <c r="Q712" s="1" t="s">
        <v>41</v>
      </c>
      <c r="R712" s="1" t="s">
        <v>20</v>
      </c>
    </row>
    <row r="713" spans="1:18" x14ac:dyDescent="0.35">
      <c r="A713" s="1" t="s">
        <v>744</v>
      </c>
      <c r="B713" s="1" t="str">
        <f t="shared" si="55"/>
        <v>Unknown</v>
      </c>
      <c r="C713" s="1"/>
      <c r="D713" s="1" t="str">
        <f t="shared" si="56"/>
        <v>No</v>
      </c>
      <c r="E713" s="1" t="s">
        <v>36</v>
      </c>
      <c r="F713" s="1" t="s">
        <v>16</v>
      </c>
      <c r="G713" s="1" t="s">
        <v>17</v>
      </c>
      <c r="H713" s="1" t="str">
        <f t="shared" si="57"/>
        <v>No</v>
      </c>
      <c r="I713" s="1" t="s">
        <v>18</v>
      </c>
      <c r="J713" s="1">
        <v>18519</v>
      </c>
      <c r="K713" s="1">
        <v>4299</v>
      </c>
      <c r="L713" s="1">
        <v>629</v>
      </c>
      <c r="M713" s="1">
        <f t="shared" si="58"/>
        <v>180</v>
      </c>
      <c r="N713" s="1">
        <v>180</v>
      </c>
      <c r="O713" s="1">
        <f t="shared" si="59"/>
        <v>1</v>
      </c>
      <c r="P713" s="1">
        <v>1</v>
      </c>
      <c r="Q713" s="1" t="s">
        <v>41</v>
      </c>
      <c r="R713" s="1" t="s">
        <v>20</v>
      </c>
    </row>
    <row r="714" spans="1:18" x14ac:dyDescent="0.35">
      <c r="A714" s="1" t="s">
        <v>745</v>
      </c>
      <c r="B714" s="1" t="str">
        <f t="shared" si="55"/>
        <v>Female</v>
      </c>
      <c r="C714" s="1" t="s">
        <v>28</v>
      </c>
      <c r="D714" s="1" t="str">
        <f t="shared" si="56"/>
        <v>No</v>
      </c>
      <c r="E714" s="1" t="s">
        <v>22</v>
      </c>
      <c r="F714" s="1" t="s">
        <v>16</v>
      </c>
      <c r="G714" s="1" t="s">
        <v>17</v>
      </c>
      <c r="H714" s="1" t="str">
        <f t="shared" si="57"/>
        <v>No</v>
      </c>
      <c r="I714" s="1"/>
      <c r="J714" s="1">
        <v>9564</v>
      </c>
      <c r="K714" s="1">
        <v>1898</v>
      </c>
      <c r="L714" s="1">
        <v>157</v>
      </c>
      <c r="M714" s="1">
        <f t="shared" si="58"/>
        <v>120</v>
      </c>
      <c r="N714" s="1">
        <v>120</v>
      </c>
      <c r="O714" s="1">
        <f t="shared" si="59"/>
        <v>1</v>
      </c>
      <c r="P714" s="1">
        <v>1</v>
      </c>
      <c r="Q714" s="1" t="s">
        <v>19</v>
      </c>
      <c r="R714" s="1" t="s">
        <v>20</v>
      </c>
    </row>
    <row r="715" spans="1:18" x14ac:dyDescent="0.35">
      <c r="A715" s="1" t="s">
        <v>746</v>
      </c>
      <c r="B715" s="1" t="str">
        <f t="shared" si="55"/>
        <v>Unknown</v>
      </c>
      <c r="C715" s="1"/>
      <c r="D715" s="1" t="str">
        <f t="shared" si="56"/>
        <v>No</v>
      </c>
      <c r="E715" s="1"/>
      <c r="F715" s="1">
        <v>2</v>
      </c>
      <c r="G715" s="1" t="s">
        <v>25</v>
      </c>
      <c r="H715" s="1" t="str">
        <f t="shared" si="57"/>
        <v>No</v>
      </c>
      <c r="I715" s="1"/>
      <c r="J715" s="1">
        <v>11826</v>
      </c>
      <c r="K715" s="1">
        <v>9732</v>
      </c>
      <c r="L715" s="1">
        <v>244</v>
      </c>
      <c r="M715" s="1">
        <f t="shared" si="58"/>
        <v>120</v>
      </c>
      <c r="N715" s="1">
        <v>120</v>
      </c>
      <c r="O715" s="1">
        <f t="shared" si="59"/>
        <v>0</v>
      </c>
      <c r="P715" s="1">
        <v>0</v>
      </c>
      <c r="Q715" s="1" t="s">
        <v>30</v>
      </c>
      <c r="R715" s="1" t="s">
        <v>20</v>
      </c>
    </row>
    <row r="716" spans="1:18" x14ac:dyDescent="0.35">
      <c r="A716" s="1" t="s">
        <v>747</v>
      </c>
      <c r="B716" s="1" t="str">
        <f t="shared" si="55"/>
        <v>Unknown</v>
      </c>
      <c r="C716" s="1"/>
      <c r="D716" s="1" t="str">
        <f t="shared" si="56"/>
        <v>Yes</v>
      </c>
      <c r="E716" s="1" t="s">
        <v>24</v>
      </c>
      <c r="F716" s="1">
        <v>0</v>
      </c>
      <c r="G716" s="1" t="s">
        <v>17</v>
      </c>
      <c r="H716" s="1" t="str">
        <f t="shared" si="57"/>
        <v>Yes</v>
      </c>
      <c r="I716" s="1" t="s">
        <v>15</v>
      </c>
      <c r="J716" s="1">
        <v>16405</v>
      </c>
      <c r="K716" s="1">
        <v>2951</v>
      </c>
      <c r="L716" s="1">
        <v>381</v>
      </c>
      <c r="M716" s="1">
        <f t="shared" si="58"/>
        <v>360</v>
      </c>
      <c r="N716" s="1"/>
      <c r="O716" s="1">
        <f t="shared" si="59"/>
        <v>1</v>
      </c>
      <c r="P716" s="1">
        <v>1</v>
      </c>
      <c r="Q716" s="1" t="s">
        <v>19</v>
      </c>
      <c r="R716" s="1" t="s">
        <v>20</v>
      </c>
    </row>
    <row r="717" spans="1:18" x14ac:dyDescent="0.35">
      <c r="A717" s="1" t="s">
        <v>748</v>
      </c>
      <c r="B717" s="1" t="str">
        <f t="shared" si="55"/>
        <v>Male</v>
      </c>
      <c r="C717" s="1" t="s">
        <v>52</v>
      </c>
      <c r="D717" s="1" t="str">
        <f t="shared" si="56"/>
        <v>No</v>
      </c>
      <c r="E717" s="1" t="s">
        <v>18</v>
      </c>
      <c r="F717" s="1" t="s">
        <v>16</v>
      </c>
      <c r="G717" s="1" t="s">
        <v>25</v>
      </c>
      <c r="H717" s="1" t="str">
        <f t="shared" si="57"/>
        <v>Yes</v>
      </c>
      <c r="I717" s="1" t="s">
        <v>29</v>
      </c>
      <c r="J717" s="1">
        <v>7553</v>
      </c>
      <c r="K717" s="1">
        <v>8058</v>
      </c>
      <c r="L717" s="1">
        <v>139</v>
      </c>
      <c r="M717" s="1">
        <f t="shared" si="58"/>
        <v>360</v>
      </c>
      <c r="N717" s="1"/>
      <c r="O717" s="1">
        <f t="shared" si="59"/>
        <v>0</v>
      </c>
      <c r="P717" s="1">
        <v>0</v>
      </c>
      <c r="Q717" s="1" t="s">
        <v>30</v>
      </c>
      <c r="R717" s="1" t="s">
        <v>20</v>
      </c>
    </row>
    <row r="718" spans="1:18" x14ac:dyDescent="0.35">
      <c r="A718" s="1" t="s">
        <v>749</v>
      </c>
      <c r="B718" s="1" t="str">
        <f t="shared" si="55"/>
        <v>Male</v>
      </c>
      <c r="C718" s="1" t="s">
        <v>52</v>
      </c>
      <c r="D718" s="1" t="str">
        <f t="shared" si="56"/>
        <v>No</v>
      </c>
      <c r="E718" s="1" t="s">
        <v>22</v>
      </c>
      <c r="F718" s="1">
        <v>0</v>
      </c>
      <c r="G718" s="1" t="s">
        <v>17</v>
      </c>
      <c r="H718" s="1" t="str">
        <f t="shared" si="57"/>
        <v>Yes</v>
      </c>
      <c r="I718" s="1" t="s">
        <v>15</v>
      </c>
      <c r="J718" s="1">
        <v>19527</v>
      </c>
      <c r="K718" s="1">
        <v>8951</v>
      </c>
      <c r="L718" s="1">
        <v>668</v>
      </c>
      <c r="M718" s="1">
        <f t="shared" si="58"/>
        <v>180</v>
      </c>
      <c r="N718" s="1">
        <v>180</v>
      </c>
      <c r="O718" s="1">
        <f t="shared" si="59"/>
        <v>1</v>
      </c>
      <c r="P718" s="1">
        <v>1</v>
      </c>
      <c r="Q718" s="1" t="s">
        <v>30</v>
      </c>
      <c r="R718" s="1" t="s">
        <v>26</v>
      </c>
    </row>
    <row r="719" spans="1:18" x14ac:dyDescent="0.35">
      <c r="A719" s="1" t="s">
        <v>750</v>
      </c>
      <c r="B719" s="1" t="str">
        <f t="shared" si="55"/>
        <v>Unknown</v>
      </c>
      <c r="C719" s="1"/>
      <c r="D719" s="1" t="str">
        <f t="shared" si="56"/>
        <v>No</v>
      </c>
      <c r="E719" s="1" t="s">
        <v>18</v>
      </c>
      <c r="F719" s="1" t="s">
        <v>16</v>
      </c>
      <c r="G719" s="1" t="s">
        <v>17</v>
      </c>
      <c r="H719" s="1" t="str">
        <f t="shared" si="57"/>
        <v>Yes</v>
      </c>
      <c r="I719" s="1" t="s">
        <v>29</v>
      </c>
      <c r="J719" s="1">
        <v>11110</v>
      </c>
      <c r="K719" s="1">
        <v>6846</v>
      </c>
      <c r="L719" s="1">
        <v>225</v>
      </c>
      <c r="M719" s="1">
        <f t="shared" si="58"/>
        <v>180</v>
      </c>
      <c r="N719" s="1">
        <v>180</v>
      </c>
      <c r="O719" s="1">
        <f t="shared" si="59"/>
        <v>1</v>
      </c>
      <c r="P719" s="1">
        <v>1</v>
      </c>
      <c r="Q719" s="1" t="s">
        <v>30</v>
      </c>
      <c r="R719" s="1" t="s">
        <v>26</v>
      </c>
    </row>
    <row r="720" spans="1:18" x14ac:dyDescent="0.35">
      <c r="A720" s="1" t="s">
        <v>751</v>
      </c>
      <c r="B720" s="1" t="str">
        <f t="shared" si="55"/>
        <v>Male</v>
      </c>
      <c r="C720" s="1" t="s">
        <v>52</v>
      </c>
      <c r="D720" s="1" t="str">
        <f t="shared" si="56"/>
        <v>Yes</v>
      </c>
      <c r="E720" s="1" t="s">
        <v>24</v>
      </c>
      <c r="F720" s="1">
        <v>0</v>
      </c>
      <c r="G720" s="1" t="s">
        <v>25</v>
      </c>
      <c r="H720" s="1" t="str">
        <f t="shared" si="57"/>
        <v>No</v>
      </c>
      <c r="I720" s="1" t="s">
        <v>22</v>
      </c>
      <c r="J720" s="1">
        <v>9881</v>
      </c>
      <c r="K720" s="1">
        <v>9995</v>
      </c>
      <c r="L720" s="1">
        <v>597</v>
      </c>
      <c r="M720" s="1">
        <f t="shared" si="58"/>
        <v>360</v>
      </c>
      <c r="N720" s="1"/>
      <c r="O720" s="1">
        <f t="shared" si="59"/>
        <v>0</v>
      </c>
      <c r="P720" s="1">
        <v>0</v>
      </c>
      <c r="Q720" s="1" t="s">
        <v>30</v>
      </c>
      <c r="R720" s="1" t="s">
        <v>26</v>
      </c>
    </row>
    <row r="721" spans="1:18" x14ac:dyDescent="0.35">
      <c r="A721" s="1" t="s">
        <v>752</v>
      </c>
      <c r="B721" s="1" t="str">
        <f t="shared" si="55"/>
        <v>Female</v>
      </c>
      <c r="C721" s="1" t="s">
        <v>28</v>
      </c>
      <c r="D721" s="1" t="str">
        <f t="shared" si="56"/>
        <v>Yes</v>
      </c>
      <c r="E721" s="1" t="s">
        <v>24</v>
      </c>
      <c r="F721" s="1">
        <v>2</v>
      </c>
      <c r="G721" s="1" t="s">
        <v>17</v>
      </c>
      <c r="H721" s="1" t="str">
        <f t="shared" si="57"/>
        <v>No</v>
      </c>
      <c r="I721" s="1"/>
      <c r="J721" s="1">
        <v>14436</v>
      </c>
      <c r="K721" s="1">
        <v>1251</v>
      </c>
      <c r="L721" s="1">
        <v>629</v>
      </c>
      <c r="M721" s="1">
        <f t="shared" si="58"/>
        <v>360</v>
      </c>
      <c r="N721" s="1"/>
      <c r="O721" s="1">
        <f t="shared" si="59"/>
        <v>1</v>
      </c>
      <c r="P721" s="1">
        <v>1</v>
      </c>
      <c r="Q721" s="1" t="s">
        <v>19</v>
      </c>
      <c r="R721" s="1" t="s">
        <v>20</v>
      </c>
    </row>
    <row r="722" spans="1:18" x14ac:dyDescent="0.35">
      <c r="A722" s="1" t="s">
        <v>753</v>
      </c>
      <c r="B722" s="1" t="str">
        <f t="shared" si="55"/>
        <v>Male</v>
      </c>
      <c r="C722" s="1" t="s">
        <v>14</v>
      </c>
      <c r="D722" s="1" t="str">
        <f t="shared" si="56"/>
        <v>No</v>
      </c>
      <c r="E722" s="1"/>
      <c r="F722" s="1" t="s">
        <v>16</v>
      </c>
      <c r="G722" s="1" t="s">
        <v>25</v>
      </c>
      <c r="H722" s="1" t="str">
        <f t="shared" si="57"/>
        <v>No</v>
      </c>
      <c r="I722" s="1" t="s">
        <v>36</v>
      </c>
      <c r="J722" s="1">
        <v>4463</v>
      </c>
      <c r="K722" s="1">
        <v>7776</v>
      </c>
      <c r="L722" s="1">
        <v>275</v>
      </c>
      <c r="M722" s="1">
        <f t="shared" si="58"/>
        <v>360</v>
      </c>
      <c r="N722" s="1">
        <v>360</v>
      </c>
      <c r="O722" s="1">
        <f t="shared" si="59"/>
        <v>0</v>
      </c>
      <c r="P722" s="1">
        <v>0</v>
      </c>
      <c r="Q722" s="1" t="s">
        <v>19</v>
      </c>
      <c r="R722" s="1" t="s">
        <v>20</v>
      </c>
    </row>
    <row r="723" spans="1:18" x14ac:dyDescent="0.35">
      <c r="A723" s="1" t="s">
        <v>754</v>
      </c>
      <c r="B723" s="1" t="str">
        <f t="shared" si="55"/>
        <v>Male</v>
      </c>
      <c r="C723" s="1" t="s">
        <v>52</v>
      </c>
      <c r="D723" s="1" t="str">
        <f t="shared" si="56"/>
        <v>Yes</v>
      </c>
      <c r="E723" s="1" t="s">
        <v>24</v>
      </c>
      <c r="F723" s="1">
        <v>2</v>
      </c>
      <c r="G723" s="1" t="s">
        <v>17</v>
      </c>
      <c r="H723" s="1" t="str">
        <f t="shared" si="57"/>
        <v>No</v>
      </c>
      <c r="I723" s="1"/>
      <c r="J723" s="1">
        <v>5424</v>
      </c>
      <c r="K723" s="1">
        <v>2048</v>
      </c>
      <c r="L723" s="1">
        <v>241</v>
      </c>
      <c r="M723" s="1">
        <f t="shared" si="58"/>
        <v>120</v>
      </c>
      <c r="N723" s="1">
        <v>120</v>
      </c>
      <c r="O723" s="1">
        <f t="shared" si="59"/>
        <v>0</v>
      </c>
      <c r="P723" s="1">
        <v>0</v>
      </c>
      <c r="Q723" s="1" t="s">
        <v>19</v>
      </c>
      <c r="R723" s="1" t="s">
        <v>26</v>
      </c>
    </row>
    <row r="724" spans="1:18" x14ac:dyDescent="0.35">
      <c r="A724" s="1" t="s">
        <v>755</v>
      </c>
      <c r="B724" s="1" t="str">
        <f t="shared" si="55"/>
        <v>Male</v>
      </c>
      <c r="C724" s="1" t="s">
        <v>52</v>
      </c>
      <c r="D724" s="1" t="str">
        <f t="shared" si="56"/>
        <v>No</v>
      </c>
      <c r="E724" s="1" t="s">
        <v>22</v>
      </c>
      <c r="F724" s="1">
        <v>1</v>
      </c>
      <c r="G724" s="1" t="s">
        <v>25</v>
      </c>
      <c r="H724" s="1" t="str">
        <f t="shared" si="57"/>
        <v>No</v>
      </c>
      <c r="I724" s="1" t="s">
        <v>22</v>
      </c>
      <c r="J724" s="1">
        <v>16393</v>
      </c>
      <c r="K724" s="1">
        <v>1892</v>
      </c>
      <c r="L724" s="1">
        <v>339</v>
      </c>
      <c r="M724" s="1">
        <f t="shared" si="58"/>
        <v>360</v>
      </c>
      <c r="N724" s="1"/>
      <c r="O724" s="1">
        <f t="shared" si="59"/>
        <v>0</v>
      </c>
      <c r="P724" s="1">
        <v>0</v>
      </c>
      <c r="Q724" s="1" t="s">
        <v>19</v>
      </c>
      <c r="R724" s="1" t="s">
        <v>20</v>
      </c>
    </row>
    <row r="725" spans="1:18" x14ac:dyDescent="0.35">
      <c r="A725" s="1" t="s">
        <v>756</v>
      </c>
      <c r="B725" s="1" t="str">
        <f t="shared" si="55"/>
        <v>Unknown</v>
      </c>
      <c r="C725" s="1"/>
      <c r="D725" s="1" t="str">
        <f t="shared" si="56"/>
        <v>No</v>
      </c>
      <c r="E725" s="1"/>
      <c r="F725" s="1">
        <v>1</v>
      </c>
      <c r="G725" s="1" t="s">
        <v>17</v>
      </c>
      <c r="H725" s="1" t="str">
        <f t="shared" si="57"/>
        <v>No</v>
      </c>
      <c r="I725" s="1"/>
      <c r="J725" s="1">
        <v>3304</v>
      </c>
      <c r="K725" s="1">
        <v>6651</v>
      </c>
      <c r="L725" s="1">
        <v>214</v>
      </c>
      <c r="M725" s="1">
        <f t="shared" si="58"/>
        <v>360</v>
      </c>
      <c r="N725" s="1">
        <v>360</v>
      </c>
      <c r="O725" s="1">
        <f t="shared" si="59"/>
        <v>0</v>
      </c>
      <c r="P725" s="1"/>
      <c r="Q725" s="1" t="s">
        <v>30</v>
      </c>
      <c r="R725" s="1" t="s">
        <v>20</v>
      </c>
    </row>
    <row r="726" spans="1:18" x14ac:dyDescent="0.35">
      <c r="A726" s="1" t="s">
        <v>757</v>
      </c>
      <c r="B726" s="1" t="str">
        <f t="shared" si="55"/>
        <v>Male</v>
      </c>
      <c r="C726" s="1" t="s">
        <v>52</v>
      </c>
      <c r="D726" s="1" t="str">
        <f t="shared" si="56"/>
        <v>No</v>
      </c>
      <c r="E726" s="1" t="s">
        <v>36</v>
      </c>
      <c r="F726" s="1" t="s">
        <v>16</v>
      </c>
      <c r="G726" s="1" t="s">
        <v>25</v>
      </c>
      <c r="H726" s="1" t="str">
        <f t="shared" si="57"/>
        <v>No</v>
      </c>
      <c r="I726" s="1"/>
      <c r="J726" s="1">
        <v>5680</v>
      </c>
      <c r="K726" s="1">
        <v>7016</v>
      </c>
      <c r="L726" s="1">
        <v>575</v>
      </c>
      <c r="M726" s="1">
        <f t="shared" si="58"/>
        <v>120</v>
      </c>
      <c r="N726" s="1">
        <v>120</v>
      </c>
      <c r="O726" s="1">
        <f t="shared" si="59"/>
        <v>1</v>
      </c>
      <c r="P726" s="1">
        <v>1</v>
      </c>
      <c r="Q726" s="1" t="s">
        <v>19</v>
      </c>
      <c r="R726" s="1" t="s">
        <v>20</v>
      </c>
    </row>
    <row r="727" spans="1:18" x14ac:dyDescent="0.35">
      <c r="A727" s="1" t="s">
        <v>758</v>
      </c>
      <c r="B727" s="1" t="str">
        <f t="shared" si="55"/>
        <v>Female</v>
      </c>
      <c r="C727" s="1" t="s">
        <v>43</v>
      </c>
      <c r="D727" s="1" t="str">
        <f t="shared" si="56"/>
        <v>No</v>
      </c>
      <c r="E727" s="1"/>
      <c r="F727" s="1">
        <v>0</v>
      </c>
      <c r="G727" s="1" t="s">
        <v>17</v>
      </c>
      <c r="H727" s="1" t="str">
        <f t="shared" si="57"/>
        <v>No</v>
      </c>
      <c r="I727" s="1"/>
      <c r="J727" s="1">
        <v>2585</v>
      </c>
      <c r="K727" s="1">
        <v>8273</v>
      </c>
      <c r="L727" s="1">
        <v>154</v>
      </c>
      <c r="M727" s="1">
        <f t="shared" si="58"/>
        <v>180</v>
      </c>
      <c r="N727" s="1">
        <v>180</v>
      </c>
      <c r="O727" s="1">
        <f t="shared" si="59"/>
        <v>0</v>
      </c>
      <c r="P727" s="1">
        <v>0</v>
      </c>
      <c r="Q727" s="1" t="s">
        <v>30</v>
      </c>
      <c r="R727" s="1" t="s">
        <v>26</v>
      </c>
    </row>
    <row r="728" spans="1:18" x14ac:dyDescent="0.35">
      <c r="A728" s="1" t="s">
        <v>759</v>
      </c>
      <c r="B728" s="1" t="str">
        <f t="shared" si="55"/>
        <v>Female</v>
      </c>
      <c r="C728" s="1" t="s">
        <v>43</v>
      </c>
      <c r="D728" s="1" t="str">
        <f t="shared" si="56"/>
        <v>No</v>
      </c>
      <c r="E728" s="1" t="s">
        <v>18</v>
      </c>
      <c r="F728" s="1">
        <v>2</v>
      </c>
      <c r="G728" s="1" t="s">
        <v>25</v>
      </c>
      <c r="H728" s="1" t="str">
        <f t="shared" si="57"/>
        <v>No</v>
      </c>
      <c r="I728" s="1" t="s">
        <v>22</v>
      </c>
      <c r="J728" s="1">
        <v>8177</v>
      </c>
      <c r="K728" s="1">
        <v>6338</v>
      </c>
      <c r="L728" s="1">
        <v>254</v>
      </c>
      <c r="M728" s="1">
        <f t="shared" si="58"/>
        <v>180</v>
      </c>
      <c r="N728" s="1">
        <v>180</v>
      </c>
      <c r="O728" s="1">
        <f t="shared" si="59"/>
        <v>1</v>
      </c>
      <c r="P728" s="1">
        <v>1</v>
      </c>
      <c r="Q728" s="1" t="s">
        <v>19</v>
      </c>
      <c r="R728" s="1" t="s">
        <v>20</v>
      </c>
    </row>
    <row r="729" spans="1:18" x14ac:dyDescent="0.35">
      <c r="A729" s="1" t="s">
        <v>760</v>
      </c>
      <c r="B729" s="1" t="str">
        <f t="shared" si="55"/>
        <v>Male</v>
      </c>
      <c r="C729" s="1" t="s">
        <v>14</v>
      </c>
      <c r="D729" s="1" t="str">
        <f t="shared" si="56"/>
        <v>No</v>
      </c>
      <c r="E729" s="1"/>
      <c r="F729" s="1">
        <v>1</v>
      </c>
      <c r="G729" s="1" t="s">
        <v>25</v>
      </c>
      <c r="H729" s="1" t="str">
        <f t="shared" si="57"/>
        <v>Yes</v>
      </c>
      <c r="I729" s="1" t="s">
        <v>24</v>
      </c>
      <c r="J729" s="1">
        <v>3340</v>
      </c>
      <c r="K729" s="1">
        <v>6217</v>
      </c>
      <c r="L729" s="1">
        <v>209</v>
      </c>
      <c r="M729" s="1">
        <f t="shared" si="58"/>
        <v>360</v>
      </c>
      <c r="N729" s="1"/>
      <c r="O729" s="1">
        <f t="shared" si="59"/>
        <v>0</v>
      </c>
      <c r="P729" s="1"/>
      <c r="Q729" s="1" t="s">
        <v>41</v>
      </c>
      <c r="R729" s="1" t="s">
        <v>20</v>
      </c>
    </row>
    <row r="730" spans="1:18" x14ac:dyDescent="0.35">
      <c r="A730" s="1" t="s">
        <v>761</v>
      </c>
      <c r="B730" s="1" t="str">
        <f t="shared" si="55"/>
        <v>Female</v>
      </c>
      <c r="C730" s="1" t="s">
        <v>28</v>
      </c>
      <c r="D730" s="1" t="str">
        <f t="shared" si="56"/>
        <v>No</v>
      </c>
      <c r="E730" s="1"/>
      <c r="F730" s="1" t="s">
        <v>16</v>
      </c>
      <c r="G730" s="1" t="s">
        <v>25</v>
      </c>
      <c r="H730" s="1" t="str">
        <f t="shared" si="57"/>
        <v>Yes</v>
      </c>
      <c r="I730" s="1" t="s">
        <v>24</v>
      </c>
      <c r="J730" s="1">
        <v>17399</v>
      </c>
      <c r="K730" s="1">
        <v>9792</v>
      </c>
      <c r="L730" s="1">
        <v>316</v>
      </c>
      <c r="M730" s="1">
        <f t="shared" si="58"/>
        <v>120</v>
      </c>
      <c r="N730" s="1">
        <v>120</v>
      </c>
      <c r="O730" s="1">
        <f t="shared" si="59"/>
        <v>0</v>
      </c>
      <c r="P730" s="1">
        <v>0</v>
      </c>
      <c r="Q730" s="1" t="s">
        <v>19</v>
      </c>
      <c r="R730" s="1" t="s">
        <v>20</v>
      </c>
    </row>
    <row r="731" spans="1:18" x14ac:dyDescent="0.35">
      <c r="A731" s="1" t="s">
        <v>762</v>
      </c>
      <c r="B731" s="1" t="str">
        <f t="shared" si="55"/>
        <v>Male</v>
      </c>
      <c r="C731" s="1" t="s">
        <v>33</v>
      </c>
      <c r="D731" s="1" t="str">
        <f t="shared" si="56"/>
        <v>No</v>
      </c>
      <c r="E731" s="1"/>
      <c r="F731" s="1" t="s">
        <v>16</v>
      </c>
      <c r="G731" s="1" t="s">
        <v>25</v>
      </c>
      <c r="H731" s="1" t="str">
        <f t="shared" si="57"/>
        <v>No</v>
      </c>
      <c r="I731" s="1"/>
      <c r="J731" s="1">
        <v>8120</v>
      </c>
      <c r="K731" s="1">
        <v>9729</v>
      </c>
      <c r="L731" s="1">
        <v>463</v>
      </c>
      <c r="M731" s="1">
        <f t="shared" si="58"/>
        <v>120</v>
      </c>
      <c r="N731" s="1">
        <v>120</v>
      </c>
      <c r="O731" s="1">
        <f t="shared" si="59"/>
        <v>0</v>
      </c>
      <c r="P731" s="1">
        <v>0</v>
      </c>
      <c r="Q731" s="1" t="s">
        <v>19</v>
      </c>
      <c r="R731" s="1" t="s">
        <v>26</v>
      </c>
    </row>
    <row r="732" spans="1:18" x14ac:dyDescent="0.35">
      <c r="A732" s="1" t="s">
        <v>763</v>
      </c>
      <c r="B732" s="1" t="str">
        <f t="shared" si="55"/>
        <v>Female</v>
      </c>
      <c r="C732" s="1" t="s">
        <v>28</v>
      </c>
      <c r="D732" s="1" t="str">
        <f t="shared" si="56"/>
        <v>Yes</v>
      </c>
      <c r="E732" s="1" t="s">
        <v>29</v>
      </c>
      <c r="F732" s="1">
        <v>1</v>
      </c>
      <c r="G732" s="1" t="s">
        <v>17</v>
      </c>
      <c r="H732" s="1" t="str">
        <f t="shared" si="57"/>
        <v>No</v>
      </c>
      <c r="I732" s="1" t="s">
        <v>36</v>
      </c>
      <c r="J732" s="1">
        <v>4111</v>
      </c>
      <c r="K732" s="1">
        <v>8004</v>
      </c>
      <c r="L732" s="1">
        <v>423</v>
      </c>
      <c r="M732" s="1">
        <f t="shared" si="58"/>
        <v>360</v>
      </c>
      <c r="N732" s="1">
        <v>360</v>
      </c>
      <c r="O732" s="1">
        <f t="shared" si="59"/>
        <v>0</v>
      </c>
      <c r="P732" s="1"/>
      <c r="Q732" s="1" t="s">
        <v>30</v>
      </c>
      <c r="R732" s="1" t="s">
        <v>26</v>
      </c>
    </row>
    <row r="733" spans="1:18" x14ac:dyDescent="0.35">
      <c r="A733" s="1" t="s">
        <v>764</v>
      </c>
      <c r="B733" s="1" t="str">
        <f t="shared" si="55"/>
        <v>Female</v>
      </c>
      <c r="C733" s="1" t="s">
        <v>43</v>
      </c>
      <c r="D733" s="1" t="str">
        <f t="shared" si="56"/>
        <v>No</v>
      </c>
      <c r="E733" s="1" t="s">
        <v>22</v>
      </c>
      <c r="F733" s="1">
        <v>0</v>
      </c>
      <c r="G733" s="1" t="s">
        <v>17</v>
      </c>
      <c r="H733" s="1" t="str">
        <f t="shared" si="57"/>
        <v>Yes</v>
      </c>
      <c r="I733" s="1" t="s">
        <v>15</v>
      </c>
      <c r="J733" s="1">
        <v>3104</v>
      </c>
      <c r="K733" s="1">
        <v>3575</v>
      </c>
      <c r="L733" s="1">
        <v>422</v>
      </c>
      <c r="M733" s="1">
        <f t="shared" si="58"/>
        <v>360</v>
      </c>
      <c r="N733" s="1"/>
      <c r="O733" s="1">
        <f t="shared" si="59"/>
        <v>0</v>
      </c>
      <c r="P733" s="1"/>
      <c r="Q733" s="1" t="s">
        <v>30</v>
      </c>
      <c r="R733" s="1" t="s">
        <v>20</v>
      </c>
    </row>
    <row r="734" spans="1:18" x14ac:dyDescent="0.35">
      <c r="A734" s="1" t="s">
        <v>765</v>
      </c>
      <c r="B734" s="1" t="str">
        <f t="shared" si="55"/>
        <v>Unknown</v>
      </c>
      <c r="C734" s="1"/>
      <c r="D734" s="1" t="str">
        <f t="shared" si="56"/>
        <v>No</v>
      </c>
      <c r="E734" s="1" t="s">
        <v>22</v>
      </c>
      <c r="F734" s="1">
        <v>1</v>
      </c>
      <c r="G734" s="1" t="s">
        <v>17</v>
      </c>
      <c r="H734" s="1" t="str">
        <f t="shared" si="57"/>
        <v>No</v>
      </c>
      <c r="I734" s="1" t="s">
        <v>18</v>
      </c>
      <c r="J734" s="1">
        <v>15615</v>
      </c>
      <c r="K734" s="1">
        <v>3718</v>
      </c>
      <c r="L734" s="1">
        <v>344</v>
      </c>
      <c r="M734" s="1">
        <f t="shared" si="58"/>
        <v>360</v>
      </c>
      <c r="N734" s="1">
        <v>360</v>
      </c>
      <c r="O734" s="1">
        <f t="shared" si="59"/>
        <v>0</v>
      </c>
      <c r="P734" s="1"/>
      <c r="Q734" s="1" t="s">
        <v>30</v>
      </c>
      <c r="R734" s="1" t="s">
        <v>26</v>
      </c>
    </row>
    <row r="735" spans="1:18" x14ac:dyDescent="0.35">
      <c r="A735" s="1" t="s">
        <v>766</v>
      </c>
      <c r="B735" s="1" t="str">
        <f t="shared" si="55"/>
        <v>Female</v>
      </c>
      <c r="C735" s="1" t="s">
        <v>61</v>
      </c>
      <c r="D735" s="1" t="str">
        <f t="shared" si="56"/>
        <v>No</v>
      </c>
      <c r="E735" s="1" t="s">
        <v>18</v>
      </c>
      <c r="F735" s="1">
        <v>0</v>
      </c>
      <c r="G735" s="1" t="s">
        <v>17</v>
      </c>
      <c r="H735" s="1" t="str">
        <f t="shared" si="57"/>
        <v>No</v>
      </c>
      <c r="I735" s="1" t="s">
        <v>22</v>
      </c>
      <c r="J735" s="1">
        <v>7699</v>
      </c>
      <c r="K735" s="1">
        <v>2771</v>
      </c>
      <c r="L735" s="1">
        <v>652</v>
      </c>
      <c r="M735" s="1">
        <f t="shared" si="58"/>
        <v>360</v>
      </c>
      <c r="N735" s="1">
        <v>360</v>
      </c>
      <c r="O735" s="1">
        <f t="shared" si="59"/>
        <v>1</v>
      </c>
      <c r="P735" s="1">
        <v>1</v>
      </c>
      <c r="Q735" s="1" t="s">
        <v>19</v>
      </c>
      <c r="R735" s="1" t="s">
        <v>20</v>
      </c>
    </row>
    <row r="736" spans="1:18" x14ac:dyDescent="0.35">
      <c r="A736" s="1" t="s">
        <v>767</v>
      </c>
      <c r="B736" s="1" t="str">
        <f t="shared" si="55"/>
        <v>Female</v>
      </c>
      <c r="C736" s="1" t="s">
        <v>28</v>
      </c>
      <c r="D736" s="1" t="str">
        <f t="shared" si="56"/>
        <v>No</v>
      </c>
      <c r="E736" s="1" t="s">
        <v>36</v>
      </c>
      <c r="F736" s="1">
        <v>2</v>
      </c>
      <c r="G736" s="1" t="s">
        <v>17</v>
      </c>
      <c r="H736" s="1" t="str">
        <f t="shared" si="57"/>
        <v>Yes</v>
      </c>
      <c r="I736" s="1" t="s">
        <v>24</v>
      </c>
      <c r="J736" s="1">
        <v>7451</v>
      </c>
      <c r="K736" s="1">
        <v>1295</v>
      </c>
      <c r="L736" s="1">
        <v>599</v>
      </c>
      <c r="M736" s="1">
        <f t="shared" si="58"/>
        <v>180</v>
      </c>
      <c r="N736" s="1">
        <v>180</v>
      </c>
      <c r="O736" s="1">
        <f t="shared" si="59"/>
        <v>0</v>
      </c>
      <c r="P736" s="1"/>
      <c r="Q736" s="1" t="s">
        <v>19</v>
      </c>
      <c r="R736" s="1" t="s">
        <v>26</v>
      </c>
    </row>
    <row r="737" spans="1:18" x14ac:dyDescent="0.35">
      <c r="A737" s="1" t="s">
        <v>768</v>
      </c>
      <c r="B737" s="1" t="str">
        <f t="shared" si="55"/>
        <v>Unknown</v>
      </c>
      <c r="C737" s="1"/>
      <c r="D737" s="1" t="str">
        <f t="shared" si="56"/>
        <v>No</v>
      </c>
      <c r="E737" s="1" t="s">
        <v>22</v>
      </c>
      <c r="F737" s="1" t="s">
        <v>16</v>
      </c>
      <c r="G737" s="1" t="s">
        <v>25</v>
      </c>
      <c r="H737" s="1" t="str">
        <f t="shared" si="57"/>
        <v>No</v>
      </c>
      <c r="I737" s="1" t="s">
        <v>22</v>
      </c>
      <c r="J737" s="1">
        <v>12889</v>
      </c>
      <c r="K737" s="1">
        <v>874</v>
      </c>
      <c r="L737" s="1">
        <v>159</v>
      </c>
      <c r="M737" s="1">
        <f t="shared" si="58"/>
        <v>360</v>
      </c>
      <c r="N737" s="1">
        <v>360</v>
      </c>
      <c r="O737" s="1">
        <f t="shared" si="59"/>
        <v>0</v>
      </c>
      <c r="P737" s="1"/>
      <c r="Q737" s="1" t="s">
        <v>30</v>
      </c>
      <c r="R737" s="1" t="s">
        <v>26</v>
      </c>
    </row>
    <row r="738" spans="1:18" x14ac:dyDescent="0.35">
      <c r="A738" s="1" t="s">
        <v>769</v>
      </c>
      <c r="B738" s="1" t="str">
        <f t="shared" si="55"/>
        <v>Female</v>
      </c>
      <c r="C738" s="1" t="s">
        <v>61</v>
      </c>
      <c r="D738" s="1" t="str">
        <f t="shared" si="56"/>
        <v>Yes</v>
      </c>
      <c r="E738" s="1" t="s">
        <v>29</v>
      </c>
      <c r="F738" s="1">
        <v>0</v>
      </c>
      <c r="G738" s="1" t="s">
        <v>25</v>
      </c>
      <c r="H738" s="1" t="str">
        <f t="shared" si="57"/>
        <v>No</v>
      </c>
      <c r="I738" s="1"/>
      <c r="J738" s="1">
        <v>16171</v>
      </c>
      <c r="K738" s="1">
        <v>4553</v>
      </c>
      <c r="L738" s="1">
        <v>304</v>
      </c>
      <c r="M738" s="1">
        <f t="shared" si="58"/>
        <v>360</v>
      </c>
      <c r="N738" s="1"/>
      <c r="O738" s="1">
        <f t="shared" si="59"/>
        <v>0</v>
      </c>
      <c r="P738" s="1">
        <v>0</v>
      </c>
      <c r="Q738" s="1" t="s">
        <v>41</v>
      </c>
      <c r="R738" s="1" t="s">
        <v>20</v>
      </c>
    </row>
    <row r="739" spans="1:18" x14ac:dyDescent="0.35">
      <c r="A739" s="1" t="s">
        <v>770</v>
      </c>
      <c r="B739" s="1" t="str">
        <f t="shared" si="55"/>
        <v>Unknown</v>
      </c>
      <c r="C739" s="1"/>
      <c r="D739" s="1" t="str">
        <f t="shared" si="56"/>
        <v>No</v>
      </c>
      <c r="E739" s="1"/>
      <c r="F739" s="1">
        <v>0</v>
      </c>
      <c r="G739" s="1" t="s">
        <v>17</v>
      </c>
      <c r="H739" s="1" t="str">
        <f t="shared" si="57"/>
        <v>Yes</v>
      </c>
      <c r="I739" s="1" t="s">
        <v>24</v>
      </c>
      <c r="J739" s="1">
        <v>13633</v>
      </c>
      <c r="K739" s="1">
        <v>5934</v>
      </c>
      <c r="L739" s="1">
        <v>57</v>
      </c>
      <c r="M739" s="1">
        <f t="shared" si="58"/>
        <v>180</v>
      </c>
      <c r="N739" s="1">
        <v>180</v>
      </c>
      <c r="O739" s="1">
        <f t="shared" si="59"/>
        <v>0</v>
      </c>
      <c r="P739" s="1">
        <v>0</v>
      </c>
      <c r="Q739" s="1" t="s">
        <v>19</v>
      </c>
      <c r="R739" s="1" t="s">
        <v>20</v>
      </c>
    </row>
    <row r="740" spans="1:18" x14ac:dyDescent="0.35">
      <c r="A740" s="1" t="s">
        <v>771</v>
      </c>
      <c r="B740" s="1" t="str">
        <f t="shared" si="55"/>
        <v>Female</v>
      </c>
      <c r="C740" s="1" t="s">
        <v>43</v>
      </c>
      <c r="D740" s="1" t="str">
        <f t="shared" si="56"/>
        <v>No</v>
      </c>
      <c r="E740" s="1" t="s">
        <v>36</v>
      </c>
      <c r="F740" s="1">
        <v>1</v>
      </c>
      <c r="G740" s="1" t="s">
        <v>17</v>
      </c>
      <c r="H740" s="1" t="str">
        <f t="shared" si="57"/>
        <v>No</v>
      </c>
      <c r="I740" s="1" t="s">
        <v>22</v>
      </c>
      <c r="J740" s="1">
        <v>19323</v>
      </c>
      <c r="K740" s="1">
        <v>7890</v>
      </c>
      <c r="L740" s="1">
        <v>72</v>
      </c>
      <c r="M740" s="1">
        <f t="shared" si="58"/>
        <v>180</v>
      </c>
      <c r="N740" s="1">
        <v>180</v>
      </c>
      <c r="O740" s="1">
        <f t="shared" si="59"/>
        <v>1</v>
      </c>
      <c r="P740" s="1">
        <v>1</v>
      </c>
      <c r="Q740" s="1" t="s">
        <v>30</v>
      </c>
      <c r="R740" s="1" t="s">
        <v>26</v>
      </c>
    </row>
    <row r="741" spans="1:18" x14ac:dyDescent="0.35">
      <c r="A741" s="1" t="s">
        <v>772</v>
      </c>
      <c r="B741" s="1" t="str">
        <f t="shared" si="55"/>
        <v>Female</v>
      </c>
      <c r="C741" s="1" t="s">
        <v>61</v>
      </c>
      <c r="D741" s="1" t="str">
        <f t="shared" si="56"/>
        <v>No</v>
      </c>
      <c r="E741" s="1" t="s">
        <v>36</v>
      </c>
      <c r="F741" s="1">
        <v>1</v>
      </c>
      <c r="G741" s="1" t="s">
        <v>25</v>
      </c>
      <c r="H741" s="1" t="str">
        <f t="shared" si="57"/>
        <v>No</v>
      </c>
      <c r="I741" s="1" t="s">
        <v>36</v>
      </c>
      <c r="J741" s="1">
        <v>14309</v>
      </c>
      <c r="K741" s="1">
        <v>4222</v>
      </c>
      <c r="L741" s="1">
        <v>194</v>
      </c>
      <c r="M741" s="1">
        <f t="shared" si="58"/>
        <v>360</v>
      </c>
      <c r="N741" s="1"/>
      <c r="O741" s="1">
        <f t="shared" si="59"/>
        <v>0</v>
      </c>
      <c r="P741" s="1">
        <v>0</v>
      </c>
      <c r="Q741" s="1" t="s">
        <v>41</v>
      </c>
      <c r="R741" s="1" t="s">
        <v>26</v>
      </c>
    </row>
    <row r="742" spans="1:18" x14ac:dyDescent="0.35">
      <c r="A742" s="1" t="s">
        <v>773</v>
      </c>
      <c r="B742" s="1" t="str">
        <f t="shared" si="55"/>
        <v>Unknown</v>
      </c>
      <c r="C742" s="1"/>
      <c r="D742" s="1" t="str">
        <f t="shared" si="56"/>
        <v>No</v>
      </c>
      <c r="E742" s="1"/>
      <c r="F742" s="1">
        <v>2</v>
      </c>
      <c r="G742" s="1" t="s">
        <v>17</v>
      </c>
      <c r="H742" s="1" t="str">
        <f t="shared" si="57"/>
        <v>No</v>
      </c>
      <c r="I742" s="1" t="s">
        <v>22</v>
      </c>
      <c r="J742" s="1">
        <v>8480</v>
      </c>
      <c r="K742" s="1">
        <v>7061</v>
      </c>
      <c r="L742" s="1">
        <v>543</v>
      </c>
      <c r="M742" s="1">
        <f t="shared" si="58"/>
        <v>360</v>
      </c>
      <c r="N742" s="1">
        <v>360</v>
      </c>
      <c r="O742" s="1">
        <f t="shared" si="59"/>
        <v>1</v>
      </c>
      <c r="P742" s="1">
        <v>1</v>
      </c>
      <c r="Q742" s="1" t="s">
        <v>19</v>
      </c>
      <c r="R742" s="1" t="s">
        <v>20</v>
      </c>
    </row>
    <row r="743" spans="1:18" x14ac:dyDescent="0.35">
      <c r="A743" s="1" t="s">
        <v>774</v>
      </c>
      <c r="B743" s="1" t="str">
        <f t="shared" si="55"/>
        <v>Unknown</v>
      </c>
      <c r="C743" s="1"/>
      <c r="D743" s="1" t="str">
        <f t="shared" si="56"/>
        <v>No</v>
      </c>
      <c r="E743" s="1"/>
      <c r="F743" s="1" t="s">
        <v>16</v>
      </c>
      <c r="G743" s="1" t="s">
        <v>17</v>
      </c>
      <c r="H743" s="1" t="str">
        <f t="shared" si="57"/>
        <v>No</v>
      </c>
      <c r="I743" s="1"/>
      <c r="J743" s="1">
        <v>6059</v>
      </c>
      <c r="K743" s="1">
        <v>4699</v>
      </c>
      <c r="L743" s="1">
        <v>392</v>
      </c>
      <c r="M743" s="1">
        <f t="shared" si="58"/>
        <v>120</v>
      </c>
      <c r="N743" s="1">
        <v>120</v>
      </c>
      <c r="O743" s="1">
        <f t="shared" si="59"/>
        <v>0</v>
      </c>
      <c r="P743" s="1">
        <v>0</v>
      </c>
      <c r="Q743" s="1" t="s">
        <v>19</v>
      </c>
      <c r="R743" s="1" t="s">
        <v>26</v>
      </c>
    </row>
    <row r="744" spans="1:18" x14ac:dyDescent="0.35">
      <c r="A744" s="1" t="s">
        <v>775</v>
      </c>
      <c r="B744" s="1" t="str">
        <f t="shared" si="55"/>
        <v>Male</v>
      </c>
      <c r="C744" s="1" t="s">
        <v>14</v>
      </c>
      <c r="D744" s="1" t="str">
        <f t="shared" si="56"/>
        <v>No</v>
      </c>
      <c r="E744" s="1" t="s">
        <v>36</v>
      </c>
      <c r="F744" s="1">
        <v>0</v>
      </c>
      <c r="G744" s="1" t="s">
        <v>17</v>
      </c>
      <c r="H744" s="1" t="str">
        <f t="shared" si="57"/>
        <v>No</v>
      </c>
      <c r="I744" s="1"/>
      <c r="J744" s="1">
        <v>14387</v>
      </c>
      <c r="K744" s="1">
        <v>9999</v>
      </c>
      <c r="L744" s="1">
        <v>270</v>
      </c>
      <c r="M744" s="1">
        <f t="shared" si="58"/>
        <v>360</v>
      </c>
      <c r="N744" s="1"/>
      <c r="O744" s="1">
        <f t="shared" si="59"/>
        <v>0</v>
      </c>
      <c r="P744" s="1"/>
      <c r="Q744" s="1" t="s">
        <v>30</v>
      </c>
      <c r="R744" s="1" t="s">
        <v>20</v>
      </c>
    </row>
    <row r="745" spans="1:18" x14ac:dyDescent="0.35">
      <c r="A745" s="1" t="s">
        <v>776</v>
      </c>
      <c r="B745" s="1" t="str">
        <f t="shared" si="55"/>
        <v>Female</v>
      </c>
      <c r="C745" s="1" t="s">
        <v>28</v>
      </c>
      <c r="D745" s="1" t="str">
        <f t="shared" si="56"/>
        <v>Yes</v>
      </c>
      <c r="E745" s="1" t="s">
        <v>15</v>
      </c>
      <c r="F745" s="1">
        <v>0</v>
      </c>
      <c r="G745" s="1" t="s">
        <v>17</v>
      </c>
      <c r="H745" s="1" t="str">
        <f t="shared" si="57"/>
        <v>No</v>
      </c>
      <c r="I745" s="1" t="s">
        <v>18</v>
      </c>
      <c r="J745" s="1">
        <v>8445</v>
      </c>
      <c r="K745" s="1">
        <v>3354</v>
      </c>
      <c r="L745" s="1">
        <v>443</v>
      </c>
      <c r="M745" s="1">
        <f t="shared" si="58"/>
        <v>360</v>
      </c>
      <c r="N745" s="1">
        <v>360</v>
      </c>
      <c r="O745" s="1">
        <f t="shared" si="59"/>
        <v>0</v>
      </c>
      <c r="P745" s="1">
        <v>0</v>
      </c>
      <c r="Q745" s="1" t="s">
        <v>19</v>
      </c>
      <c r="R745" s="1" t="s">
        <v>20</v>
      </c>
    </row>
    <row r="746" spans="1:18" x14ac:dyDescent="0.35">
      <c r="A746" s="1" t="s">
        <v>777</v>
      </c>
      <c r="B746" s="1" t="str">
        <f t="shared" si="55"/>
        <v>Unknown</v>
      </c>
      <c r="C746" s="1"/>
      <c r="D746" s="1" t="str">
        <f t="shared" si="56"/>
        <v>Yes</v>
      </c>
      <c r="E746" s="1" t="s">
        <v>29</v>
      </c>
      <c r="F746" s="1">
        <v>1</v>
      </c>
      <c r="G746" s="1" t="s">
        <v>25</v>
      </c>
      <c r="H746" s="1" t="str">
        <f t="shared" si="57"/>
        <v>No</v>
      </c>
      <c r="I746" s="1" t="s">
        <v>22</v>
      </c>
      <c r="J746" s="1">
        <v>16270</v>
      </c>
      <c r="K746" s="1">
        <v>5600</v>
      </c>
      <c r="L746" s="1">
        <v>406</v>
      </c>
      <c r="M746" s="1">
        <f t="shared" si="58"/>
        <v>180</v>
      </c>
      <c r="N746" s="1">
        <v>180</v>
      </c>
      <c r="O746" s="1">
        <f t="shared" si="59"/>
        <v>0</v>
      </c>
      <c r="P746" s="1"/>
      <c r="Q746" s="1" t="s">
        <v>19</v>
      </c>
      <c r="R746" s="1" t="s">
        <v>26</v>
      </c>
    </row>
    <row r="747" spans="1:18" x14ac:dyDescent="0.35">
      <c r="A747" s="1" t="s">
        <v>778</v>
      </c>
      <c r="B747" s="1" t="str">
        <f t="shared" si="55"/>
        <v>Unknown</v>
      </c>
      <c r="C747" s="1"/>
      <c r="D747" s="1" t="str">
        <f t="shared" si="56"/>
        <v>No</v>
      </c>
      <c r="E747" s="1"/>
      <c r="F747" s="1">
        <v>2</v>
      </c>
      <c r="G747" s="1" t="s">
        <v>25</v>
      </c>
      <c r="H747" s="1" t="str">
        <f t="shared" si="57"/>
        <v>Yes</v>
      </c>
      <c r="I747" s="1" t="s">
        <v>15</v>
      </c>
      <c r="J747" s="1">
        <v>19484</v>
      </c>
      <c r="K747" s="1">
        <v>5043</v>
      </c>
      <c r="L747" s="1">
        <v>606</v>
      </c>
      <c r="M747" s="1">
        <f t="shared" si="58"/>
        <v>180</v>
      </c>
      <c r="N747" s="1">
        <v>180</v>
      </c>
      <c r="O747" s="1">
        <f t="shared" si="59"/>
        <v>0</v>
      </c>
      <c r="P747" s="1"/>
      <c r="Q747" s="1" t="s">
        <v>41</v>
      </c>
      <c r="R747" s="1" t="s">
        <v>26</v>
      </c>
    </row>
    <row r="748" spans="1:18" x14ac:dyDescent="0.35">
      <c r="A748" s="1" t="s">
        <v>779</v>
      </c>
      <c r="B748" s="1" t="str">
        <f t="shared" si="55"/>
        <v>Male</v>
      </c>
      <c r="C748" s="1" t="s">
        <v>52</v>
      </c>
      <c r="D748" s="1" t="str">
        <f t="shared" si="56"/>
        <v>No</v>
      </c>
      <c r="E748" s="1" t="s">
        <v>22</v>
      </c>
      <c r="F748" s="1">
        <v>2</v>
      </c>
      <c r="G748" s="1" t="s">
        <v>25</v>
      </c>
      <c r="H748" s="1" t="str">
        <f t="shared" si="57"/>
        <v>No</v>
      </c>
      <c r="I748" s="1"/>
      <c r="J748" s="1">
        <v>3578</v>
      </c>
      <c r="K748" s="1">
        <v>9663</v>
      </c>
      <c r="L748" s="1">
        <v>62</v>
      </c>
      <c r="M748" s="1">
        <f t="shared" si="58"/>
        <v>120</v>
      </c>
      <c r="N748" s="1">
        <v>120</v>
      </c>
      <c r="O748" s="1">
        <f t="shared" si="59"/>
        <v>0</v>
      </c>
      <c r="P748" s="1">
        <v>0</v>
      </c>
      <c r="Q748" s="1" t="s">
        <v>41</v>
      </c>
      <c r="R748" s="1" t="s">
        <v>20</v>
      </c>
    </row>
    <row r="749" spans="1:18" x14ac:dyDescent="0.35">
      <c r="A749" s="1" t="s">
        <v>780</v>
      </c>
      <c r="B749" s="1" t="str">
        <f t="shared" si="55"/>
        <v>Female</v>
      </c>
      <c r="C749" s="1" t="s">
        <v>28</v>
      </c>
      <c r="D749" s="1" t="str">
        <f t="shared" si="56"/>
        <v>No</v>
      </c>
      <c r="E749" s="1"/>
      <c r="F749" s="1">
        <v>2</v>
      </c>
      <c r="G749" s="1" t="s">
        <v>25</v>
      </c>
      <c r="H749" s="1" t="str">
        <f t="shared" si="57"/>
        <v>Yes</v>
      </c>
      <c r="I749" s="1" t="s">
        <v>24</v>
      </c>
      <c r="J749" s="1">
        <v>4770</v>
      </c>
      <c r="K749" s="1">
        <v>3928</v>
      </c>
      <c r="L749" s="1">
        <v>128</v>
      </c>
      <c r="M749" s="1">
        <f t="shared" si="58"/>
        <v>120</v>
      </c>
      <c r="N749" s="1">
        <v>120</v>
      </c>
      <c r="O749" s="1">
        <f t="shared" si="59"/>
        <v>0</v>
      </c>
      <c r="P749" s="1"/>
      <c r="Q749" s="1" t="s">
        <v>41</v>
      </c>
      <c r="R749" s="1" t="s">
        <v>20</v>
      </c>
    </row>
    <row r="750" spans="1:18" x14ac:dyDescent="0.35">
      <c r="A750" s="1" t="s">
        <v>781</v>
      </c>
      <c r="B750" s="1" t="str">
        <f t="shared" si="55"/>
        <v>Unknown</v>
      </c>
      <c r="C750" s="1"/>
      <c r="D750" s="1" t="str">
        <f t="shared" si="56"/>
        <v>Yes</v>
      </c>
      <c r="E750" s="1" t="s">
        <v>24</v>
      </c>
      <c r="F750" s="1">
        <v>2</v>
      </c>
      <c r="G750" s="1" t="s">
        <v>17</v>
      </c>
      <c r="H750" s="1" t="str">
        <f t="shared" si="57"/>
        <v>Yes</v>
      </c>
      <c r="I750" s="1" t="s">
        <v>24</v>
      </c>
      <c r="J750" s="1">
        <v>13985</v>
      </c>
      <c r="K750" s="1">
        <v>1626</v>
      </c>
      <c r="L750" s="1">
        <v>75</v>
      </c>
      <c r="M750" s="1">
        <f t="shared" si="58"/>
        <v>360</v>
      </c>
      <c r="N750" s="1"/>
      <c r="O750" s="1">
        <f t="shared" si="59"/>
        <v>0</v>
      </c>
      <c r="P750" s="1"/>
      <c r="Q750" s="1" t="s">
        <v>30</v>
      </c>
      <c r="R750" s="1" t="s">
        <v>20</v>
      </c>
    </row>
    <row r="751" spans="1:18" x14ac:dyDescent="0.35">
      <c r="A751" s="1" t="s">
        <v>782</v>
      </c>
      <c r="B751" s="1" t="str">
        <f t="shared" si="55"/>
        <v>Female</v>
      </c>
      <c r="C751" s="1" t="s">
        <v>28</v>
      </c>
      <c r="D751" s="1" t="str">
        <f t="shared" si="56"/>
        <v>No</v>
      </c>
      <c r="E751" s="1"/>
      <c r="F751" s="1">
        <v>1</v>
      </c>
      <c r="G751" s="1" t="s">
        <v>17</v>
      </c>
      <c r="H751" s="1" t="str">
        <f t="shared" si="57"/>
        <v>No</v>
      </c>
      <c r="I751" s="1" t="s">
        <v>36</v>
      </c>
      <c r="J751" s="1">
        <v>19840</v>
      </c>
      <c r="K751" s="1">
        <v>4522</v>
      </c>
      <c r="L751" s="1">
        <v>146</v>
      </c>
      <c r="M751" s="1">
        <f t="shared" si="58"/>
        <v>360</v>
      </c>
      <c r="N751" s="1">
        <v>360</v>
      </c>
      <c r="O751" s="1">
        <f t="shared" si="59"/>
        <v>1</v>
      </c>
      <c r="P751" s="1">
        <v>1</v>
      </c>
      <c r="Q751" s="1" t="s">
        <v>19</v>
      </c>
      <c r="R751" s="1" t="s">
        <v>26</v>
      </c>
    </row>
    <row r="752" spans="1:18" x14ac:dyDescent="0.35">
      <c r="A752" s="1" t="s">
        <v>783</v>
      </c>
      <c r="B752" s="1" t="str">
        <f t="shared" si="55"/>
        <v>Female</v>
      </c>
      <c r="C752" s="1" t="s">
        <v>61</v>
      </c>
      <c r="D752" s="1" t="str">
        <f t="shared" si="56"/>
        <v>No</v>
      </c>
      <c r="E752" s="1" t="s">
        <v>22</v>
      </c>
      <c r="F752" s="1">
        <v>2</v>
      </c>
      <c r="G752" s="1" t="s">
        <v>25</v>
      </c>
      <c r="H752" s="1" t="str">
        <f t="shared" si="57"/>
        <v>No</v>
      </c>
      <c r="I752" s="1"/>
      <c r="J752" s="1">
        <v>19372</v>
      </c>
      <c r="K752" s="1">
        <v>7435</v>
      </c>
      <c r="L752" s="1">
        <v>475</v>
      </c>
      <c r="M752" s="1">
        <f t="shared" si="58"/>
        <v>360</v>
      </c>
      <c r="N752" s="1">
        <v>360</v>
      </c>
      <c r="O752" s="1">
        <f t="shared" si="59"/>
        <v>1</v>
      </c>
      <c r="P752" s="1">
        <v>1</v>
      </c>
      <c r="Q752" s="1" t="s">
        <v>41</v>
      </c>
      <c r="R752" s="1" t="s">
        <v>26</v>
      </c>
    </row>
    <row r="753" spans="1:18" x14ac:dyDescent="0.35">
      <c r="A753" s="1" t="s">
        <v>784</v>
      </c>
      <c r="B753" s="1" t="str">
        <f t="shared" si="55"/>
        <v>Unknown</v>
      </c>
      <c r="C753" s="1"/>
      <c r="D753" s="1" t="str">
        <f t="shared" si="56"/>
        <v>No</v>
      </c>
      <c r="E753" s="1"/>
      <c r="F753" s="1" t="s">
        <v>16</v>
      </c>
      <c r="G753" s="1" t="s">
        <v>25</v>
      </c>
      <c r="H753" s="1" t="str">
        <f t="shared" si="57"/>
        <v>No</v>
      </c>
      <c r="I753" s="1"/>
      <c r="J753" s="1">
        <v>6815</v>
      </c>
      <c r="K753" s="1">
        <v>7128</v>
      </c>
      <c r="L753" s="1">
        <v>241</v>
      </c>
      <c r="M753" s="1">
        <f t="shared" si="58"/>
        <v>180</v>
      </c>
      <c r="N753" s="1">
        <v>180</v>
      </c>
      <c r="O753" s="1">
        <f t="shared" si="59"/>
        <v>0</v>
      </c>
      <c r="P753" s="1">
        <v>0</v>
      </c>
      <c r="Q753" s="1" t="s">
        <v>19</v>
      </c>
      <c r="R753" s="1" t="s">
        <v>20</v>
      </c>
    </row>
    <row r="754" spans="1:18" x14ac:dyDescent="0.35">
      <c r="A754" s="1" t="s">
        <v>785</v>
      </c>
      <c r="B754" s="1" t="str">
        <f t="shared" si="55"/>
        <v>Male</v>
      </c>
      <c r="C754" s="1" t="s">
        <v>14</v>
      </c>
      <c r="D754" s="1" t="str">
        <f t="shared" si="56"/>
        <v>Yes</v>
      </c>
      <c r="E754" s="1" t="s">
        <v>15</v>
      </c>
      <c r="F754" s="1">
        <v>2</v>
      </c>
      <c r="G754" s="1" t="s">
        <v>25</v>
      </c>
      <c r="H754" s="1" t="str">
        <f t="shared" si="57"/>
        <v>No</v>
      </c>
      <c r="I754" s="1"/>
      <c r="J754" s="1">
        <v>13951</v>
      </c>
      <c r="K754" s="1">
        <v>856</v>
      </c>
      <c r="L754" s="1">
        <v>537</v>
      </c>
      <c r="M754" s="1">
        <f t="shared" si="58"/>
        <v>120</v>
      </c>
      <c r="N754" s="1">
        <v>120</v>
      </c>
      <c r="O754" s="1">
        <f t="shared" si="59"/>
        <v>0</v>
      </c>
      <c r="P754" s="1">
        <v>0</v>
      </c>
      <c r="Q754" s="1" t="s">
        <v>19</v>
      </c>
      <c r="R754" s="1" t="s">
        <v>20</v>
      </c>
    </row>
    <row r="755" spans="1:18" x14ac:dyDescent="0.35">
      <c r="A755" s="1" t="s">
        <v>786</v>
      </c>
      <c r="B755" s="1" t="str">
        <f t="shared" si="55"/>
        <v>Unknown</v>
      </c>
      <c r="C755" s="1"/>
      <c r="D755" s="1" t="str">
        <f t="shared" si="56"/>
        <v>Yes</v>
      </c>
      <c r="E755" s="1" t="s">
        <v>29</v>
      </c>
      <c r="F755" s="1">
        <v>0</v>
      </c>
      <c r="G755" s="1" t="s">
        <v>25</v>
      </c>
      <c r="H755" s="1" t="str">
        <f t="shared" si="57"/>
        <v>No</v>
      </c>
      <c r="I755" s="1" t="s">
        <v>22</v>
      </c>
      <c r="J755" s="1">
        <v>12123</v>
      </c>
      <c r="K755" s="1">
        <v>3449</v>
      </c>
      <c r="L755" s="1">
        <v>355</v>
      </c>
      <c r="M755" s="1">
        <f t="shared" si="58"/>
        <v>180</v>
      </c>
      <c r="N755" s="1">
        <v>180</v>
      </c>
      <c r="O755" s="1">
        <f t="shared" si="59"/>
        <v>1</v>
      </c>
      <c r="P755" s="1">
        <v>1</v>
      </c>
      <c r="Q755" s="1" t="s">
        <v>41</v>
      </c>
      <c r="R755" s="1" t="s">
        <v>26</v>
      </c>
    </row>
    <row r="756" spans="1:18" x14ac:dyDescent="0.35">
      <c r="A756" s="1" t="s">
        <v>787</v>
      </c>
      <c r="B756" s="1" t="str">
        <f t="shared" si="55"/>
        <v>Male</v>
      </c>
      <c r="C756" s="1" t="s">
        <v>14</v>
      </c>
      <c r="D756" s="1" t="str">
        <f t="shared" si="56"/>
        <v>Yes</v>
      </c>
      <c r="E756" s="1" t="s">
        <v>29</v>
      </c>
      <c r="F756" s="1">
        <v>0</v>
      </c>
      <c r="G756" s="1" t="s">
        <v>17</v>
      </c>
      <c r="H756" s="1" t="str">
        <f t="shared" si="57"/>
        <v>Yes</v>
      </c>
      <c r="I756" s="1" t="s">
        <v>15</v>
      </c>
      <c r="J756" s="1">
        <v>4385</v>
      </c>
      <c r="K756" s="1">
        <v>5015</v>
      </c>
      <c r="L756" s="1">
        <v>636</v>
      </c>
      <c r="M756" s="1">
        <f t="shared" si="58"/>
        <v>360</v>
      </c>
      <c r="N756" s="1">
        <v>360</v>
      </c>
      <c r="O756" s="1">
        <f t="shared" si="59"/>
        <v>1</v>
      </c>
      <c r="P756" s="1">
        <v>1</v>
      </c>
      <c r="Q756" s="1" t="s">
        <v>41</v>
      </c>
      <c r="R756" s="1" t="s">
        <v>26</v>
      </c>
    </row>
    <row r="757" spans="1:18" x14ac:dyDescent="0.35">
      <c r="A757" s="1" t="s">
        <v>788</v>
      </c>
      <c r="B757" s="1" t="str">
        <f t="shared" si="55"/>
        <v>Male</v>
      </c>
      <c r="C757" s="1" t="s">
        <v>33</v>
      </c>
      <c r="D757" s="1" t="str">
        <f t="shared" si="56"/>
        <v>No</v>
      </c>
      <c r="E757" s="1" t="s">
        <v>36</v>
      </c>
      <c r="F757" s="1" t="s">
        <v>16</v>
      </c>
      <c r="G757" s="1" t="s">
        <v>25</v>
      </c>
      <c r="H757" s="1" t="str">
        <f t="shared" si="57"/>
        <v>Yes</v>
      </c>
      <c r="I757" s="1" t="s">
        <v>15</v>
      </c>
      <c r="J757" s="1">
        <v>17300</v>
      </c>
      <c r="K757" s="1">
        <v>5594</v>
      </c>
      <c r="L757" s="1">
        <v>132</v>
      </c>
      <c r="M757" s="1">
        <f t="shared" si="58"/>
        <v>360</v>
      </c>
      <c r="N757" s="1">
        <v>360</v>
      </c>
      <c r="O757" s="1">
        <f t="shared" si="59"/>
        <v>0</v>
      </c>
      <c r="P757" s="1">
        <v>0</v>
      </c>
      <c r="Q757" s="1" t="s">
        <v>41</v>
      </c>
      <c r="R757" s="1" t="s">
        <v>20</v>
      </c>
    </row>
    <row r="758" spans="1:18" x14ac:dyDescent="0.35">
      <c r="A758" s="1" t="s">
        <v>789</v>
      </c>
      <c r="B758" s="1" t="str">
        <f t="shared" si="55"/>
        <v>Unknown</v>
      </c>
      <c r="C758" s="1"/>
      <c r="D758" s="1" t="str">
        <f t="shared" si="56"/>
        <v>No</v>
      </c>
      <c r="E758" s="1" t="s">
        <v>18</v>
      </c>
      <c r="F758" s="1" t="s">
        <v>16</v>
      </c>
      <c r="G758" s="1" t="s">
        <v>25</v>
      </c>
      <c r="H758" s="1" t="str">
        <f t="shared" si="57"/>
        <v>No</v>
      </c>
      <c r="I758" s="1" t="s">
        <v>18</v>
      </c>
      <c r="J758" s="1">
        <v>10322</v>
      </c>
      <c r="K758" s="1">
        <v>8248</v>
      </c>
      <c r="L758" s="1">
        <v>362</v>
      </c>
      <c r="M758" s="1">
        <f t="shared" si="58"/>
        <v>120</v>
      </c>
      <c r="N758" s="1">
        <v>120</v>
      </c>
      <c r="O758" s="1">
        <f t="shared" si="59"/>
        <v>0</v>
      </c>
      <c r="P758" s="1"/>
      <c r="Q758" s="1" t="s">
        <v>30</v>
      </c>
      <c r="R758" s="1" t="s">
        <v>26</v>
      </c>
    </row>
    <row r="759" spans="1:18" x14ac:dyDescent="0.35">
      <c r="A759" s="1" t="s">
        <v>790</v>
      </c>
      <c r="B759" s="1" t="str">
        <f t="shared" si="55"/>
        <v>Unknown</v>
      </c>
      <c r="C759" s="1"/>
      <c r="D759" s="1" t="str">
        <f t="shared" si="56"/>
        <v>No</v>
      </c>
      <c r="E759" s="1" t="s">
        <v>36</v>
      </c>
      <c r="F759" s="1" t="s">
        <v>16</v>
      </c>
      <c r="G759" s="1" t="s">
        <v>25</v>
      </c>
      <c r="H759" s="1" t="str">
        <f t="shared" si="57"/>
        <v>No</v>
      </c>
      <c r="I759" s="1"/>
      <c r="J759" s="1">
        <v>8814</v>
      </c>
      <c r="K759" s="1">
        <v>2434</v>
      </c>
      <c r="L759" s="1">
        <v>263</v>
      </c>
      <c r="M759" s="1">
        <f t="shared" si="58"/>
        <v>180</v>
      </c>
      <c r="N759" s="1">
        <v>180</v>
      </c>
      <c r="O759" s="1">
        <f t="shared" si="59"/>
        <v>0</v>
      </c>
      <c r="P759" s="1">
        <v>0</v>
      </c>
      <c r="Q759" s="1" t="s">
        <v>19</v>
      </c>
      <c r="R759" s="1" t="s">
        <v>20</v>
      </c>
    </row>
    <row r="760" spans="1:18" x14ac:dyDescent="0.35">
      <c r="A760" s="1" t="s">
        <v>791</v>
      </c>
      <c r="B760" s="1" t="str">
        <f t="shared" si="55"/>
        <v>Unknown</v>
      </c>
      <c r="C760" s="1"/>
      <c r="D760" s="1" t="str">
        <f t="shared" si="56"/>
        <v>No</v>
      </c>
      <c r="E760" s="1" t="s">
        <v>22</v>
      </c>
      <c r="F760" s="1">
        <v>1</v>
      </c>
      <c r="G760" s="1" t="s">
        <v>17</v>
      </c>
      <c r="H760" s="1" t="str">
        <f t="shared" si="57"/>
        <v>No</v>
      </c>
      <c r="I760" s="1"/>
      <c r="J760" s="1">
        <v>19032</v>
      </c>
      <c r="K760" s="1">
        <v>4265</v>
      </c>
      <c r="L760" s="1">
        <v>167</v>
      </c>
      <c r="M760" s="1">
        <f t="shared" si="58"/>
        <v>360</v>
      </c>
      <c r="N760" s="1"/>
      <c r="O760" s="1">
        <f t="shared" si="59"/>
        <v>0</v>
      </c>
      <c r="P760" s="1"/>
      <c r="Q760" s="1" t="s">
        <v>41</v>
      </c>
      <c r="R760" s="1" t="s">
        <v>26</v>
      </c>
    </row>
    <row r="761" spans="1:18" x14ac:dyDescent="0.35">
      <c r="A761" s="1" t="s">
        <v>792</v>
      </c>
      <c r="B761" s="1" t="str">
        <f t="shared" si="55"/>
        <v>Unknown</v>
      </c>
      <c r="C761" s="1"/>
      <c r="D761" s="1" t="str">
        <f t="shared" si="56"/>
        <v>No</v>
      </c>
      <c r="E761" s="1"/>
      <c r="F761" s="1" t="s">
        <v>16</v>
      </c>
      <c r="G761" s="1" t="s">
        <v>17</v>
      </c>
      <c r="H761" s="1" t="str">
        <f t="shared" si="57"/>
        <v>No</v>
      </c>
      <c r="I761" s="1"/>
      <c r="J761" s="1">
        <v>5061</v>
      </c>
      <c r="K761" s="1">
        <v>3571</v>
      </c>
      <c r="L761" s="1">
        <v>247</v>
      </c>
      <c r="M761" s="1">
        <f t="shared" si="58"/>
        <v>360</v>
      </c>
      <c r="N761" s="1"/>
      <c r="O761" s="1">
        <f t="shared" si="59"/>
        <v>0</v>
      </c>
      <c r="P761" s="1"/>
      <c r="Q761" s="1" t="s">
        <v>19</v>
      </c>
      <c r="R761" s="1" t="s">
        <v>26</v>
      </c>
    </row>
    <row r="762" spans="1:18" x14ac:dyDescent="0.35">
      <c r="A762" s="1" t="s">
        <v>793</v>
      </c>
      <c r="B762" s="1" t="str">
        <f t="shared" si="55"/>
        <v>Unknown</v>
      </c>
      <c r="C762" s="1"/>
      <c r="D762" s="1" t="str">
        <f t="shared" si="56"/>
        <v>No</v>
      </c>
      <c r="E762" s="1"/>
      <c r="F762" s="1">
        <v>1</v>
      </c>
      <c r="G762" s="1" t="s">
        <v>17</v>
      </c>
      <c r="H762" s="1" t="str">
        <f t="shared" si="57"/>
        <v>No</v>
      </c>
      <c r="I762" s="1" t="s">
        <v>22</v>
      </c>
      <c r="J762" s="1">
        <v>1541</v>
      </c>
      <c r="K762" s="1">
        <v>1960</v>
      </c>
      <c r="L762" s="1">
        <v>339</v>
      </c>
      <c r="M762" s="1">
        <f t="shared" si="58"/>
        <v>180</v>
      </c>
      <c r="N762" s="1">
        <v>180</v>
      </c>
      <c r="O762" s="1">
        <f t="shared" si="59"/>
        <v>0</v>
      </c>
      <c r="P762" s="1"/>
      <c r="Q762" s="1" t="s">
        <v>41</v>
      </c>
      <c r="R762" s="1" t="s">
        <v>20</v>
      </c>
    </row>
    <row r="763" spans="1:18" x14ac:dyDescent="0.35">
      <c r="A763" s="1" t="s">
        <v>794</v>
      </c>
      <c r="B763" s="1" t="str">
        <f t="shared" si="55"/>
        <v>Unknown</v>
      </c>
      <c r="C763" s="1"/>
      <c r="D763" s="1" t="str">
        <f t="shared" si="56"/>
        <v>Yes</v>
      </c>
      <c r="E763" s="1" t="s">
        <v>29</v>
      </c>
      <c r="F763" s="1">
        <v>1</v>
      </c>
      <c r="G763" s="1" t="s">
        <v>25</v>
      </c>
      <c r="H763" s="1" t="str">
        <f t="shared" si="57"/>
        <v>No</v>
      </c>
      <c r="I763" s="1" t="s">
        <v>18</v>
      </c>
      <c r="J763" s="1">
        <v>5256</v>
      </c>
      <c r="K763" s="1">
        <v>1984</v>
      </c>
      <c r="L763" s="1">
        <v>65</v>
      </c>
      <c r="M763" s="1">
        <f t="shared" si="58"/>
        <v>180</v>
      </c>
      <c r="N763" s="1">
        <v>180</v>
      </c>
      <c r="O763" s="1">
        <f t="shared" si="59"/>
        <v>0</v>
      </c>
      <c r="P763" s="1">
        <v>0</v>
      </c>
      <c r="Q763" s="1" t="s">
        <v>19</v>
      </c>
      <c r="R763" s="1" t="s">
        <v>20</v>
      </c>
    </row>
    <row r="764" spans="1:18" x14ac:dyDescent="0.35">
      <c r="A764" s="1" t="s">
        <v>795</v>
      </c>
      <c r="B764" s="1" t="str">
        <f t="shared" si="55"/>
        <v>Male</v>
      </c>
      <c r="C764" s="1" t="s">
        <v>33</v>
      </c>
      <c r="D764" s="1" t="str">
        <f t="shared" si="56"/>
        <v>No</v>
      </c>
      <c r="E764" s="1" t="s">
        <v>22</v>
      </c>
      <c r="F764" s="1">
        <v>0</v>
      </c>
      <c r="G764" s="1" t="s">
        <v>17</v>
      </c>
      <c r="H764" s="1" t="str">
        <f t="shared" si="57"/>
        <v>Yes</v>
      </c>
      <c r="I764" s="1" t="s">
        <v>24</v>
      </c>
      <c r="J764" s="1">
        <v>14389</v>
      </c>
      <c r="K764" s="1">
        <v>9288</v>
      </c>
      <c r="L764" s="1">
        <v>445</v>
      </c>
      <c r="M764" s="1">
        <f t="shared" si="58"/>
        <v>180</v>
      </c>
      <c r="N764" s="1">
        <v>180</v>
      </c>
      <c r="O764" s="1">
        <f t="shared" si="59"/>
        <v>0</v>
      </c>
      <c r="P764" s="1">
        <v>0</v>
      </c>
      <c r="Q764" s="1" t="s">
        <v>19</v>
      </c>
      <c r="R764" s="1" t="s">
        <v>20</v>
      </c>
    </row>
    <row r="765" spans="1:18" x14ac:dyDescent="0.35">
      <c r="A765" s="1" t="s">
        <v>796</v>
      </c>
      <c r="B765" s="1" t="str">
        <f t="shared" si="55"/>
        <v>Male</v>
      </c>
      <c r="C765" s="1" t="s">
        <v>52</v>
      </c>
      <c r="D765" s="1" t="str">
        <f t="shared" si="56"/>
        <v>No</v>
      </c>
      <c r="E765" s="1"/>
      <c r="F765" s="1" t="s">
        <v>16</v>
      </c>
      <c r="G765" s="1" t="s">
        <v>17</v>
      </c>
      <c r="H765" s="1" t="str">
        <f t="shared" si="57"/>
        <v>No</v>
      </c>
      <c r="I765" s="1"/>
      <c r="J765" s="1">
        <v>4370</v>
      </c>
      <c r="K765" s="1">
        <v>5023</v>
      </c>
      <c r="L765" s="1">
        <v>660</v>
      </c>
      <c r="M765" s="1">
        <f t="shared" si="58"/>
        <v>180</v>
      </c>
      <c r="N765" s="1">
        <v>180</v>
      </c>
      <c r="O765" s="1">
        <f t="shared" si="59"/>
        <v>0</v>
      </c>
      <c r="P765" s="1">
        <v>0</v>
      </c>
      <c r="Q765" s="1" t="s">
        <v>30</v>
      </c>
      <c r="R765" s="1" t="s">
        <v>26</v>
      </c>
    </row>
    <row r="766" spans="1:18" x14ac:dyDescent="0.35">
      <c r="A766" s="1" t="s">
        <v>797</v>
      </c>
      <c r="B766" s="1" t="str">
        <f t="shared" si="55"/>
        <v>Unknown</v>
      </c>
      <c r="C766" s="1"/>
      <c r="D766" s="1" t="str">
        <f t="shared" si="56"/>
        <v>Yes</v>
      </c>
      <c r="E766" s="1" t="s">
        <v>29</v>
      </c>
      <c r="F766" s="1">
        <v>0</v>
      </c>
      <c r="G766" s="1" t="s">
        <v>25</v>
      </c>
      <c r="H766" s="1" t="str">
        <f t="shared" si="57"/>
        <v>No</v>
      </c>
      <c r="I766" s="1"/>
      <c r="J766" s="1">
        <v>2279</v>
      </c>
      <c r="K766" s="1">
        <v>9398</v>
      </c>
      <c r="L766" s="1">
        <v>464</v>
      </c>
      <c r="M766" s="1">
        <f t="shared" si="58"/>
        <v>360</v>
      </c>
      <c r="N766" s="1">
        <v>360</v>
      </c>
      <c r="O766" s="1">
        <f t="shared" si="59"/>
        <v>0</v>
      </c>
      <c r="P766" s="1">
        <v>0</v>
      </c>
      <c r="Q766" s="1" t="s">
        <v>30</v>
      </c>
      <c r="R766" s="1" t="s">
        <v>20</v>
      </c>
    </row>
    <row r="767" spans="1:18" x14ac:dyDescent="0.35">
      <c r="A767" s="1" t="s">
        <v>798</v>
      </c>
      <c r="B767" s="1" t="str">
        <f t="shared" si="55"/>
        <v>Unknown</v>
      </c>
      <c r="C767" s="1"/>
      <c r="D767" s="1" t="str">
        <f t="shared" si="56"/>
        <v>Yes</v>
      </c>
      <c r="E767" s="1" t="s">
        <v>24</v>
      </c>
      <c r="F767" s="1">
        <v>0</v>
      </c>
      <c r="G767" s="1" t="s">
        <v>17</v>
      </c>
      <c r="H767" s="1" t="str">
        <f t="shared" si="57"/>
        <v>No</v>
      </c>
      <c r="I767" s="1"/>
      <c r="J767" s="1">
        <v>13128</v>
      </c>
      <c r="K767" s="1">
        <v>7098</v>
      </c>
      <c r="L767" s="1">
        <v>112</v>
      </c>
      <c r="M767" s="1">
        <f t="shared" si="58"/>
        <v>120</v>
      </c>
      <c r="N767" s="1">
        <v>120</v>
      </c>
      <c r="O767" s="1">
        <f t="shared" si="59"/>
        <v>1</v>
      </c>
      <c r="P767" s="1">
        <v>1</v>
      </c>
      <c r="Q767" s="1" t="s">
        <v>30</v>
      </c>
      <c r="R767" s="1" t="s">
        <v>20</v>
      </c>
    </row>
    <row r="768" spans="1:18" x14ac:dyDescent="0.35">
      <c r="A768" s="1" t="s">
        <v>799</v>
      </c>
      <c r="B768" s="1" t="str">
        <f t="shared" si="55"/>
        <v>Female</v>
      </c>
      <c r="C768" s="1" t="s">
        <v>28</v>
      </c>
      <c r="D768" s="1" t="str">
        <f t="shared" si="56"/>
        <v>No</v>
      </c>
      <c r="E768" s="1" t="s">
        <v>22</v>
      </c>
      <c r="F768" s="1">
        <v>0</v>
      </c>
      <c r="G768" s="1" t="s">
        <v>17</v>
      </c>
      <c r="H768" s="1" t="str">
        <f t="shared" si="57"/>
        <v>No</v>
      </c>
      <c r="I768" s="1"/>
      <c r="J768" s="1">
        <v>4817</v>
      </c>
      <c r="K768" s="1">
        <v>978</v>
      </c>
      <c r="L768" s="1">
        <v>182</v>
      </c>
      <c r="M768" s="1">
        <f t="shared" si="58"/>
        <v>360</v>
      </c>
      <c r="N768" s="1">
        <v>360</v>
      </c>
      <c r="O768" s="1">
        <f t="shared" si="59"/>
        <v>1</v>
      </c>
      <c r="P768" s="1">
        <v>1</v>
      </c>
      <c r="Q768" s="1" t="s">
        <v>19</v>
      </c>
      <c r="R768" s="1" t="s">
        <v>26</v>
      </c>
    </row>
    <row r="769" spans="1:18" x14ac:dyDescent="0.35">
      <c r="A769" s="1" t="s">
        <v>800</v>
      </c>
      <c r="B769" s="1" t="str">
        <f t="shared" si="55"/>
        <v>Unknown</v>
      </c>
      <c r="C769" s="1"/>
      <c r="D769" s="1" t="str">
        <f t="shared" si="56"/>
        <v>Yes</v>
      </c>
      <c r="E769" s="1" t="s">
        <v>29</v>
      </c>
      <c r="F769" s="1">
        <v>0</v>
      </c>
      <c r="G769" s="1" t="s">
        <v>25</v>
      </c>
      <c r="H769" s="1" t="str">
        <f t="shared" si="57"/>
        <v>Yes</v>
      </c>
      <c r="I769" s="1" t="s">
        <v>29</v>
      </c>
      <c r="J769" s="1">
        <v>18769</v>
      </c>
      <c r="K769" s="1">
        <v>1856</v>
      </c>
      <c r="L769" s="1">
        <v>674</v>
      </c>
      <c r="M769" s="1">
        <f t="shared" si="58"/>
        <v>180</v>
      </c>
      <c r="N769" s="1">
        <v>180</v>
      </c>
      <c r="O769" s="1">
        <f t="shared" si="59"/>
        <v>0</v>
      </c>
      <c r="P769" s="1"/>
      <c r="Q769" s="1" t="s">
        <v>30</v>
      </c>
      <c r="R769" s="1" t="s">
        <v>26</v>
      </c>
    </row>
    <row r="770" spans="1:18" x14ac:dyDescent="0.35">
      <c r="A770" s="1" t="s">
        <v>801</v>
      </c>
      <c r="B770" s="1" t="str">
        <f t="shared" ref="B770:B833" si="60">IF(ISBLANK(C770),"Unknown", IF(LOWER(TRIM(C770))="male","Male","Female"))</f>
        <v>Female</v>
      </c>
      <c r="C770" s="1" t="s">
        <v>28</v>
      </c>
      <c r="D770" s="1" t="str">
        <f t="shared" ref="D770:D833" si="61">IF(ISBLANK(E770),"No",PROPER(TRIM(E770)))</f>
        <v>No</v>
      </c>
      <c r="E770" s="1"/>
      <c r="F770" s="1">
        <v>0</v>
      </c>
      <c r="G770" s="1" t="s">
        <v>17</v>
      </c>
      <c r="H770" s="1" t="str">
        <f t="shared" ref="H770:H833" si="62">IF(ISBLANK(I770),"No",PROPER(TRIM(I770)))</f>
        <v>No</v>
      </c>
      <c r="I770" s="1" t="s">
        <v>22</v>
      </c>
      <c r="J770" s="1">
        <v>5709</v>
      </c>
      <c r="K770" s="1">
        <v>2149</v>
      </c>
      <c r="L770" s="1">
        <v>502</v>
      </c>
      <c r="M770" s="1">
        <f t="shared" ref="M770:M833" si="63">IF(ISBLANK(N770),360,N770)</f>
        <v>120</v>
      </c>
      <c r="N770" s="1">
        <v>120</v>
      </c>
      <c r="O770" s="1">
        <f t="shared" ref="O770:O833" si="64">IF(ISBLANK(P770),0,P770)</f>
        <v>0</v>
      </c>
      <c r="P770" s="1">
        <v>0</v>
      </c>
      <c r="Q770" s="1" t="s">
        <v>41</v>
      </c>
      <c r="R770" s="1" t="s">
        <v>26</v>
      </c>
    </row>
    <row r="771" spans="1:18" x14ac:dyDescent="0.35">
      <c r="A771" s="1" t="s">
        <v>802</v>
      </c>
      <c r="B771" s="1" t="str">
        <f t="shared" si="60"/>
        <v>Female</v>
      </c>
      <c r="C771" s="1" t="s">
        <v>43</v>
      </c>
      <c r="D771" s="1" t="str">
        <f t="shared" si="61"/>
        <v>Yes</v>
      </c>
      <c r="E771" s="1" t="s">
        <v>24</v>
      </c>
      <c r="F771" s="1">
        <v>0</v>
      </c>
      <c r="G771" s="1" t="s">
        <v>17</v>
      </c>
      <c r="H771" s="1" t="str">
        <f t="shared" si="62"/>
        <v>Yes</v>
      </c>
      <c r="I771" s="1" t="s">
        <v>29</v>
      </c>
      <c r="J771" s="1">
        <v>5447</v>
      </c>
      <c r="K771" s="1">
        <v>9056</v>
      </c>
      <c r="L771" s="1">
        <v>366</v>
      </c>
      <c r="M771" s="1">
        <f t="shared" si="63"/>
        <v>360</v>
      </c>
      <c r="N771" s="1"/>
      <c r="O771" s="1">
        <f t="shared" si="64"/>
        <v>0</v>
      </c>
      <c r="P771" s="1">
        <v>0</v>
      </c>
      <c r="Q771" s="1" t="s">
        <v>19</v>
      </c>
      <c r="R771" s="1" t="s">
        <v>20</v>
      </c>
    </row>
    <row r="772" spans="1:18" x14ac:dyDescent="0.35">
      <c r="A772" s="1" t="s">
        <v>803</v>
      </c>
      <c r="B772" s="1" t="str">
        <f t="shared" si="60"/>
        <v>Female</v>
      </c>
      <c r="C772" s="1" t="s">
        <v>28</v>
      </c>
      <c r="D772" s="1" t="str">
        <f t="shared" si="61"/>
        <v>No</v>
      </c>
      <c r="E772" s="1"/>
      <c r="F772" s="1">
        <v>1</v>
      </c>
      <c r="G772" s="1" t="s">
        <v>17</v>
      </c>
      <c r="H772" s="1" t="str">
        <f t="shared" si="62"/>
        <v>No</v>
      </c>
      <c r="I772" s="1"/>
      <c r="J772" s="1">
        <v>1715</v>
      </c>
      <c r="K772" s="1">
        <v>7331</v>
      </c>
      <c r="L772" s="1">
        <v>617</v>
      </c>
      <c r="M772" s="1">
        <f t="shared" si="63"/>
        <v>360</v>
      </c>
      <c r="N772" s="1"/>
      <c r="O772" s="1">
        <f t="shared" si="64"/>
        <v>1</v>
      </c>
      <c r="P772" s="1">
        <v>1</v>
      </c>
      <c r="Q772" s="1" t="s">
        <v>30</v>
      </c>
      <c r="R772" s="1" t="s">
        <v>26</v>
      </c>
    </row>
    <row r="773" spans="1:18" x14ac:dyDescent="0.35">
      <c r="A773" s="1" t="s">
        <v>804</v>
      </c>
      <c r="B773" s="1" t="str">
        <f t="shared" si="60"/>
        <v>Unknown</v>
      </c>
      <c r="C773" s="1"/>
      <c r="D773" s="1" t="str">
        <f t="shared" si="61"/>
        <v>Yes</v>
      </c>
      <c r="E773" s="1" t="s">
        <v>15</v>
      </c>
      <c r="F773" s="1">
        <v>0</v>
      </c>
      <c r="G773" s="1" t="s">
        <v>25</v>
      </c>
      <c r="H773" s="1" t="str">
        <f t="shared" si="62"/>
        <v>No</v>
      </c>
      <c r="I773" s="1" t="s">
        <v>36</v>
      </c>
      <c r="J773" s="1">
        <v>4188</v>
      </c>
      <c r="K773" s="1">
        <v>2749</v>
      </c>
      <c r="L773" s="1">
        <v>430</v>
      </c>
      <c r="M773" s="1">
        <f t="shared" si="63"/>
        <v>360</v>
      </c>
      <c r="N773" s="1">
        <v>360</v>
      </c>
      <c r="O773" s="1">
        <f t="shared" si="64"/>
        <v>1</v>
      </c>
      <c r="P773" s="1">
        <v>1</v>
      </c>
      <c r="Q773" s="1" t="s">
        <v>41</v>
      </c>
      <c r="R773" s="1" t="s">
        <v>26</v>
      </c>
    </row>
    <row r="774" spans="1:18" x14ac:dyDescent="0.35">
      <c r="A774" s="1" t="s">
        <v>805</v>
      </c>
      <c r="B774" s="1" t="str">
        <f t="shared" si="60"/>
        <v>Unknown</v>
      </c>
      <c r="C774" s="1"/>
      <c r="D774" s="1" t="str">
        <f t="shared" si="61"/>
        <v>No</v>
      </c>
      <c r="E774" s="1"/>
      <c r="F774" s="1">
        <v>2</v>
      </c>
      <c r="G774" s="1" t="s">
        <v>25</v>
      </c>
      <c r="H774" s="1" t="str">
        <f t="shared" si="62"/>
        <v>Yes</v>
      </c>
      <c r="I774" s="1" t="s">
        <v>24</v>
      </c>
      <c r="J774" s="1">
        <v>6156</v>
      </c>
      <c r="K774" s="1">
        <v>6754</v>
      </c>
      <c r="L774" s="1">
        <v>596</v>
      </c>
      <c r="M774" s="1">
        <f t="shared" si="63"/>
        <v>360</v>
      </c>
      <c r="N774" s="1">
        <v>360</v>
      </c>
      <c r="O774" s="1">
        <f t="shared" si="64"/>
        <v>0</v>
      </c>
      <c r="P774" s="1"/>
      <c r="Q774" s="1" t="s">
        <v>30</v>
      </c>
      <c r="R774" s="1" t="s">
        <v>26</v>
      </c>
    </row>
    <row r="775" spans="1:18" x14ac:dyDescent="0.35">
      <c r="A775" s="1" t="s">
        <v>806</v>
      </c>
      <c r="B775" s="1" t="str">
        <f t="shared" si="60"/>
        <v>Unknown</v>
      </c>
      <c r="C775" s="1"/>
      <c r="D775" s="1" t="str">
        <f t="shared" si="61"/>
        <v>Yes</v>
      </c>
      <c r="E775" s="1" t="s">
        <v>29</v>
      </c>
      <c r="F775" s="1">
        <v>1</v>
      </c>
      <c r="G775" s="1" t="s">
        <v>17</v>
      </c>
      <c r="H775" s="1" t="str">
        <f t="shared" si="62"/>
        <v>Yes</v>
      </c>
      <c r="I775" s="1" t="s">
        <v>29</v>
      </c>
      <c r="J775" s="1">
        <v>19364</v>
      </c>
      <c r="K775" s="1">
        <v>6387</v>
      </c>
      <c r="L775" s="1">
        <v>582</v>
      </c>
      <c r="M775" s="1">
        <f t="shared" si="63"/>
        <v>120</v>
      </c>
      <c r="N775" s="1">
        <v>120</v>
      </c>
      <c r="O775" s="1">
        <f t="shared" si="64"/>
        <v>0</v>
      </c>
      <c r="P775" s="1"/>
      <c r="Q775" s="1" t="s">
        <v>30</v>
      </c>
      <c r="R775" s="1" t="s">
        <v>20</v>
      </c>
    </row>
    <row r="776" spans="1:18" x14ac:dyDescent="0.35">
      <c r="A776" s="1" t="s">
        <v>807</v>
      </c>
      <c r="B776" s="1" t="str">
        <f t="shared" si="60"/>
        <v>Male</v>
      </c>
      <c r="C776" s="1" t="s">
        <v>14</v>
      </c>
      <c r="D776" s="1" t="str">
        <f t="shared" si="61"/>
        <v>Yes</v>
      </c>
      <c r="E776" s="1" t="s">
        <v>29</v>
      </c>
      <c r="F776" s="1">
        <v>0</v>
      </c>
      <c r="G776" s="1" t="s">
        <v>17</v>
      </c>
      <c r="H776" s="1" t="str">
        <f t="shared" si="62"/>
        <v>No</v>
      </c>
      <c r="I776" s="1"/>
      <c r="J776" s="1">
        <v>12301</v>
      </c>
      <c r="K776" s="1">
        <v>4381</v>
      </c>
      <c r="L776" s="1">
        <v>261</v>
      </c>
      <c r="M776" s="1">
        <f t="shared" si="63"/>
        <v>120</v>
      </c>
      <c r="N776" s="1">
        <v>120</v>
      </c>
      <c r="O776" s="1">
        <f t="shared" si="64"/>
        <v>0</v>
      </c>
      <c r="P776" s="1">
        <v>0</v>
      </c>
      <c r="Q776" s="1" t="s">
        <v>19</v>
      </c>
      <c r="R776" s="1" t="s">
        <v>26</v>
      </c>
    </row>
    <row r="777" spans="1:18" x14ac:dyDescent="0.35">
      <c r="A777" s="1" t="s">
        <v>808</v>
      </c>
      <c r="B777" s="1" t="str">
        <f t="shared" si="60"/>
        <v>Female</v>
      </c>
      <c r="C777" s="1" t="s">
        <v>61</v>
      </c>
      <c r="D777" s="1" t="str">
        <f t="shared" si="61"/>
        <v>No</v>
      </c>
      <c r="E777" s="1"/>
      <c r="F777" s="1">
        <v>0</v>
      </c>
      <c r="G777" s="1" t="s">
        <v>17</v>
      </c>
      <c r="H777" s="1" t="str">
        <f t="shared" si="62"/>
        <v>No</v>
      </c>
      <c r="I777" s="1"/>
      <c r="J777" s="1">
        <v>16333</v>
      </c>
      <c r="K777" s="1">
        <v>6678</v>
      </c>
      <c r="L777" s="1">
        <v>650</v>
      </c>
      <c r="M777" s="1">
        <f t="shared" si="63"/>
        <v>360</v>
      </c>
      <c r="N777" s="1">
        <v>360</v>
      </c>
      <c r="O777" s="1">
        <f t="shared" si="64"/>
        <v>1</v>
      </c>
      <c r="P777" s="1">
        <v>1</v>
      </c>
      <c r="Q777" s="1" t="s">
        <v>30</v>
      </c>
      <c r="R777" s="1" t="s">
        <v>26</v>
      </c>
    </row>
    <row r="778" spans="1:18" x14ac:dyDescent="0.35">
      <c r="A778" s="1" t="s">
        <v>809</v>
      </c>
      <c r="B778" s="1" t="str">
        <f t="shared" si="60"/>
        <v>Male</v>
      </c>
      <c r="C778" s="1" t="s">
        <v>52</v>
      </c>
      <c r="D778" s="1" t="str">
        <f t="shared" si="61"/>
        <v>Yes</v>
      </c>
      <c r="E778" s="1" t="s">
        <v>29</v>
      </c>
      <c r="F778" s="1">
        <v>0</v>
      </c>
      <c r="G778" s="1" t="s">
        <v>17</v>
      </c>
      <c r="H778" s="1" t="str">
        <f t="shared" si="62"/>
        <v>Yes</v>
      </c>
      <c r="I778" s="1" t="s">
        <v>29</v>
      </c>
      <c r="J778" s="1">
        <v>11162</v>
      </c>
      <c r="K778" s="1">
        <v>853</v>
      </c>
      <c r="L778" s="1">
        <v>235</v>
      </c>
      <c r="M778" s="1">
        <f t="shared" si="63"/>
        <v>360</v>
      </c>
      <c r="N778" s="1"/>
      <c r="O778" s="1">
        <f t="shared" si="64"/>
        <v>0</v>
      </c>
      <c r="P778" s="1">
        <v>0</v>
      </c>
      <c r="Q778" s="1" t="s">
        <v>41</v>
      </c>
      <c r="R778" s="1" t="s">
        <v>26</v>
      </c>
    </row>
    <row r="779" spans="1:18" x14ac:dyDescent="0.35">
      <c r="A779" s="1" t="s">
        <v>810</v>
      </c>
      <c r="B779" s="1" t="str">
        <f t="shared" si="60"/>
        <v>Male</v>
      </c>
      <c r="C779" s="1" t="s">
        <v>33</v>
      </c>
      <c r="D779" s="1" t="str">
        <f t="shared" si="61"/>
        <v>No</v>
      </c>
      <c r="E779" s="1"/>
      <c r="F779" s="1">
        <v>0</v>
      </c>
      <c r="G779" s="1" t="s">
        <v>17</v>
      </c>
      <c r="H779" s="1" t="str">
        <f t="shared" si="62"/>
        <v>Yes</v>
      </c>
      <c r="I779" s="1" t="s">
        <v>24</v>
      </c>
      <c r="J779" s="1">
        <v>18569</v>
      </c>
      <c r="K779" s="1">
        <v>8930</v>
      </c>
      <c r="L779" s="1">
        <v>464</v>
      </c>
      <c r="M779" s="1">
        <f t="shared" si="63"/>
        <v>180</v>
      </c>
      <c r="N779" s="1">
        <v>180</v>
      </c>
      <c r="O779" s="1">
        <f t="shared" si="64"/>
        <v>0</v>
      </c>
      <c r="P779" s="1">
        <v>0</v>
      </c>
      <c r="Q779" s="1" t="s">
        <v>41</v>
      </c>
      <c r="R779" s="1" t="s">
        <v>26</v>
      </c>
    </row>
    <row r="780" spans="1:18" x14ac:dyDescent="0.35">
      <c r="A780" s="1" t="s">
        <v>811</v>
      </c>
      <c r="B780" s="1" t="str">
        <f t="shared" si="60"/>
        <v>Female</v>
      </c>
      <c r="C780" s="1" t="s">
        <v>61</v>
      </c>
      <c r="D780" s="1" t="str">
        <f t="shared" si="61"/>
        <v>No</v>
      </c>
      <c r="E780" s="1" t="s">
        <v>22</v>
      </c>
      <c r="F780" s="1" t="s">
        <v>16</v>
      </c>
      <c r="G780" s="1" t="s">
        <v>17</v>
      </c>
      <c r="H780" s="1" t="str">
        <f t="shared" si="62"/>
        <v>No</v>
      </c>
      <c r="I780" s="1"/>
      <c r="J780" s="1">
        <v>19801</v>
      </c>
      <c r="K780" s="1">
        <v>33</v>
      </c>
      <c r="L780" s="1">
        <v>339</v>
      </c>
      <c r="M780" s="1">
        <f t="shared" si="63"/>
        <v>360</v>
      </c>
      <c r="N780" s="1"/>
      <c r="O780" s="1">
        <f t="shared" si="64"/>
        <v>1</v>
      </c>
      <c r="P780" s="1">
        <v>1</v>
      </c>
      <c r="Q780" s="1" t="s">
        <v>19</v>
      </c>
      <c r="R780" s="1" t="s">
        <v>26</v>
      </c>
    </row>
    <row r="781" spans="1:18" x14ac:dyDescent="0.35">
      <c r="A781" s="1" t="s">
        <v>812</v>
      </c>
      <c r="B781" s="1" t="str">
        <f t="shared" si="60"/>
        <v>Male</v>
      </c>
      <c r="C781" s="1" t="s">
        <v>52</v>
      </c>
      <c r="D781" s="1" t="str">
        <f t="shared" si="61"/>
        <v>Yes</v>
      </c>
      <c r="E781" s="1" t="s">
        <v>29</v>
      </c>
      <c r="F781" s="1">
        <v>1</v>
      </c>
      <c r="G781" s="1" t="s">
        <v>17</v>
      </c>
      <c r="H781" s="1" t="str">
        <f t="shared" si="62"/>
        <v>No</v>
      </c>
      <c r="I781" s="1"/>
      <c r="J781" s="1">
        <v>12479</v>
      </c>
      <c r="K781" s="1">
        <v>8043</v>
      </c>
      <c r="L781" s="1">
        <v>400</v>
      </c>
      <c r="M781" s="1">
        <f t="shared" si="63"/>
        <v>180</v>
      </c>
      <c r="N781" s="1">
        <v>180</v>
      </c>
      <c r="O781" s="1">
        <f t="shared" si="64"/>
        <v>0</v>
      </c>
      <c r="P781" s="1"/>
      <c r="Q781" s="1" t="s">
        <v>19</v>
      </c>
      <c r="R781" s="1" t="s">
        <v>20</v>
      </c>
    </row>
    <row r="782" spans="1:18" x14ac:dyDescent="0.35">
      <c r="A782" s="1" t="s">
        <v>813</v>
      </c>
      <c r="B782" s="1" t="str">
        <f t="shared" si="60"/>
        <v>Female</v>
      </c>
      <c r="C782" s="1" t="s">
        <v>61</v>
      </c>
      <c r="D782" s="1" t="str">
        <f t="shared" si="61"/>
        <v>No</v>
      </c>
      <c r="E782" s="1" t="s">
        <v>22</v>
      </c>
      <c r="F782" s="1" t="s">
        <v>16</v>
      </c>
      <c r="G782" s="1" t="s">
        <v>25</v>
      </c>
      <c r="H782" s="1" t="str">
        <f t="shared" si="62"/>
        <v>Yes</v>
      </c>
      <c r="I782" s="1" t="s">
        <v>24</v>
      </c>
      <c r="J782" s="1">
        <v>6098</v>
      </c>
      <c r="K782" s="1">
        <v>9865</v>
      </c>
      <c r="L782" s="1">
        <v>700</v>
      </c>
      <c r="M782" s="1">
        <f t="shared" si="63"/>
        <v>180</v>
      </c>
      <c r="N782" s="1">
        <v>180</v>
      </c>
      <c r="O782" s="1">
        <f t="shared" si="64"/>
        <v>1</v>
      </c>
      <c r="P782" s="1">
        <v>1</v>
      </c>
      <c r="Q782" s="1" t="s">
        <v>19</v>
      </c>
      <c r="R782" s="1" t="s">
        <v>26</v>
      </c>
    </row>
    <row r="783" spans="1:18" x14ac:dyDescent="0.35">
      <c r="A783" s="1" t="s">
        <v>814</v>
      </c>
      <c r="B783" s="1" t="str">
        <f t="shared" si="60"/>
        <v>Unknown</v>
      </c>
      <c r="C783" s="1"/>
      <c r="D783" s="1" t="str">
        <f t="shared" si="61"/>
        <v>Yes</v>
      </c>
      <c r="E783" s="1" t="s">
        <v>24</v>
      </c>
      <c r="F783" s="1" t="s">
        <v>16</v>
      </c>
      <c r="G783" s="1" t="s">
        <v>25</v>
      </c>
      <c r="H783" s="1" t="str">
        <f t="shared" si="62"/>
        <v>No</v>
      </c>
      <c r="I783" s="1" t="s">
        <v>22</v>
      </c>
      <c r="J783" s="1">
        <v>13790</v>
      </c>
      <c r="K783" s="1">
        <v>9741</v>
      </c>
      <c r="L783" s="1">
        <v>149</v>
      </c>
      <c r="M783" s="1">
        <f t="shared" si="63"/>
        <v>120</v>
      </c>
      <c r="N783" s="1">
        <v>120</v>
      </c>
      <c r="O783" s="1">
        <f t="shared" si="64"/>
        <v>0</v>
      </c>
      <c r="P783" s="1">
        <v>0</v>
      </c>
      <c r="Q783" s="1" t="s">
        <v>41</v>
      </c>
      <c r="R783" s="1" t="s">
        <v>26</v>
      </c>
    </row>
    <row r="784" spans="1:18" x14ac:dyDescent="0.35">
      <c r="A784" s="1" t="s">
        <v>815</v>
      </c>
      <c r="B784" s="1" t="str">
        <f t="shared" si="60"/>
        <v>Male</v>
      </c>
      <c r="C784" s="1" t="s">
        <v>14</v>
      </c>
      <c r="D784" s="1" t="str">
        <f t="shared" si="61"/>
        <v>No</v>
      </c>
      <c r="E784" s="1" t="s">
        <v>22</v>
      </c>
      <c r="F784" s="1" t="s">
        <v>16</v>
      </c>
      <c r="G784" s="1" t="s">
        <v>17</v>
      </c>
      <c r="H784" s="1" t="str">
        <f t="shared" si="62"/>
        <v>No</v>
      </c>
      <c r="I784" s="1" t="s">
        <v>22</v>
      </c>
      <c r="J784" s="1">
        <v>3539</v>
      </c>
      <c r="K784" s="1">
        <v>5575</v>
      </c>
      <c r="L784" s="1">
        <v>353</v>
      </c>
      <c r="M784" s="1">
        <f t="shared" si="63"/>
        <v>360</v>
      </c>
      <c r="N784" s="1">
        <v>360</v>
      </c>
      <c r="O784" s="1">
        <f t="shared" si="64"/>
        <v>1</v>
      </c>
      <c r="P784" s="1">
        <v>1</v>
      </c>
      <c r="Q784" s="1" t="s">
        <v>41</v>
      </c>
      <c r="R784" s="1" t="s">
        <v>20</v>
      </c>
    </row>
    <row r="785" spans="1:18" x14ac:dyDescent="0.35">
      <c r="A785" s="1" t="s">
        <v>816</v>
      </c>
      <c r="B785" s="1" t="str">
        <f t="shared" si="60"/>
        <v>Female</v>
      </c>
      <c r="C785" s="1" t="s">
        <v>43</v>
      </c>
      <c r="D785" s="1" t="str">
        <f t="shared" si="61"/>
        <v>No</v>
      </c>
      <c r="E785" s="1"/>
      <c r="F785" s="1" t="s">
        <v>16</v>
      </c>
      <c r="G785" s="1" t="s">
        <v>17</v>
      </c>
      <c r="H785" s="1" t="str">
        <f t="shared" si="62"/>
        <v>Yes</v>
      </c>
      <c r="I785" s="1" t="s">
        <v>15</v>
      </c>
      <c r="J785" s="1">
        <v>2970</v>
      </c>
      <c r="K785" s="1">
        <v>2347</v>
      </c>
      <c r="L785" s="1">
        <v>344</v>
      </c>
      <c r="M785" s="1">
        <f t="shared" si="63"/>
        <v>360</v>
      </c>
      <c r="N785" s="1"/>
      <c r="O785" s="1">
        <f t="shared" si="64"/>
        <v>1</v>
      </c>
      <c r="P785" s="1">
        <v>1</v>
      </c>
      <c r="Q785" s="1" t="s">
        <v>19</v>
      </c>
      <c r="R785" s="1" t="s">
        <v>20</v>
      </c>
    </row>
    <row r="786" spans="1:18" x14ac:dyDescent="0.35">
      <c r="A786" s="1" t="s">
        <v>817</v>
      </c>
      <c r="B786" s="1" t="str">
        <f t="shared" si="60"/>
        <v>Male</v>
      </c>
      <c r="C786" s="1" t="s">
        <v>52</v>
      </c>
      <c r="D786" s="1" t="str">
        <f t="shared" si="61"/>
        <v>No</v>
      </c>
      <c r="E786" s="1" t="s">
        <v>18</v>
      </c>
      <c r="F786" s="1" t="s">
        <v>16</v>
      </c>
      <c r="G786" s="1" t="s">
        <v>25</v>
      </c>
      <c r="H786" s="1" t="str">
        <f t="shared" si="62"/>
        <v>Yes</v>
      </c>
      <c r="I786" s="1" t="s">
        <v>29</v>
      </c>
      <c r="J786" s="1">
        <v>2747</v>
      </c>
      <c r="K786" s="1">
        <v>3517</v>
      </c>
      <c r="L786" s="1">
        <v>559</v>
      </c>
      <c r="M786" s="1">
        <f t="shared" si="63"/>
        <v>180</v>
      </c>
      <c r="N786" s="1">
        <v>180</v>
      </c>
      <c r="O786" s="1">
        <f t="shared" si="64"/>
        <v>0</v>
      </c>
      <c r="P786" s="1">
        <v>0</v>
      </c>
      <c r="Q786" s="1" t="s">
        <v>19</v>
      </c>
      <c r="R786" s="1" t="s">
        <v>20</v>
      </c>
    </row>
    <row r="787" spans="1:18" x14ac:dyDescent="0.35">
      <c r="A787" s="1" t="s">
        <v>818</v>
      </c>
      <c r="B787" s="1" t="str">
        <f t="shared" si="60"/>
        <v>Unknown</v>
      </c>
      <c r="C787" s="1"/>
      <c r="D787" s="1" t="str">
        <f t="shared" si="61"/>
        <v>Yes</v>
      </c>
      <c r="E787" s="1" t="s">
        <v>29</v>
      </c>
      <c r="F787" s="1" t="s">
        <v>16</v>
      </c>
      <c r="G787" s="1" t="s">
        <v>25</v>
      </c>
      <c r="H787" s="1" t="str">
        <f t="shared" si="62"/>
        <v>No</v>
      </c>
      <c r="I787" s="1" t="s">
        <v>18</v>
      </c>
      <c r="J787" s="1">
        <v>7809</v>
      </c>
      <c r="K787" s="1">
        <v>2243</v>
      </c>
      <c r="L787" s="1">
        <v>213</v>
      </c>
      <c r="M787" s="1">
        <f t="shared" si="63"/>
        <v>180</v>
      </c>
      <c r="N787" s="1">
        <v>180</v>
      </c>
      <c r="O787" s="1">
        <f t="shared" si="64"/>
        <v>1</v>
      </c>
      <c r="P787" s="1">
        <v>1</v>
      </c>
      <c r="Q787" s="1" t="s">
        <v>19</v>
      </c>
      <c r="R787" s="1" t="s">
        <v>26</v>
      </c>
    </row>
    <row r="788" spans="1:18" x14ac:dyDescent="0.35">
      <c r="A788" s="1" t="s">
        <v>819</v>
      </c>
      <c r="B788" s="1" t="str">
        <f t="shared" si="60"/>
        <v>Female</v>
      </c>
      <c r="C788" s="1" t="s">
        <v>61</v>
      </c>
      <c r="D788" s="1" t="str">
        <f t="shared" si="61"/>
        <v>Yes</v>
      </c>
      <c r="E788" s="1" t="s">
        <v>29</v>
      </c>
      <c r="F788" s="1" t="s">
        <v>16</v>
      </c>
      <c r="G788" s="1" t="s">
        <v>25</v>
      </c>
      <c r="H788" s="1" t="str">
        <f t="shared" si="62"/>
        <v>No</v>
      </c>
      <c r="I788" s="1"/>
      <c r="J788" s="1">
        <v>3238</v>
      </c>
      <c r="K788" s="1">
        <v>33</v>
      </c>
      <c r="L788" s="1">
        <v>571</v>
      </c>
      <c r="M788" s="1">
        <f t="shared" si="63"/>
        <v>180</v>
      </c>
      <c r="N788" s="1">
        <v>180</v>
      </c>
      <c r="O788" s="1">
        <f t="shared" si="64"/>
        <v>0</v>
      </c>
      <c r="P788" s="1">
        <v>0</v>
      </c>
      <c r="Q788" s="1" t="s">
        <v>19</v>
      </c>
      <c r="R788" s="1" t="s">
        <v>20</v>
      </c>
    </row>
    <row r="789" spans="1:18" x14ac:dyDescent="0.35">
      <c r="A789" s="1" t="s">
        <v>820</v>
      </c>
      <c r="B789" s="1" t="str">
        <f t="shared" si="60"/>
        <v>Female</v>
      </c>
      <c r="C789" s="1" t="s">
        <v>28</v>
      </c>
      <c r="D789" s="1" t="str">
        <f t="shared" si="61"/>
        <v>No</v>
      </c>
      <c r="E789" s="1" t="s">
        <v>18</v>
      </c>
      <c r="F789" s="1" t="s">
        <v>16</v>
      </c>
      <c r="G789" s="1" t="s">
        <v>25</v>
      </c>
      <c r="H789" s="1" t="str">
        <f t="shared" si="62"/>
        <v>No</v>
      </c>
      <c r="I789" s="1"/>
      <c r="J789" s="1">
        <v>6459</v>
      </c>
      <c r="K789" s="1">
        <v>4361</v>
      </c>
      <c r="L789" s="1">
        <v>646</v>
      </c>
      <c r="M789" s="1">
        <f t="shared" si="63"/>
        <v>180</v>
      </c>
      <c r="N789" s="1">
        <v>180</v>
      </c>
      <c r="O789" s="1">
        <f t="shared" si="64"/>
        <v>0</v>
      </c>
      <c r="P789" s="1"/>
      <c r="Q789" s="1" t="s">
        <v>30</v>
      </c>
      <c r="R789" s="1" t="s">
        <v>26</v>
      </c>
    </row>
    <row r="790" spans="1:18" x14ac:dyDescent="0.35">
      <c r="A790" s="1" t="s">
        <v>821</v>
      </c>
      <c r="B790" s="1" t="str">
        <f t="shared" si="60"/>
        <v>Male</v>
      </c>
      <c r="C790" s="1" t="s">
        <v>33</v>
      </c>
      <c r="D790" s="1" t="str">
        <f t="shared" si="61"/>
        <v>Yes</v>
      </c>
      <c r="E790" s="1" t="s">
        <v>29</v>
      </c>
      <c r="F790" s="1" t="s">
        <v>16</v>
      </c>
      <c r="G790" s="1" t="s">
        <v>25</v>
      </c>
      <c r="H790" s="1" t="str">
        <f t="shared" si="62"/>
        <v>No</v>
      </c>
      <c r="I790" s="1" t="s">
        <v>18</v>
      </c>
      <c r="J790" s="1">
        <v>17400</v>
      </c>
      <c r="K790" s="1">
        <v>5527</v>
      </c>
      <c r="L790" s="1">
        <v>372</v>
      </c>
      <c r="M790" s="1">
        <f t="shared" si="63"/>
        <v>360</v>
      </c>
      <c r="N790" s="1"/>
      <c r="O790" s="1">
        <f t="shared" si="64"/>
        <v>1</v>
      </c>
      <c r="P790" s="1">
        <v>1</v>
      </c>
      <c r="Q790" s="1" t="s">
        <v>19</v>
      </c>
      <c r="R790" s="1" t="s">
        <v>20</v>
      </c>
    </row>
    <row r="791" spans="1:18" x14ac:dyDescent="0.35">
      <c r="A791" s="1" t="s">
        <v>822</v>
      </c>
      <c r="B791" s="1" t="str">
        <f t="shared" si="60"/>
        <v>Female</v>
      </c>
      <c r="C791" s="1" t="s">
        <v>61</v>
      </c>
      <c r="D791" s="1" t="str">
        <f t="shared" si="61"/>
        <v>No</v>
      </c>
      <c r="E791" s="1"/>
      <c r="F791" s="1">
        <v>0</v>
      </c>
      <c r="G791" s="1" t="s">
        <v>17</v>
      </c>
      <c r="H791" s="1" t="str">
        <f t="shared" si="62"/>
        <v>Yes</v>
      </c>
      <c r="I791" s="1" t="s">
        <v>29</v>
      </c>
      <c r="J791" s="1">
        <v>16439</v>
      </c>
      <c r="K791" s="1">
        <v>7144</v>
      </c>
      <c r="L791" s="1">
        <v>610</v>
      </c>
      <c r="M791" s="1">
        <f t="shared" si="63"/>
        <v>360</v>
      </c>
      <c r="N791" s="1"/>
      <c r="O791" s="1">
        <f t="shared" si="64"/>
        <v>0</v>
      </c>
      <c r="P791" s="1">
        <v>0</v>
      </c>
      <c r="Q791" s="1" t="s">
        <v>41</v>
      </c>
      <c r="R791" s="1" t="s">
        <v>26</v>
      </c>
    </row>
    <row r="792" spans="1:18" x14ac:dyDescent="0.35">
      <c r="A792" s="1" t="s">
        <v>823</v>
      </c>
      <c r="B792" s="1" t="str">
        <f t="shared" si="60"/>
        <v>Female</v>
      </c>
      <c r="C792" s="1" t="s">
        <v>61</v>
      </c>
      <c r="D792" s="1" t="str">
        <f t="shared" si="61"/>
        <v>No</v>
      </c>
      <c r="E792" s="1"/>
      <c r="F792" s="1" t="s">
        <v>16</v>
      </c>
      <c r="G792" s="1" t="s">
        <v>17</v>
      </c>
      <c r="H792" s="1" t="str">
        <f t="shared" si="62"/>
        <v>No</v>
      </c>
      <c r="I792" s="1"/>
      <c r="J792" s="1">
        <v>9132</v>
      </c>
      <c r="K792" s="1">
        <v>8723</v>
      </c>
      <c r="L792" s="1">
        <v>667</v>
      </c>
      <c r="M792" s="1">
        <f t="shared" si="63"/>
        <v>360</v>
      </c>
      <c r="N792" s="1"/>
      <c r="O792" s="1">
        <f t="shared" si="64"/>
        <v>1</v>
      </c>
      <c r="P792" s="1">
        <v>1</v>
      </c>
      <c r="Q792" s="1" t="s">
        <v>41</v>
      </c>
      <c r="R792" s="1" t="s">
        <v>20</v>
      </c>
    </row>
    <row r="793" spans="1:18" x14ac:dyDescent="0.35">
      <c r="A793" s="1" t="s">
        <v>824</v>
      </c>
      <c r="B793" s="1" t="str">
        <f t="shared" si="60"/>
        <v>Unknown</v>
      </c>
      <c r="C793" s="1"/>
      <c r="D793" s="1" t="str">
        <f t="shared" si="61"/>
        <v>No</v>
      </c>
      <c r="E793" s="1"/>
      <c r="F793" s="1">
        <v>2</v>
      </c>
      <c r="G793" s="1" t="s">
        <v>25</v>
      </c>
      <c r="H793" s="1" t="str">
        <f t="shared" si="62"/>
        <v>No</v>
      </c>
      <c r="I793" s="1"/>
      <c r="J793" s="1">
        <v>11610</v>
      </c>
      <c r="K793" s="1">
        <v>7663</v>
      </c>
      <c r="L793" s="1">
        <v>350</v>
      </c>
      <c r="M793" s="1">
        <f t="shared" si="63"/>
        <v>360</v>
      </c>
      <c r="N793" s="1">
        <v>360</v>
      </c>
      <c r="O793" s="1">
        <f t="shared" si="64"/>
        <v>1</v>
      </c>
      <c r="P793" s="1">
        <v>1</v>
      </c>
      <c r="Q793" s="1" t="s">
        <v>41</v>
      </c>
      <c r="R793" s="1" t="s">
        <v>26</v>
      </c>
    </row>
    <row r="794" spans="1:18" x14ac:dyDescent="0.35">
      <c r="A794" s="1" t="s">
        <v>825</v>
      </c>
      <c r="B794" s="1" t="str">
        <f t="shared" si="60"/>
        <v>Male</v>
      </c>
      <c r="C794" s="1" t="s">
        <v>52</v>
      </c>
      <c r="D794" s="1" t="str">
        <f t="shared" si="61"/>
        <v>No</v>
      </c>
      <c r="E794" s="1" t="s">
        <v>18</v>
      </c>
      <c r="F794" s="1" t="s">
        <v>16</v>
      </c>
      <c r="G794" s="1" t="s">
        <v>17</v>
      </c>
      <c r="H794" s="1" t="str">
        <f t="shared" si="62"/>
        <v>No</v>
      </c>
      <c r="I794" s="1"/>
      <c r="J794" s="1">
        <v>10408</v>
      </c>
      <c r="K794" s="1">
        <v>3695</v>
      </c>
      <c r="L794" s="1">
        <v>395</v>
      </c>
      <c r="M794" s="1">
        <f t="shared" si="63"/>
        <v>180</v>
      </c>
      <c r="N794" s="1">
        <v>180</v>
      </c>
      <c r="O794" s="1">
        <f t="shared" si="64"/>
        <v>0</v>
      </c>
      <c r="P794" s="1"/>
      <c r="Q794" s="1" t="s">
        <v>30</v>
      </c>
      <c r="R794" s="1" t="s">
        <v>26</v>
      </c>
    </row>
    <row r="795" spans="1:18" x14ac:dyDescent="0.35">
      <c r="A795" s="1" t="s">
        <v>826</v>
      </c>
      <c r="B795" s="1" t="str">
        <f t="shared" si="60"/>
        <v>Female</v>
      </c>
      <c r="C795" s="1" t="s">
        <v>43</v>
      </c>
      <c r="D795" s="1" t="str">
        <f t="shared" si="61"/>
        <v>No</v>
      </c>
      <c r="E795" s="1"/>
      <c r="F795" s="1">
        <v>2</v>
      </c>
      <c r="G795" s="1" t="s">
        <v>17</v>
      </c>
      <c r="H795" s="1" t="str">
        <f t="shared" si="62"/>
        <v>No</v>
      </c>
      <c r="I795" s="1"/>
      <c r="J795" s="1">
        <v>3807</v>
      </c>
      <c r="K795" s="1">
        <v>2480</v>
      </c>
      <c r="L795" s="1">
        <v>369</v>
      </c>
      <c r="M795" s="1">
        <f t="shared" si="63"/>
        <v>360</v>
      </c>
      <c r="N795" s="1"/>
      <c r="O795" s="1">
        <f t="shared" si="64"/>
        <v>0</v>
      </c>
      <c r="P795" s="1">
        <v>0</v>
      </c>
      <c r="Q795" s="1" t="s">
        <v>41</v>
      </c>
      <c r="R795" s="1" t="s">
        <v>20</v>
      </c>
    </row>
    <row r="796" spans="1:18" x14ac:dyDescent="0.35">
      <c r="A796" s="1" t="s">
        <v>827</v>
      </c>
      <c r="B796" s="1" t="str">
        <f t="shared" si="60"/>
        <v>Unknown</v>
      </c>
      <c r="C796" s="1"/>
      <c r="D796" s="1" t="str">
        <f t="shared" si="61"/>
        <v>No</v>
      </c>
      <c r="E796" s="1" t="s">
        <v>22</v>
      </c>
      <c r="F796" s="1">
        <v>0</v>
      </c>
      <c r="G796" s="1" t="s">
        <v>25</v>
      </c>
      <c r="H796" s="1" t="str">
        <f t="shared" si="62"/>
        <v>Yes</v>
      </c>
      <c r="I796" s="1" t="s">
        <v>29</v>
      </c>
      <c r="J796" s="1">
        <v>9194</v>
      </c>
      <c r="K796" s="1">
        <v>3299</v>
      </c>
      <c r="L796" s="1">
        <v>333</v>
      </c>
      <c r="M796" s="1">
        <f t="shared" si="63"/>
        <v>360</v>
      </c>
      <c r="N796" s="1">
        <v>360</v>
      </c>
      <c r="O796" s="1">
        <f t="shared" si="64"/>
        <v>1</v>
      </c>
      <c r="P796" s="1">
        <v>1</v>
      </c>
      <c r="Q796" s="1" t="s">
        <v>30</v>
      </c>
      <c r="R796" s="1" t="s">
        <v>26</v>
      </c>
    </row>
    <row r="797" spans="1:18" x14ac:dyDescent="0.35">
      <c r="A797" s="1" t="s">
        <v>828</v>
      </c>
      <c r="B797" s="1" t="str">
        <f t="shared" si="60"/>
        <v>Unknown</v>
      </c>
      <c r="C797" s="1"/>
      <c r="D797" s="1" t="str">
        <f t="shared" si="61"/>
        <v>No</v>
      </c>
      <c r="E797" s="1" t="s">
        <v>22</v>
      </c>
      <c r="F797" s="1">
        <v>2</v>
      </c>
      <c r="G797" s="1" t="s">
        <v>25</v>
      </c>
      <c r="H797" s="1" t="str">
        <f t="shared" si="62"/>
        <v>Yes</v>
      </c>
      <c r="I797" s="1" t="s">
        <v>29</v>
      </c>
      <c r="J797" s="1">
        <v>13707</v>
      </c>
      <c r="K797" s="1">
        <v>2688</v>
      </c>
      <c r="L797" s="1">
        <v>203</v>
      </c>
      <c r="M797" s="1">
        <f t="shared" si="63"/>
        <v>120</v>
      </c>
      <c r="N797" s="1">
        <v>120</v>
      </c>
      <c r="O797" s="1">
        <f t="shared" si="64"/>
        <v>0</v>
      </c>
      <c r="P797" s="1">
        <v>0</v>
      </c>
      <c r="Q797" s="1" t="s">
        <v>30</v>
      </c>
      <c r="R797" s="1" t="s">
        <v>20</v>
      </c>
    </row>
    <row r="798" spans="1:18" x14ac:dyDescent="0.35">
      <c r="A798" s="1" t="s">
        <v>829</v>
      </c>
      <c r="B798" s="1" t="str">
        <f t="shared" si="60"/>
        <v>Female</v>
      </c>
      <c r="C798" s="1" t="s">
        <v>61</v>
      </c>
      <c r="D798" s="1" t="str">
        <f t="shared" si="61"/>
        <v>No</v>
      </c>
      <c r="E798" s="1"/>
      <c r="F798" s="1">
        <v>1</v>
      </c>
      <c r="G798" s="1" t="s">
        <v>17</v>
      </c>
      <c r="H798" s="1" t="str">
        <f t="shared" si="62"/>
        <v>No</v>
      </c>
      <c r="I798" s="1" t="s">
        <v>36</v>
      </c>
      <c r="J798" s="1">
        <v>17848</v>
      </c>
      <c r="K798" s="1">
        <v>1368</v>
      </c>
      <c r="L798" s="1">
        <v>139</v>
      </c>
      <c r="M798" s="1">
        <f t="shared" si="63"/>
        <v>360</v>
      </c>
      <c r="N798" s="1">
        <v>360</v>
      </c>
      <c r="O798" s="1">
        <f t="shared" si="64"/>
        <v>0</v>
      </c>
      <c r="P798" s="1"/>
      <c r="Q798" s="1" t="s">
        <v>30</v>
      </c>
      <c r="R798" s="1" t="s">
        <v>26</v>
      </c>
    </row>
    <row r="799" spans="1:18" x14ac:dyDescent="0.35">
      <c r="A799" s="1" t="s">
        <v>830</v>
      </c>
      <c r="B799" s="1" t="str">
        <f t="shared" si="60"/>
        <v>Male</v>
      </c>
      <c r="C799" s="1" t="s">
        <v>33</v>
      </c>
      <c r="D799" s="1" t="str">
        <f t="shared" si="61"/>
        <v>Yes</v>
      </c>
      <c r="E799" s="1" t="s">
        <v>29</v>
      </c>
      <c r="F799" s="1" t="s">
        <v>16</v>
      </c>
      <c r="G799" s="1" t="s">
        <v>25</v>
      </c>
      <c r="H799" s="1" t="str">
        <f t="shared" si="62"/>
        <v>No</v>
      </c>
      <c r="I799" s="1"/>
      <c r="J799" s="1">
        <v>1961</v>
      </c>
      <c r="K799" s="1">
        <v>1892</v>
      </c>
      <c r="L799" s="1">
        <v>465</v>
      </c>
      <c r="M799" s="1">
        <f t="shared" si="63"/>
        <v>120</v>
      </c>
      <c r="N799" s="1">
        <v>120</v>
      </c>
      <c r="O799" s="1">
        <f t="shared" si="64"/>
        <v>0</v>
      </c>
      <c r="P799" s="1"/>
      <c r="Q799" s="1" t="s">
        <v>30</v>
      </c>
      <c r="R799" s="1" t="s">
        <v>20</v>
      </c>
    </row>
    <row r="800" spans="1:18" x14ac:dyDescent="0.35">
      <c r="A800" s="1" t="s">
        <v>831</v>
      </c>
      <c r="B800" s="1" t="str">
        <f t="shared" si="60"/>
        <v>Male</v>
      </c>
      <c r="C800" s="1" t="s">
        <v>33</v>
      </c>
      <c r="D800" s="1" t="str">
        <f t="shared" si="61"/>
        <v>Yes</v>
      </c>
      <c r="E800" s="1" t="s">
        <v>24</v>
      </c>
      <c r="F800" s="1" t="s">
        <v>16</v>
      </c>
      <c r="G800" s="1" t="s">
        <v>17</v>
      </c>
      <c r="H800" s="1" t="str">
        <f t="shared" si="62"/>
        <v>No</v>
      </c>
      <c r="I800" s="1"/>
      <c r="J800" s="1">
        <v>15120</v>
      </c>
      <c r="K800" s="1">
        <v>4483</v>
      </c>
      <c r="L800" s="1">
        <v>351</v>
      </c>
      <c r="M800" s="1">
        <f t="shared" si="63"/>
        <v>180</v>
      </c>
      <c r="N800" s="1">
        <v>180</v>
      </c>
      <c r="O800" s="1">
        <f t="shared" si="64"/>
        <v>0</v>
      </c>
      <c r="P800" s="1">
        <v>0</v>
      </c>
      <c r="Q800" s="1" t="s">
        <v>19</v>
      </c>
      <c r="R800" s="1" t="s">
        <v>26</v>
      </c>
    </row>
    <row r="801" spans="1:18" x14ac:dyDescent="0.35">
      <c r="A801" s="1" t="s">
        <v>832</v>
      </c>
      <c r="B801" s="1" t="str">
        <f t="shared" si="60"/>
        <v>Male</v>
      </c>
      <c r="C801" s="1" t="s">
        <v>14</v>
      </c>
      <c r="D801" s="1" t="str">
        <f t="shared" si="61"/>
        <v>Yes</v>
      </c>
      <c r="E801" s="1" t="s">
        <v>24</v>
      </c>
      <c r="F801" s="1" t="s">
        <v>16</v>
      </c>
      <c r="G801" s="1" t="s">
        <v>17</v>
      </c>
      <c r="H801" s="1" t="str">
        <f t="shared" si="62"/>
        <v>Yes</v>
      </c>
      <c r="I801" s="1" t="s">
        <v>29</v>
      </c>
      <c r="J801" s="1">
        <v>19980</v>
      </c>
      <c r="K801" s="1">
        <v>8869</v>
      </c>
      <c r="L801" s="1">
        <v>531</v>
      </c>
      <c r="M801" s="1">
        <f t="shared" si="63"/>
        <v>180</v>
      </c>
      <c r="N801" s="1">
        <v>180</v>
      </c>
      <c r="O801" s="1">
        <f t="shared" si="64"/>
        <v>0</v>
      </c>
      <c r="P801" s="1">
        <v>0</v>
      </c>
      <c r="Q801" s="1" t="s">
        <v>19</v>
      </c>
      <c r="R801" s="1" t="s">
        <v>26</v>
      </c>
    </row>
    <row r="802" spans="1:18" x14ac:dyDescent="0.35">
      <c r="A802" s="1" t="s">
        <v>833</v>
      </c>
      <c r="B802" s="1" t="str">
        <f t="shared" si="60"/>
        <v>Unknown</v>
      </c>
      <c r="C802" s="1"/>
      <c r="D802" s="1" t="str">
        <f t="shared" si="61"/>
        <v>No</v>
      </c>
      <c r="E802" s="1" t="s">
        <v>36</v>
      </c>
      <c r="F802" s="1" t="s">
        <v>16</v>
      </c>
      <c r="G802" s="1" t="s">
        <v>25</v>
      </c>
      <c r="H802" s="1" t="str">
        <f t="shared" si="62"/>
        <v>No</v>
      </c>
      <c r="I802" s="1"/>
      <c r="J802" s="1">
        <v>9286</v>
      </c>
      <c r="K802" s="1">
        <v>7278</v>
      </c>
      <c r="L802" s="1">
        <v>192</v>
      </c>
      <c r="M802" s="1">
        <f t="shared" si="63"/>
        <v>180</v>
      </c>
      <c r="N802" s="1">
        <v>180</v>
      </c>
      <c r="O802" s="1">
        <f t="shared" si="64"/>
        <v>1</v>
      </c>
      <c r="P802" s="1">
        <v>1</v>
      </c>
      <c r="Q802" s="1" t="s">
        <v>30</v>
      </c>
      <c r="R802" s="1" t="s">
        <v>26</v>
      </c>
    </row>
    <row r="803" spans="1:18" x14ac:dyDescent="0.35">
      <c r="A803" s="1" t="s">
        <v>834</v>
      </c>
      <c r="B803" s="1" t="str">
        <f t="shared" si="60"/>
        <v>Male</v>
      </c>
      <c r="C803" s="1" t="s">
        <v>52</v>
      </c>
      <c r="D803" s="1" t="str">
        <f t="shared" si="61"/>
        <v>No</v>
      </c>
      <c r="E803" s="1" t="s">
        <v>18</v>
      </c>
      <c r="F803" s="1" t="s">
        <v>16</v>
      </c>
      <c r="G803" s="1" t="s">
        <v>25</v>
      </c>
      <c r="H803" s="1" t="str">
        <f t="shared" si="62"/>
        <v>No</v>
      </c>
      <c r="I803" s="1" t="s">
        <v>18</v>
      </c>
      <c r="J803" s="1">
        <v>1979</v>
      </c>
      <c r="K803" s="1">
        <v>2135</v>
      </c>
      <c r="L803" s="1">
        <v>238</v>
      </c>
      <c r="M803" s="1">
        <f t="shared" si="63"/>
        <v>120</v>
      </c>
      <c r="N803" s="1">
        <v>120</v>
      </c>
      <c r="O803" s="1">
        <f t="shared" si="64"/>
        <v>0</v>
      </c>
      <c r="P803" s="1"/>
      <c r="Q803" s="1" t="s">
        <v>30</v>
      </c>
      <c r="R803" s="1" t="s">
        <v>20</v>
      </c>
    </row>
    <row r="804" spans="1:18" x14ac:dyDescent="0.35">
      <c r="A804" s="1" t="s">
        <v>835</v>
      </c>
      <c r="B804" s="1" t="str">
        <f t="shared" si="60"/>
        <v>Male</v>
      </c>
      <c r="C804" s="1" t="s">
        <v>52</v>
      </c>
      <c r="D804" s="1" t="str">
        <f t="shared" si="61"/>
        <v>No</v>
      </c>
      <c r="E804" s="1"/>
      <c r="F804" s="1" t="s">
        <v>16</v>
      </c>
      <c r="G804" s="1" t="s">
        <v>25</v>
      </c>
      <c r="H804" s="1" t="str">
        <f t="shared" si="62"/>
        <v>Yes</v>
      </c>
      <c r="I804" s="1" t="s">
        <v>24</v>
      </c>
      <c r="J804" s="1">
        <v>12988</v>
      </c>
      <c r="K804" s="1">
        <v>3897</v>
      </c>
      <c r="L804" s="1">
        <v>76</v>
      </c>
      <c r="M804" s="1">
        <f t="shared" si="63"/>
        <v>360</v>
      </c>
      <c r="N804" s="1">
        <v>360</v>
      </c>
      <c r="O804" s="1">
        <f t="shared" si="64"/>
        <v>1</v>
      </c>
      <c r="P804" s="1">
        <v>1</v>
      </c>
      <c r="Q804" s="1" t="s">
        <v>19</v>
      </c>
      <c r="R804" s="1" t="s">
        <v>26</v>
      </c>
    </row>
    <row r="805" spans="1:18" x14ac:dyDescent="0.35">
      <c r="A805" s="1" t="s">
        <v>836</v>
      </c>
      <c r="B805" s="1" t="str">
        <f t="shared" si="60"/>
        <v>Male</v>
      </c>
      <c r="C805" s="1" t="s">
        <v>52</v>
      </c>
      <c r="D805" s="1" t="str">
        <f t="shared" si="61"/>
        <v>Yes</v>
      </c>
      <c r="E805" s="1" t="s">
        <v>29</v>
      </c>
      <c r="F805" s="1">
        <v>2</v>
      </c>
      <c r="G805" s="1" t="s">
        <v>25</v>
      </c>
      <c r="H805" s="1" t="str">
        <f t="shared" si="62"/>
        <v>No</v>
      </c>
      <c r="I805" s="1"/>
      <c r="J805" s="1">
        <v>19692</v>
      </c>
      <c r="K805" s="1">
        <v>7290</v>
      </c>
      <c r="L805" s="1">
        <v>697</v>
      </c>
      <c r="M805" s="1">
        <f t="shared" si="63"/>
        <v>120</v>
      </c>
      <c r="N805" s="1">
        <v>120</v>
      </c>
      <c r="O805" s="1">
        <f t="shared" si="64"/>
        <v>0</v>
      </c>
      <c r="P805" s="1"/>
      <c r="Q805" s="1" t="s">
        <v>30</v>
      </c>
      <c r="R805" s="1" t="s">
        <v>26</v>
      </c>
    </row>
    <row r="806" spans="1:18" x14ac:dyDescent="0.35">
      <c r="A806" s="1" t="s">
        <v>837</v>
      </c>
      <c r="B806" s="1" t="str">
        <f t="shared" si="60"/>
        <v>Unknown</v>
      </c>
      <c r="C806" s="1"/>
      <c r="D806" s="1" t="str">
        <f t="shared" si="61"/>
        <v>Yes</v>
      </c>
      <c r="E806" s="1" t="s">
        <v>29</v>
      </c>
      <c r="F806" s="1" t="s">
        <v>16</v>
      </c>
      <c r="G806" s="1" t="s">
        <v>25</v>
      </c>
      <c r="H806" s="1" t="str">
        <f t="shared" si="62"/>
        <v>No</v>
      </c>
      <c r="I806" s="1" t="s">
        <v>36</v>
      </c>
      <c r="J806" s="1">
        <v>9987</v>
      </c>
      <c r="K806" s="1">
        <v>821</v>
      </c>
      <c r="L806" s="1">
        <v>372</v>
      </c>
      <c r="M806" s="1">
        <f t="shared" si="63"/>
        <v>360</v>
      </c>
      <c r="N806" s="1"/>
      <c r="O806" s="1">
        <f t="shared" si="64"/>
        <v>1</v>
      </c>
      <c r="P806" s="1">
        <v>1</v>
      </c>
      <c r="Q806" s="1" t="s">
        <v>30</v>
      </c>
      <c r="R806" s="1" t="s">
        <v>26</v>
      </c>
    </row>
    <row r="807" spans="1:18" x14ac:dyDescent="0.35">
      <c r="A807" s="1" t="s">
        <v>838</v>
      </c>
      <c r="B807" s="1" t="str">
        <f t="shared" si="60"/>
        <v>Unknown</v>
      </c>
      <c r="C807" s="1"/>
      <c r="D807" s="1" t="str">
        <f t="shared" si="61"/>
        <v>No</v>
      </c>
      <c r="E807" s="1"/>
      <c r="F807" s="1">
        <v>2</v>
      </c>
      <c r="G807" s="1" t="s">
        <v>25</v>
      </c>
      <c r="H807" s="1" t="str">
        <f t="shared" si="62"/>
        <v>No</v>
      </c>
      <c r="I807" s="1" t="s">
        <v>18</v>
      </c>
      <c r="J807" s="1">
        <v>15021</v>
      </c>
      <c r="K807" s="1">
        <v>1295</v>
      </c>
      <c r="L807" s="1">
        <v>503</v>
      </c>
      <c r="M807" s="1">
        <f t="shared" si="63"/>
        <v>360</v>
      </c>
      <c r="N807" s="1">
        <v>360</v>
      </c>
      <c r="O807" s="1">
        <f t="shared" si="64"/>
        <v>0</v>
      </c>
      <c r="P807" s="1"/>
      <c r="Q807" s="1" t="s">
        <v>41</v>
      </c>
      <c r="R807" s="1" t="s">
        <v>20</v>
      </c>
    </row>
    <row r="808" spans="1:18" x14ac:dyDescent="0.35">
      <c r="A808" s="1" t="s">
        <v>839</v>
      </c>
      <c r="B808" s="1" t="str">
        <f t="shared" si="60"/>
        <v>Male</v>
      </c>
      <c r="C808" s="1" t="s">
        <v>14</v>
      </c>
      <c r="D808" s="1" t="str">
        <f t="shared" si="61"/>
        <v>No</v>
      </c>
      <c r="E808" s="1" t="s">
        <v>22</v>
      </c>
      <c r="F808" s="1">
        <v>1</v>
      </c>
      <c r="G808" s="1" t="s">
        <v>25</v>
      </c>
      <c r="H808" s="1" t="str">
        <f t="shared" si="62"/>
        <v>Yes</v>
      </c>
      <c r="I808" s="1" t="s">
        <v>24</v>
      </c>
      <c r="J808" s="1">
        <v>12385</v>
      </c>
      <c r="K808" s="1">
        <v>6042</v>
      </c>
      <c r="L808" s="1">
        <v>121</v>
      </c>
      <c r="M808" s="1">
        <f t="shared" si="63"/>
        <v>360</v>
      </c>
      <c r="N808" s="1">
        <v>360</v>
      </c>
      <c r="O808" s="1">
        <f t="shared" si="64"/>
        <v>0</v>
      </c>
      <c r="P808" s="1"/>
      <c r="Q808" s="1" t="s">
        <v>41</v>
      </c>
      <c r="R808" s="1" t="s">
        <v>20</v>
      </c>
    </row>
    <row r="809" spans="1:18" x14ac:dyDescent="0.35">
      <c r="A809" s="1" t="s">
        <v>840</v>
      </c>
      <c r="B809" s="1" t="str">
        <f t="shared" si="60"/>
        <v>Unknown</v>
      </c>
      <c r="C809" s="1"/>
      <c r="D809" s="1" t="str">
        <f t="shared" si="61"/>
        <v>Yes</v>
      </c>
      <c r="E809" s="1" t="s">
        <v>29</v>
      </c>
      <c r="F809" s="1" t="s">
        <v>16</v>
      </c>
      <c r="G809" s="1" t="s">
        <v>25</v>
      </c>
      <c r="H809" s="1" t="str">
        <f t="shared" si="62"/>
        <v>No</v>
      </c>
      <c r="I809" s="1"/>
      <c r="J809" s="1">
        <v>10727</v>
      </c>
      <c r="K809" s="1">
        <v>2537</v>
      </c>
      <c r="L809" s="1">
        <v>621</v>
      </c>
      <c r="M809" s="1">
        <f t="shared" si="63"/>
        <v>180</v>
      </c>
      <c r="N809" s="1">
        <v>180</v>
      </c>
      <c r="O809" s="1">
        <f t="shared" si="64"/>
        <v>0</v>
      </c>
      <c r="P809" s="1">
        <v>0</v>
      </c>
      <c r="Q809" s="1" t="s">
        <v>19</v>
      </c>
      <c r="R809" s="1" t="s">
        <v>20</v>
      </c>
    </row>
    <row r="810" spans="1:18" x14ac:dyDescent="0.35">
      <c r="A810" s="1" t="s">
        <v>841</v>
      </c>
      <c r="B810" s="1" t="str">
        <f t="shared" si="60"/>
        <v>Male</v>
      </c>
      <c r="C810" s="1" t="s">
        <v>33</v>
      </c>
      <c r="D810" s="1" t="str">
        <f t="shared" si="61"/>
        <v>No</v>
      </c>
      <c r="E810" s="1"/>
      <c r="F810" s="1">
        <v>2</v>
      </c>
      <c r="G810" s="1" t="s">
        <v>17</v>
      </c>
      <c r="H810" s="1" t="str">
        <f t="shared" si="62"/>
        <v>Yes</v>
      </c>
      <c r="I810" s="1" t="s">
        <v>24</v>
      </c>
      <c r="J810" s="1">
        <v>4726</v>
      </c>
      <c r="K810" s="1">
        <v>970</v>
      </c>
      <c r="L810" s="1">
        <v>524</v>
      </c>
      <c r="M810" s="1">
        <f t="shared" si="63"/>
        <v>360</v>
      </c>
      <c r="N810" s="1"/>
      <c r="O810" s="1">
        <f t="shared" si="64"/>
        <v>1</v>
      </c>
      <c r="P810" s="1">
        <v>1</v>
      </c>
      <c r="Q810" s="1" t="s">
        <v>41</v>
      </c>
      <c r="R810" s="1" t="s">
        <v>26</v>
      </c>
    </row>
    <row r="811" spans="1:18" x14ac:dyDescent="0.35">
      <c r="A811" s="1" t="s">
        <v>842</v>
      </c>
      <c r="B811" s="1" t="str">
        <f t="shared" si="60"/>
        <v>Unknown</v>
      </c>
      <c r="C811" s="1"/>
      <c r="D811" s="1" t="str">
        <f t="shared" si="61"/>
        <v>No</v>
      </c>
      <c r="E811" s="1" t="s">
        <v>22</v>
      </c>
      <c r="F811" s="1" t="s">
        <v>16</v>
      </c>
      <c r="G811" s="1" t="s">
        <v>25</v>
      </c>
      <c r="H811" s="1" t="str">
        <f t="shared" si="62"/>
        <v>No</v>
      </c>
      <c r="I811" s="1" t="s">
        <v>18</v>
      </c>
      <c r="J811" s="1">
        <v>6989</v>
      </c>
      <c r="K811" s="1">
        <v>3230</v>
      </c>
      <c r="L811" s="1">
        <v>214</v>
      </c>
      <c r="M811" s="1">
        <f t="shared" si="63"/>
        <v>360</v>
      </c>
      <c r="N811" s="1"/>
      <c r="O811" s="1">
        <f t="shared" si="64"/>
        <v>1</v>
      </c>
      <c r="P811" s="1">
        <v>1</v>
      </c>
      <c r="Q811" s="1" t="s">
        <v>30</v>
      </c>
      <c r="R811" s="1" t="s">
        <v>20</v>
      </c>
    </row>
    <row r="812" spans="1:18" x14ac:dyDescent="0.35">
      <c r="A812" s="1" t="s">
        <v>843</v>
      </c>
      <c r="B812" s="1" t="str">
        <f t="shared" si="60"/>
        <v>Unknown</v>
      </c>
      <c r="C812" s="1"/>
      <c r="D812" s="1" t="str">
        <f t="shared" si="61"/>
        <v>No</v>
      </c>
      <c r="E812" s="1"/>
      <c r="F812" s="1" t="s">
        <v>16</v>
      </c>
      <c r="G812" s="1" t="s">
        <v>17</v>
      </c>
      <c r="H812" s="1" t="str">
        <f t="shared" si="62"/>
        <v>No</v>
      </c>
      <c r="I812" s="1"/>
      <c r="J812" s="1">
        <v>10611</v>
      </c>
      <c r="K812" s="1">
        <v>8670</v>
      </c>
      <c r="L812" s="1">
        <v>83</v>
      </c>
      <c r="M812" s="1">
        <f t="shared" si="63"/>
        <v>360</v>
      </c>
      <c r="N812" s="1"/>
      <c r="O812" s="1">
        <f t="shared" si="64"/>
        <v>1</v>
      </c>
      <c r="P812" s="1">
        <v>1</v>
      </c>
      <c r="Q812" s="1" t="s">
        <v>19</v>
      </c>
      <c r="R812" s="1" t="s">
        <v>20</v>
      </c>
    </row>
    <row r="813" spans="1:18" x14ac:dyDescent="0.35">
      <c r="A813" s="1" t="s">
        <v>844</v>
      </c>
      <c r="B813" s="1" t="str">
        <f t="shared" si="60"/>
        <v>Unknown</v>
      </c>
      <c r="C813" s="1"/>
      <c r="D813" s="1" t="str">
        <f t="shared" si="61"/>
        <v>Yes</v>
      </c>
      <c r="E813" s="1" t="s">
        <v>29</v>
      </c>
      <c r="F813" s="1">
        <v>0</v>
      </c>
      <c r="G813" s="1" t="s">
        <v>25</v>
      </c>
      <c r="H813" s="1" t="str">
        <f t="shared" si="62"/>
        <v>No</v>
      </c>
      <c r="I813" s="1" t="s">
        <v>36</v>
      </c>
      <c r="J813" s="1">
        <v>8432</v>
      </c>
      <c r="K813" s="1">
        <v>7769</v>
      </c>
      <c r="L813" s="1">
        <v>454</v>
      </c>
      <c r="M813" s="1">
        <f t="shared" si="63"/>
        <v>360</v>
      </c>
      <c r="N813" s="1">
        <v>360</v>
      </c>
      <c r="O813" s="1">
        <f t="shared" si="64"/>
        <v>0</v>
      </c>
      <c r="P813" s="1"/>
      <c r="Q813" s="1" t="s">
        <v>19</v>
      </c>
      <c r="R813" s="1" t="s">
        <v>20</v>
      </c>
    </row>
    <row r="814" spans="1:18" x14ac:dyDescent="0.35">
      <c r="A814" s="1" t="s">
        <v>845</v>
      </c>
      <c r="B814" s="1" t="str">
        <f t="shared" si="60"/>
        <v>Female</v>
      </c>
      <c r="C814" s="1" t="s">
        <v>28</v>
      </c>
      <c r="D814" s="1" t="str">
        <f t="shared" si="61"/>
        <v>No</v>
      </c>
      <c r="E814" s="1" t="s">
        <v>22</v>
      </c>
      <c r="F814" s="1" t="s">
        <v>16</v>
      </c>
      <c r="G814" s="1" t="s">
        <v>17</v>
      </c>
      <c r="H814" s="1" t="str">
        <f t="shared" si="62"/>
        <v>No</v>
      </c>
      <c r="I814" s="1"/>
      <c r="J814" s="1">
        <v>10084</v>
      </c>
      <c r="K814" s="1">
        <v>9033</v>
      </c>
      <c r="L814" s="1">
        <v>531</v>
      </c>
      <c r="M814" s="1">
        <f t="shared" si="63"/>
        <v>120</v>
      </c>
      <c r="N814" s="1">
        <v>120</v>
      </c>
      <c r="O814" s="1">
        <f t="shared" si="64"/>
        <v>0</v>
      </c>
      <c r="P814" s="1">
        <v>0</v>
      </c>
      <c r="Q814" s="1" t="s">
        <v>41</v>
      </c>
      <c r="R814" s="1" t="s">
        <v>26</v>
      </c>
    </row>
    <row r="815" spans="1:18" x14ac:dyDescent="0.35">
      <c r="A815" s="1" t="s">
        <v>846</v>
      </c>
      <c r="B815" s="1" t="str">
        <f t="shared" si="60"/>
        <v>Female</v>
      </c>
      <c r="C815" s="1" t="s">
        <v>43</v>
      </c>
      <c r="D815" s="1" t="str">
        <f t="shared" si="61"/>
        <v>Yes</v>
      </c>
      <c r="E815" s="1" t="s">
        <v>29</v>
      </c>
      <c r="F815" s="1">
        <v>2</v>
      </c>
      <c r="G815" s="1" t="s">
        <v>25</v>
      </c>
      <c r="H815" s="1" t="str">
        <f t="shared" si="62"/>
        <v>Yes</v>
      </c>
      <c r="I815" s="1" t="s">
        <v>15</v>
      </c>
      <c r="J815" s="1">
        <v>17340</v>
      </c>
      <c r="K815" s="1">
        <v>4476</v>
      </c>
      <c r="L815" s="1">
        <v>183</v>
      </c>
      <c r="M815" s="1">
        <f t="shared" si="63"/>
        <v>120</v>
      </c>
      <c r="N815" s="1">
        <v>120</v>
      </c>
      <c r="O815" s="1">
        <f t="shared" si="64"/>
        <v>0</v>
      </c>
      <c r="P815" s="1"/>
      <c r="Q815" s="1" t="s">
        <v>30</v>
      </c>
      <c r="R815" s="1" t="s">
        <v>26</v>
      </c>
    </row>
    <row r="816" spans="1:18" x14ac:dyDescent="0.35">
      <c r="A816" s="1" t="s">
        <v>847</v>
      </c>
      <c r="B816" s="1" t="str">
        <f t="shared" si="60"/>
        <v>Female</v>
      </c>
      <c r="C816" s="1" t="s">
        <v>61</v>
      </c>
      <c r="D816" s="1" t="str">
        <f t="shared" si="61"/>
        <v>Yes</v>
      </c>
      <c r="E816" s="1" t="s">
        <v>15</v>
      </c>
      <c r="F816" s="1" t="s">
        <v>16</v>
      </c>
      <c r="G816" s="1" t="s">
        <v>25</v>
      </c>
      <c r="H816" s="1" t="str">
        <f t="shared" si="62"/>
        <v>No</v>
      </c>
      <c r="I816" s="1" t="s">
        <v>18</v>
      </c>
      <c r="J816" s="1">
        <v>3058</v>
      </c>
      <c r="K816" s="1">
        <v>2384</v>
      </c>
      <c r="L816" s="1">
        <v>546</v>
      </c>
      <c r="M816" s="1">
        <f t="shared" si="63"/>
        <v>360</v>
      </c>
      <c r="N816" s="1">
        <v>360</v>
      </c>
      <c r="O816" s="1">
        <f t="shared" si="64"/>
        <v>1</v>
      </c>
      <c r="P816" s="1">
        <v>1</v>
      </c>
      <c r="Q816" s="1" t="s">
        <v>30</v>
      </c>
      <c r="R816" s="1" t="s">
        <v>20</v>
      </c>
    </row>
    <row r="817" spans="1:18" x14ac:dyDescent="0.35">
      <c r="A817" s="1" t="s">
        <v>848</v>
      </c>
      <c r="B817" s="1" t="str">
        <f t="shared" si="60"/>
        <v>Unknown</v>
      </c>
      <c r="C817" s="1"/>
      <c r="D817" s="1" t="str">
        <f t="shared" si="61"/>
        <v>No</v>
      </c>
      <c r="E817" s="1"/>
      <c r="F817" s="1">
        <v>2</v>
      </c>
      <c r="G817" s="1" t="s">
        <v>17</v>
      </c>
      <c r="H817" s="1" t="str">
        <f t="shared" si="62"/>
        <v>Yes</v>
      </c>
      <c r="I817" s="1" t="s">
        <v>29</v>
      </c>
      <c r="J817" s="1">
        <v>18681</v>
      </c>
      <c r="K817" s="1">
        <v>7023</v>
      </c>
      <c r="L817" s="1">
        <v>99</v>
      </c>
      <c r="M817" s="1">
        <f t="shared" si="63"/>
        <v>120</v>
      </c>
      <c r="N817" s="1">
        <v>120</v>
      </c>
      <c r="O817" s="1">
        <f t="shared" si="64"/>
        <v>0</v>
      </c>
      <c r="P817" s="1">
        <v>0</v>
      </c>
      <c r="Q817" s="1" t="s">
        <v>41</v>
      </c>
      <c r="R817" s="1" t="s">
        <v>20</v>
      </c>
    </row>
    <row r="818" spans="1:18" x14ac:dyDescent="0.35">
      <c r="A818" s="1" t="s">
        <v>849</v>
      </c>
      <c r="B818" s="1" t="str">
        <f t="shared" si="60"/>
        <v>Female</v>
      </c>
      <c r="C818" s="1" t="s">
        <v>43</v>
      </c>
      <c r="D818" s="1" t="str">
        <f t="shared" si="61"/>
        <v>No</v>
      </c>
      <c r="E818" s="1"/>
      <c r="F818" s="1">
        <v>2</v>
      </c>
      <c r="G818" s="1" t="s">
        <v>25</v>
      </c>
      <c r="H818" s="1" t="str">
        <f t="shared" si="62"/>
        <v>No</v>
      </c>
      <c r="I818" s="1" t="s">
        <v>36</v>
      </c>
      <c r="J818" s="1">
        <v>2885</v>
      </c>
      <c r="K818" s="1">
        <v>9207</v>
      </c>
      <c r="L818" s="1">
        <v>402</v>
      </c>
      <c r="M818" s="1">
        <f t="shared" si="63"/>
        <v>120</v>
      </c>
      <c r="N818" s="1">
        <v>120</v>
      </c>
      <c r="O818" s="1">
        <f t="shared" si="64"/>
        <v>0</v>
      </c>
      <c r="P818" s="1"/>
      <c r="Q818" s="1" t="s">
        <v>41</v>
      </c>
      <c r="R818" s="1" t="s">
        <v>26</v>
      </c>
    </row>
    <row r="819" spans="1:18" x14ac:dyDescent="0.35">
      <c r="A819" s="1" t="s">
        <v>850</v>
      </c>
      <c r="B819" s="1" t="str">
        <f t="shared" si="60"/>
        <v>Male</v>
      </c>
      <c r="C819" s="1" t="s">
        <v>52</v>
      </c>
      <c r="D819" s="1" t="str">
        <f t="shared" si="61"/>
        <v>No</v>
      </c>
      <c r="E819" s="1" t="s">
        <v>22</v>
      </c>
      <c r="F819" s="1" t="s">
        <v>16</v>
      </c>
      <c r="G819" s="1" t="s">
        <v>25</v>
      </c>
      <c r="H819" s="1" t="str">
        <f t="shared" si="62"/>
        <v>Yes</v>
      </c>
      <c r="I819" s="1" t="s">
        <v>24</v>
      </c>
      <c r="J819" s="1">
        <v>2012</v>
      </c>
      <c r="K819" s="1">
        <v>1235</v>
      </c>
      <c r="L819" s="1">
        <v>507</v>
      </c>
      <c r="M819" s="1">
        <f t="shared" si="63"/>
        <v>360</v>
      </c>
      <c r="N819" s="1"/>
      <c r="O819" s="1">
        <f t="shared" si="64"/>
        <v>0</v>
      </c>
      <c r="P819" s="1">
        <v>0</v>
      </c>
      <c r="Q819" s="1" t="s">
        <v>41</v>
      </c>
      <c r="R819" s="1" t="s">
        <v>26</v>
      </c>
    </row>
    <row r="820" spans="1:18" x14ac:dyDescent="0.35">
      <c r="A820" s="1" t="s">
        <v>851</v>
      </c>
      <c r="B820" s="1" t="str">
        <f t="shared" si="60"/>
        <v>Unknown</v>
      </c>
      <c r="C820" s="1"/>
      <c r="D820" s="1" t="str">
        <f t="shared" si="61"/>
        <v>No</v>
      </c>
      <c r="E820" s="1"/>
      <c r="F820" s="1" t="s">
        <v>16</v>
      </c>
      <c r="G820" s="1" t="s">
        <v>17</v>
      </c>
      <c r="H820" s="1" t="str">
        <f t="shared" si="62"/>
        <v>Yes</v>
      </c>
      <c r="I820" s="1" t="s">
        <v>15</v>
      </c>
      <c r="J820" s="1">
        <v>10033</v>
      </c>
      <c r="K820" s="1">
        <v>6174</v>
      </c>
      <c r="L820" s="1">
        <v>100</v>
      </c>
      <c r="M820" s="1">
        <f t="shared" si="63"/>
        <v>120</v>
      </c>
      <c r="N820" s="1">
        <v>120</v>
      </c>
      <c r="O820" s="1">
        <f t="shared" si="64"/>
        <v>0</v>
      </c>
      <c r="P820" s="1"/>
      <c r="Q820" s="1" t="s">
        <v>30</v>
      </c>
      <c r="R820" s="1" t="s">
        <v>26</v>
      </c>
    </row>
    <row r="821" spans="1:18" x14ac:dyDescent="0.35">
      <c r="A821" s="1" t="s">
        <v>852</v>
      </c>
      <c r="B821" s="1" t="str">
        <f t="shared" si="60"/>
        <v>Unknown</v>
      </c>
      <c r="C821" s="1"/>
      <c r="D821" s="1" t="str">
        <f t="shared" si="61"/>
        <v>No</v>
      </c>
      <c r="E821" s="1"/>
      <c r="F821" s="1">
        <v>2</v>
      </c>
      <c r="G821" s="1" t="s">
        <v>17</v>
      </c>
      <c r="H821" s="1" t="str">
        <f t="shared" si="62"/>
        <v>No</v>
      </c>
      <c r="I821" s="1"/>
      <c r="J821" s="1">
        <v>5357</v>
      </c>
      <c r="K821" s="1">
        <v>5336</v>
      </c>
      <c r="L821" s="1">
        <v>86</v>
      </c>
      <c r="M821" s="1">
        <f t="shared" si="63"/>
        <v>360</v>
      </c>
      <c r="N821" s="1"/>
      <c r="O821" s="1">
        <f t="shared" si="64"/>
        <v>0</v>
      </c>
      <c r="P821" s="1"/>
      <c r="Q821" s="1" t="s">
        <v>41</v>
      </c>
      <c r="R821" s="1" t="s">
        <v>20</v>
      </c>
    </row>
    <row r="822" spans="1:18" x14ac:dyDescent="0.35">
      <c r="A822" s="1" t="s">
        <v>853</v>
      </c>
      <c r="B822" s="1" t="str">
        <f t="shared" si="60"/>
        <v>Male</v>
      </c>
      <c r="C822" s="1" t="s">
        <v>52</v>
      </c>
      <c r="D822" s="1" t="str">
        <f t="shared" si="61"/>
        <v>No</v>
      </c>
      <c r="E822" s="1"/>
      <c r="F822" s="1" t="s">
        <v>16</v>
      </c>
      <c r="G822" s="1" t="s">
        <v>25</v>
      </c>
      <c r="H822" s="1" t="str">
        <f t="shared" si="62"/>
        <v>No</v>
      </c>
      <c r="I822" s="1"/>
      <c r="J822" s="1">
        <v>5749</v>
      </c>
      <c r="K822" s="1">
        <v>4668</v>
      </c>
      <c r="L822" s="1">
        <v>446</v>
      </c>
      <c r="M822" s="1">
        <f t="shared" si="63"/>
        <v>360</v>
      </c>
      <c r="N822" s="1">
        <v>360</v>
      </c>
      <c r="O822" s="1">
        <f t="shared" si="64"/>
        <v>0</v>
      </c>
      <c r="P822" s="1">
        <v>0</v>
      </c>
      <c r="Q822" s="1" t="s">
        <v>30</v>
      </c>
      <c r="R822" s="1" t="s">
        <v>26</v>
      </c>
    </row>
    <row r="823" spans="1:18" x14ac:dyDescent="0.35">
      <c r="A823" s="1" t="s">
        <v>854</v>
      </c>
      <c r="B823" s="1" t="str">
        <f t="shared" si="60"/>
        <v>Female</v>
      </c>
      <c r="C823" s="1" t="s">
        <v>43</v>
      </c>
      <c r="D823" s="1" t="str">
        <f t="shared" si="61"/>
        <v>Yes</v>
      </c>
      <c r="E823" s="1" t="s">
        <v>29</v>
      </c>
      <c r="F823" s="1">
        <v>0</v>
      </c>
      <c r="G823" s="1" t="s">
        <v>25</v>
      </c>
      <c r="H823" s="1" t="str">
        <f t="shared" si="62"/>
        <v>No</v>
      </c>
      <c r="I823" s="1" t="s">
        <v>22</v>
      </c>
      <c r="J823" s="1">
        <v>6303</v>
      </c>
      <c r="K823" s="1">
        <v>4935</v>
      </c>
      <c r="L823" s="1">
        <v>585</v>
      </c>
      <c r="M823" s="1">
        <f t="shared" si="63"/>
        <v>120</v>
      </c>
      <c r="N823" s="1">
        <v>120</v>
      </c>
      <c r="O823" s="1">
        <f t="shared" si="64"/>
        <v>1</v>
      </c>
      <c r="P823" s="1">
        <v>1</v>
      </c>
      <c r="Q823" s="1" t="s">
        <v>41</v>
      </c>
      <c r="R823" s="1" t="s">
        <v>20</v>
      </c>
    </row>
    <row r="824" spans="1:18" x14ac:dyDescent="0.35">
      <c r="A824" s="1" t="s">
        <v>855</v>
      </c>
      <c r="B824" s="1" t="str">
        <f t="shared" si="60"/>
        <v>Unknown</v>
      </c>
      <c r="C824" s="1"/>
      <c r="D824" s="1" t="str">
        <f t="shared" si="61"/>
        <v>No</v>
      </c>
      <c r="E824" s="1"/>
      <c r="F824" s="1" t="s">
        <v>16</v>
      </c>
      <c r="G824" s="1" t="s">
        <v>17</v>
      </c>
      <c r="H824" s="1" t="str">
        <f t="shared" si="62"/>
        <v>No</v>
      </c>
      <c r="I824" s="1" t="s">
        <v>36</v>
      </c>
      <c r="J824" s="1">
        <v>1619</v>
      </c>
      <c r="K824" s="1">
        <v>5316</v>
      </c>
      <c r="L824" s="1">
        <v>495</v>
      </c>
      <c r="M824" s="1">
        <f t="shared" si="63"/>
        <v>180</v>
      </c>
      <c r="N824" s="1">
        <v>180</v>
      </c>
      <c r="O824" s="1">
        <f t="shared" si="64"/>
        <v>0</v>
      </c>
      <c r="P824" s="1">
        <v>0</v>
      </c>
      <c r="Q824" s="1" t="s">
        <v>41</v>
      </c>
      <c r="R824" s="1" t="s">
        <v>26</v>
      </c>
    </row>
    <row r="825" spans="1:18" x14ac:dyDescent="0.35">
      <c r="A825" s="1" t="s">
        <v>856</v>
      </c>
      <c r="B825" s="1" t="str">
        <f t="shared" si="60"/>
        <v>Male</v>
      </c>
      <c r="C825" s="1" t="s">
        <v>33</v>
      </c>
      <c r="D825" s="1" t="str">
        <f t="shared" si="61"/>
        <v>No</v>
      </c>
      <c r="E825" s="1"/>
      <c r="F825" s="1">
        <v>1</v>
      </c>
      <c r="G825" s="1" t="s">
        <v>25</v>
      </c>
      <c r="H825" s="1" t="str">
        <f t="shared" si="62"/>
        <v>Yes</v>
      </c>
      <c r="I825" s="1" t="s">
        <v>15</v>
      </c>
      <c r="J825" s="1">
        <v>12762</v>
      </c>
      <c r="K825" s="1">
        <v>1286</v>
      </c>
      <c r="L825" s="1">
        <v>158</v>
      </c>
      <c r="M825" s="1">
        <f t="shared" si="63"/>
        <v>360</v>
      </c>
      <c r="N825" s="1"/>
      <c r="O825" s="1">
        <f t="shared" si="64"/>
        <v>1</v>
      </c>
      <c r="P825" s="1">
        <v>1</v>
      </c>
      <c r="Q825" s="1" t="s">
        <v>41</v>
      </c>
      <c r="R825" s="1" t="s">
        <v>26</v>
      </c>
    </row>
    <row r="826" spans="1:18" x14ac:dyDescent="0.35">
      <c r="A826" s="1" t="s">
        <v>857</v>
      </c>
      <c r="B826" s="1" t="str">
        <f t="shared" si="60"/>
        <v>Male</v>
      </c>
      <c r="C826" s="1" t="s">
        <v>52</v>
      </c>
      <c r="D826" s="1" t="str">
        <f t="shared" si="61"/>
        <v>Yes</v>
      </c>
      <c r="E826" s="1" t="s">
        <v>15</v>
      </c>
      <c r="F826" s="1">
        <v>1</v>
      </c>
      <c r="G826" s="1" t="s">
        <v>25</v>
      </c>
      <c r="H826" s="1" t="str">
        <f t="shared" si="62"/>
        <v>No</v>
      </c>
      <c r="I826" s="1"/>
      <c r="J826" s="1">
        <v>10886</v>
      </c>
      <c r="K826" s="1">
        <v>4879</v>
      </c>
      <c r="L826" s="1">
        <v>351</v>
      </c>
      <c r="M826" s="1">
        <f t="shared" si="63"/>
        <v>180</v>
      </c>
      <c r="N826" s="1">
        <v>180</v>
      </c>
      <c r="O826" s="1">
        <f t="shared" si="64"/>
        <v>0</v>
      </c>
      <c r="P826" s="1"/>
      <c r="Q826" s="1" t="s">
        <v>41</v>
      </c>
      <c r="R826" s="1" t="s">
        <v>26</v>
      </c>
    </row>
    <row r="827" spans="1:18" x14ac:dyDescent="0.35">
      <c r="A827" s="1" t="s">
        <v>858</v>
      </c>
      <c r="B827" s="1" t="str">
        <f t="shared" si="60"/>
        <v>Male</v>
      </c>
      <c r="C827" s="1" t="s">
        <v>52</v>
      </c>
      <c r="D827" s="1" t="str">
        <f t="shared" si="61"/>
        <v>Yes</v>
      </c>
      <c r="E827" s="1" t="s">
        <v>24</v>
      </c>
      <c r="F827" s="1" t="s">
        <v>16</v>
      </c>
      <c r="G827" s="1" t="s">
        <v>17</v>
      </c>
      <c r="H827" s="1" t="str">
        <f t="shared" si="62"/>
        <v>No</v>
      </c>
      <c r="I827" s="1" t="s">
        <v>18</v>
      </c>
      <c r="J827" s="1">
        <v>17357</v>
      </c>
      <c r="K827" s="1">
        <v>302</v>
      </c>
      <c r="L827" s="1">
        <v>664</v>
      </c>
      <c r="M827" s="1">
        <f t="shared" si="63"/>
        <v>360</v>
      </c>
      <c r="N827" s="1"/>
      <c r="O827" s="1">
        <f t="shared" si="64"/>
        <v>1</v>
      </c>
      <c r="P827" s="1">
        <v>1</v>
      </c>
      <c r="Q827" s="1" t="s">
        <v>30</v>
      </c>
      <c r="R827" s="1" t="s">
        <v>20</v>
      </c>
    </row>
    <row r="828" spans="1:18" x14ac:dyDescent="0.35">
      <c r="A828" s="1" t="s">
        <v>859</v>
      </c>
      <c r="B828" s="1" t="str">
        <f t="shared" si="60"/>
        <v>Female</v>
      </c>
      <c r="C828" s="1" t="s">
        <v>28</v>
      </c>
      <c r="D828" s="1" t="str">
        <f t="shared" si="61"/>
        <v>No</v>
      </c>
      <c r="E828" s="1"/>
      <c r="F828" s="1" t="s">
        <v>16</v>
      </c>
      <c r="G828" s="1" t="s">
        <v>25</v>
      </c>
      <c r="H828" s="1" t="str">
        <f t="shared" si="62"/>
        <v>No</v>
      </c>
      <c r="I828" s="1"/>
      <c r="J828" s="1">
        <v>6595</v>
      </c>
      <c r="K828" s="1">
        <v>5404</v>
      </c>
      <c r="L828" s="1">
        <v>431</v>
      </c>
      <c r="M828" s="1">
        <f t="shared" si="63"/>
        <v>120</v>
      </c>
      <c r="N828" s="1">
        <v>120</v>
      </c>
      <c r="O828" s="1">
        <f t="shared" si="64"/>
        <v>1</v>
      </c>
      <c r="P828" s="1">
        <v>1</v>
      </c>
      <c r="Q828" s="1" t="s">
        <v>41</v>
      </c>
      <c r="R828" s="1" t="s">
        <v>26</v>
      </c>
    </row>
    <row r="829" spans="1:18" x14ac:dyDescent="0.35">
      <c r="A829" s="1" t="s">
        <v>860</v>
      </c>
      <c r="B829" s="1" t="str">
        <f t="shared" si="60"/>
        <v>Male</v>
      </c>
      <c r="C829" s="1" t="s">
        <v>52</v>
      </c>
      <c r="D829" s="1" t="str">
        <f t="shared" si="61"/>
        <v>No</v>
      </c>
      <c r="E829" s="1"/>
      <c r="F829" s="1">
        <v>0</v>
      </c>
      <c r="G829" s="1" t="s">
        <v>17</v>
      </c>
      <c r="H829" s="1" t="str">
        <f t="shared" si="62"/>
        <v>Yes</v>
      </c>
      <c r="I829" s="1" t="s">
        <v>29</v>
      </c>
      <c r="J829" s="1">
        <v>19866</v>
      </c>
      <c r="K829" s="1">
        <v>5323</v>
      </c>
      <c r="L829" s="1">
        <v>356</v>
      </c>
      <c r="M829" s="1">
        <f t="shared" si="63"/>
        <v>360</v>
      </c>
      <c r="N829" s="1"/>
      <c r="O829" s="1">
        <f t="shared" si="64"/>
        <v>0</v>
      </c>
      <c r="P829" s="1">
        <v>0</v>
      </c>
      <c r="Q829" s="1" t="s">
        <v>41</v>
      </c>
      <c r="R829" s="1" t="s">
        <v>20</v>
      </c>
    </row>
    <row r="830" spans="1:18" x14ac:dyDescent="0.35">
      <c r="A830" s="1" t="s">
        <v>861</v>
      </c>
      <c r="B830" s="1" t="str">
        <f t="shared" si="60"/>
        <v>Unknown</v>
      </c>
      <c r="C830" s="1"/>
      <c r="D830" s="1" t="str">
        <f t="shared" si="61"/>
        <v>Yes</v>
      </c>
      <c r="E830" s="1" t="s">
        <v>24</v>
      </c>
      <c r="F830" s="1">
        <v>2</v>
      </c>
      <c r="G830" s="1" t="s">
        <v>25</v>
      </c>
      <c r="H830" s="1" t="str">
        <f t="shared" si="62"/>
        <v>No</v>
      </c>
      <c r="I830" s="1"/>
      <c r="J830" s="1">
        <v>15395</v>
      </c>
      <c r="K830" s="1">
        <v>657</v>
      </c>
      <c r="L830" s="1">
        <v>582</v>
      </c>
      <c r="M830" s="1">
        <f t="shared" si="63"/>
        <v>360</v>
      </c>
      <c r="N830" s="1"/>
      <c r="O830" s="1">
        <f t="shared" si="64"/>
        <v>1</v>
      </c>
      <c r="P830" s="1">
        <v>1</v>
      </c>
      <c r="Q830" s="1" t="s">
        <v>41</v>
      </c>
      <c r="R830" s="1" t="s">
        <v>20</v>
      </c>
    </row>
    <row r="831" spans="1:18" x14ac:dyDescent="0.35">
      <c r="A831" s="1" t="s">
        <v>862</v>
      </c>
      <c r="B831" s="1" t="str">
        <f t="shared" si="60"/>
        <v>Male</v>
      </c>
      <c r="C831" s="1" t="s">
        <v>33</v>
      </c>
      <c r="D831" s="1" t="str">
        <f t="shared" si="61"/>
        <v>No</v>
      </c>
      <c r="E831" s="1"/>
      <c r="F831" s="1">
        <v>0</v>
      </c>
      <c r="G831" s="1" t="s">
        <v>17</v>
      </c>
      <c r="H831" s="1" t="str">
        <f t="shared" si="62"/>
        <v>No</v>
      </c>
      <c r="I831" s="1"/>
      <c r="J831" s="1">
        <v>2291</v>
      </c>
      <c r="K831" s="1">
        <v>8855</v>
      </c>
      <c r="L831" s="1">
        <v>286</v>
      </c>
      <c r="M831" s="1">
        <f t="shared" si="63"/>
        <v>180</v>
      </c>
      <c r="N831" s="1">
        <v>180</v>
      </c>
      <c r="O831" s="1">
        <f t="shared" si="64"/>
        <v>0</v>
      </c>
      <c r="P831" s="1"/>
      <c r="Q831" s="1" t="s">
        <v>41</v>
      </c>
      <c r="R831" s="1" t="s">
        <v>26</v>
      </c>
    </row>
    <row r="832" spans="1:18" x14ac:dyDescent="0.35">
      <c r="A832" s="1" t="s">
        <v>863</v>
      </c>
      <c r="B832" s="1" t="str">
        <f t="shared" si="60"/>
        <v>Female</v>
      </c>
      <c r="C832" s="1" t="s">
        <v>43</v>
      </c>
      <c r="D832" s="1" t="str">
        <f t="shared" si="61"/>
        <v>No</v>
      </c>
      <c r="E832" s="1" t="s">
        <v>22</v>
      </c>
      <c r="F832" s="1">
        <v>0</v>
      </c>
      <c r="G832" s="1" t="s">
        <v>17</v>
      </c>
      <c r="H832" s="1" t="str">
        <f t="shared" si="62"/>
        <v>Yes</v>
      </c>
      <c r="I832" s="1" t="s">
        <v>29</v>
      </c>
      <c r="J832" s="1">
        <v>7011</v>
      </c>
      <c r="K832" s="1">
        <v>6719</v>
      </c>
      <c r="L832" s="1">
        <v>81</v>
      </c>
      <c r="M832" s="1">
        <f t="shared" si="63"/>
        <v>120</v>
      </c>
      <c r="N832" s="1">
        <v>120</v>
      </c>
      <c r="O832" s="1">
        <f t="shared" si="64"/>
        <v>0</v>
      </c>
      <c r="P832" s="1">
        <v>0</v>
      </c>
      <c r="Q832" s="1" t="s">
        <v>19</v>
      </c>
      <c r="R832" s="1" t="s">
        <v>26</v>
      </c>
    </row>
    <row r="833" spans="1:18" x14ac:dyDescent="0.35">
      <c r="A833" s="1" t="s">
        <v>864</v>
      </c>
      <c r="B833" s="1" t="str">
        <f t="shared" si="60"/>
        <v>Unknown</v>
      </c>
      <c r="C833" s="1"/>
      <c r="D833" s="1" t="str">
        <f t="shared" si="61"/>
        <v>No</v>
      </c>
      <c r="E833" s="1" t="s">
        <v>18</v>
      </c>
      <c r="F833" s="1">
        <v>0</v>
      </c>
      <c r="G833" s="1" t="s">
        <v>17</v>
      </c>
      <c r="H833" s="1" t="str">
        <f t="shared" si="62"/>
        <v>No</v>
      </c>
      <c r="I833" s="1" t="s">
        <v>22</v>
      </c>
      <c r="J833" s="1">
        <v>11521</v>
      </c>
      <c r="K833" s="1">
        <v>4175</v>
      </c>
      <c r="L833" s="1">
        <v>615</v>
      </c>
      <c r="M833" s="1">
        <f t="shared" si="63"/>
        <v>360</v>
      </c>
      <c r="N833" s="1"/>
      <c r="O833" s="1">
        <f t="shared" si="64"/>
        <v>1</v>
      </c>
      <c r="P833" s="1">
        <v>1</v>
      </c>
      <c r="Q833" s="1" t="s">
        <v>41</v>
      </c>
      <c r="R833" s="1" t="s">
        <v>20</v>
      </c>
    </row>
    <row r="834" spans="1:18" x14ac:dyDescent="0.35">
      <c r="A834" s="1" t="s">
        <v>865</v>
      </c>
      <c r="B834" s="1" t="str">
        <f t="shared" ref="B834:B897" si="65">IF(ISBLANK(C834),"Unknown", IF(LOWER(TRIM(C834))="male","Male","Female"))</f>
        <v>Female</v>
      </c>
      <c r="C834" s="1" t="s">
        <v>28</v>
      </c>
      <c r="D834" s="1" t="str">
        <f t="shared" ref="D834:D897" si="66">IF(ISBLANK(E834),"No",PROPER(TRIM(E834)))</f>
        <v>No</v>
      </c>
      <c r="E834" s="1"/>
      <c r="F834" s="1">
        <v>1</v>
      </c>
      <c r="G834" s="1" t="s">
        <v>17</v>
      </c>
      <c r="H834" s="1" t="str">
        <f t="shared" ref="H834:H897" si="67">IF(ISBLANK(I834),"No",PROPER(TRIM(I834)))</f>
        <v>Yes</v>
      </c>
      <c r="I834" s="1" t="s">
        <v>15</v>
      </c>
      <c r="J834" s="1">
        <v>7808</v>
      </c>
      <c r="K834" s="1">
        <v>23</v>
      </c>
      <c r="L834" s="1">
        <v>385</v>
      </c>
      <c r="M834" s="1">
        <f t="shared" ref="M834:M897" si="68">IF(ISBLANK(N834),360,N834)</f>
        <v>120</v>
      </c>
      <c r="N834" s="1">
        <v>120</v>
      </c>
      <c r="O834" s="1">
        <f t="shared" ref="O834:O897" si="69">IF(ISBLANK(P834),0,P834)</f>
        <v>1</v>
      </c>
      <c r="P834" s="1">
        <v>1</v>
      </c>
      <c r="Q834" s="1" t="s">
        <v>41</v>
      </c>
      <c r="R834" s="1" t="s">
        <v>26</v>
      </c>
    </row>
    <row r="835" spans="1:18" x14ac:dyDescent="0.35">
      <c r="A835" s="1" t="s">
        <v>866</v>
      </c>
      <c r="B835" s="1" t="str">
        <f t="shared" si="65"/>
        <v>Female</v>
      </c>
      <c r="C835" s="1" t="s">
        <v>28</v>
      </c>
      <c r="D835" s="1" t="str">
        <f t="shared" si="66"/>
        <v>Yes</v>
      </c>
      <c r="E835" s="1" t="s">
        <v>29</v>
      </c>
      <c r="F835" s="1">
        <v>0</v>
      </c>
      <c r="G835" s="1" t="s">
        <v>25</v>
      </c>
      <c r="H835" s="1" t="str">
        <f t="shared" si="67"/>
        <v>Yes</v>
      </c>
      <c r="I835" s="1" t="s">
        <v>29</v>
      </c>
      <c r="J835" s="1">
        <v>8788</v>
      </c>
      <c r="K835" s="1">
        <v>681</v>
      </c>
      <c r="L835" s="1">
        <v>565</v>
      </c>
      <c r="M835" s="1">
        <f t="shared" si="68"/>
        <v>360</v>
      </c>
      <c r="N835" s="1">
        <v>360</v>
      </c>
      <c r="O835" s="1">
        <f t="shared" si="69"/>
        <v>0</v>
      </c>
      <c r="P835" s="1">
        <v>0</v>
      </c>
      <c r="Q835" s="1" t="s">
        <v>30</v>
      </c>
      <c r="R835" s="1" t="s">
        <v>26</v>
      </c>
    </row>
    <row r="836" spans="1:18" x14ac:dyDescent="0.35">
      <c r="A836" s="1" t="s">
        <v>867</v>
      </c>
      <c r="B836" s="1" t="str">
        <f t="shared" si="65"/>
        <v>Male</v>
      </c>
      <c r="C836" s="1" t="s">
        <v>52</v>
      </c>
      <c r="D836" s="1" t="str">
        <f t="shared" si="66"/>
        <v>No</v>
      </c>
      <c r="E836" s="1" t="s">
        <v>18</v>
      </c>
      <c r="F836" s="1">
        <v>0</v>
      </c>
      <c r="G836" s="1" t="s">
        <v>25</v>
      </c>
      <c r="H836" s="1" t="str">
        <f t="shared" si="67"/>
        <v>Yes</v>
      </c>
      <c r="I836" s="1" t="s">
        <v>29</v>
      </c>
      <c r="J836" s="1">
        <v>9620</v>
      </c>
      <c r="K836" s="1">
        <v>2232</v>
      </c>
      <c r="L836" s="1">
        <v>149</v>
      </c>
      <c r="M836" s="1">
        <f t="shared" si="68"/>
        <v>360</v>
      </c>
      <c r="N836" s="1">
        <v>360</v>
      </c>
      <c r="O836" s="1">
        <f t="shared" si="69"/>
        <v>0</v>
      </c>
      <c r="P836" s="1">
        <v>0</v>
      </c>
      <c r="Q836" s="1" t="s">
        <v>41</v>
      </c>
      <c r="R836" s="1" t="s">
        <v>26</v>
      </c>
    </row>
    <row r="837" spans="1:18" x14ac:dyDescent="0.35">
      <c r="A837" s="1" t="s">
        <v>868</v>
      </c>
      <c r="B837" s="1" t="str">
        <f t="shared" si="65"/>
        <v>Female</v>
      </c>
      <c r="C837" s="1" t="s">
        <v>43</v>
      </c>
      <c r="D837" s="1" t="str">
        <f t="shared" si="66"/>
        <v>No</v>
      </c>
      <c r="E837" s="1" t="s">
        <v>22</v>
      </c>
      <c r="F837" s="1" t="s">
        <v>16</v>
      </c>
      <c r="G837" s="1" t="s">
        <v>17</v>
      </c>
      <c r="H837" s="1" t="str">
        <f t="shared" si="67"/>
        <v>No</v>
      </c>
      <c r="I837" s="1" t="s">
        <v>18</v>
      </c>
      <c r="J837" s="1">
        <v>5168</v>
      </c>
      <c r="K837" s="1">
        <v>610</v>
      </c>
      <c r="L837" s="1">
        <v>368</v>
      </c>
      <c r="M837" s="1">
        <f t="shared" si="68"/>
        <v>180</v>
      </c>
      <c r="N837" s="1">
        <v>180</v>
      </c>
      <c r="O837" s="1">
        <f t="shared" si="69"/>
        <v>0</v>
      </c>
      <c r="P837" s="1">
        <v>0</v>
      </c>
      <c r="Q837" s="1" t="s">
        <v>41</v>
      </c>
      <c r="R837" s="1" t="s">
        <v>26</v>
      </c>
    </row>
    <row r="838" spans="1:18" x14ac:dyDescent="0.35">
      <c r="A838" s="1" t="s">
        <v>869</v>
      </c>
      <c r="B838" s="1" t="str">
        <f t="shared" si="65"/>
        <v>Unknown</v>
      </c>
      <c r="C838" s="1"/>
      <c r="D838" s="1" t="str">
        <f t="shared" si="66"/>
        <v>No</v>
      </c>
      <c r="E838" s="1" t="s">
        <v>18</v>
      </c>
      <c r="F838" s="1">
        <v>0</v>
      </c>
      <c r="G838" s="1" t="s">
        <v>25</v>
      </c>
      <c r="H838" s="1" t="str">
        <f t="shared" si="67"/>
        <v>No</v>
      </c>
      <c r="I838" s="1" t="s">
        <v>22</v>
      </c>
      <c r="J838" s="1">
        <v>5292</v>
      </c>
      <c r="K838" s="1">
        <v>6913</v>
      </c>
      <c r="L838" s="1">
        <v>167</v>
      </c>
      <c r="M838" s="1">
        <f t="shared" si="68"/>
        <v>360</v>
      </c>
      <c r="N838" s="1"/>
      <c r="O838" s="1">
        <f t="shared" si="69"/>
        <v>0</v>
      </c>
      <c r="P838" s="1"/>
      <c r="Q838" s="1" t="s">
        <v>19</v>
      </c>
      <c r="R838" s="1" t="s">
        <v>20</v>
      </c>
    </row>
    <row r="839" spans="1:18" x14ac:dyDescent="0.35">
      <c r="A839" s="1" t="s">
        <v>870</v>
      </c>
      <c r="B839" s="1" t="str">
        <f t="shared" si="65"/>
        <v>Unknown</v>
      </c>
      <c r="C839" s="1"/>
      <c r="D839" s="1" t="str">
        <f t="shared" si="66"/>
        <v>Yes</v>
      </c>
      <c r="E839" s="1" t="s">
        <v>29</v>
      </c>
      <c r="F839" s="1">
        <v>0</v>
      </c>
      <c r="G839" s="1" t="s">
        <v>17</v>
      </c>
      <c r="H839" s="1" t="str">
        <f t="shared" si="67"/>
        <v>No</v>
      </c>
      <c r="I839" s="1" t="s">
        <v>22</v>
      </c>
      <c r="J839" s="1">
        <v>14163</v>
      </c>
      <c r="K839" s="1">
        <v>1657</v>
      </c>
      <c r="L839" s="1">
        <v>373</v>
      </c>
      <c r="M839" s="1">
        <f t="shared" si="68"/>
        <v>120</v>
      </c>
      <c r="N839" s="1">
        <v>120</v>
      </c>
      <c r="O839" s="1">
        <f t="shared" si="69"/>
        <v>0</v>
      </c>
      <c r="P839" s="1">
        <v>0</v>
      </c>
      <c r="Q839" s="1" t="s">
        <v>30</v>
      </c>
      <c r="R839" s="1" t="s">
        <v>26</v>
      </c>
    </row>
    <row r="840" spans="1:18" x14ac:dyDescent="0.35">
      <c r="A840" s="1" t="s">
        <v>871</v>
      </c>
      <c r="B840" s="1" t="str">
        <f t="shared" si="65"/>
        <v>Unknown</v>
      </c>
      <c r="C840" s="1"/>
      <c r="D840" s="1" t="str">
        <f t="shared" si="66"/>
        <v>No</v>
      </c>
      <c r="E840" s="1" t="s">
        <v>36</v>
      </c>
      <c r="F840" s="1" t="s">
        <v>16</v>
      </c>
      <c r="G840" s="1" t="s">
        <v>25</v>
      </c>
      <c r="H840" s="1" t="str">
        <f t="shared" si="67"/>
        <v>No</v>
      </c>
      <c r="I840" s="1" t="s">
        <v>18</v>
      </c>
      <c r="J840" s="1">
        <v>9611</v>
      </c>
      <c r="K840" s="1">
        <v>1877</v>
      </c>
      <c r="L840" s="1">
        <v>660</v>
      </c>
      <c r="M840" s="1">
        <f t="shared" si="68"/>
        <v>180</v>
      </c>
      <c r="N840" s="1">
        <v>180</v>
      </c>
      <c r="O840" s="1">
        <f t="shared" si="69"/>
        <v>0</v>
      </c>
      <c r="P840" s="1"/>
      <c r="Q840" s="1" t="s">
        <v>19</v>
      </c>
      <c r="R840" s="1" t="s">
        <v>20</v>
      </c>
    </row>
    <row r="841" spans="1:18" x14ac:dyDescent="0.35">
      <c r="A841" s="1" t="s">
        <v>872</v>
      </c>
      <c r="B841" s="1" t="str">
        <f t="shared" si="65"/>
        <v>Male</v>
      </c>
      <c r="C841" s="1" t="s">
        <v>52</v>
      </c>
      <c r="D841" s="1" t="str">
        <f t="shared" si="66"/>
        <v>No</v>
      </c>
      <c r="E841" s="1"/>
      <c r="F841" s="1" t="s">
        <v>16</v>
      </c>
      <c r="G841" s="1" t="s">
        <v>17</v>
      </c>
      <c r="H841" s="1" t="str">
        <f t="shared" si="67"/>
        <v>Yes</v>
      </c>
      <c r="I841" s="1" t="s">
        <v>24</v>
      </c>
      <c r="J841" s="1">
        <v>10772</v>
      </c>
      <c r="K841" s="1">
        <v>1022</v>
      </c>
      <c r="L841" s="1">
        <v>81</v>
      </c>
      <c r="M841" s="1">
        <f t="shared" si="68"/>
        <v>360</v>
      </c>
      <c r="N841" s="1"/>
      <c r="O841" s="1">
        <f t="shared" si="69"/>
        <v>1</v>
      </c>
      <c r="P841" s="1">
        <v>1</v>
      </c>
      <c r="Q841" s="1" t="s">
        <v>19</v>
      </c>
      <c r="R841" s="1" t="s">
        <v>20</v>
      </c>
    </row>
    <row r="842" spans="1:18" x14ac:dyDescent="0.35">
      <c r="A842" s="1" t="s">
        <v>873</v>
      </c>
      <c r="B842" s="1" t="str">
        <f t="shared" si="65"/>
        <v>Female</v>
      </c>
      <c r="C842" s="1" t="s">
        <v>61</v>
      </c>
      <c r="D842" s="1" t="str">
        <f t="shared" si="66"/>
        <v>No</v>
      </c>
      <c r="E842" s="1" t="s">
        <v>22</v>
      </c>
      <c r="F842" s="1" t="s">
        <v>16</v>
      </c>
      <c r="G842" s="1" t="s">
        <v>25</v>
      </c>
      <c r="H842" s="1" t="str">
        <f t="shared" si="67"/>
        <v>No</v>
      </c>
      <c r="I842" s="1" t="s">
        <v>22</v>
      </c>
      <c r="J842" s="1">
        <v>7238</v>
      </c>
      <c r="K842" s="1">
        <v>1616</v>
      </c>
      <c r="L842" s="1">
        <v>284</v>
      </c>
      <c r="M842" s="1">
        <f t="shared" si="68"/>
        <v>360</v>
      </c>
      <c r="N842" s="1">
        <v>360</v>
      </c>
      <c r="O842" s="1">
        <f t="shared" si="69"/>
        <v>0</v>
      </c>
      <c r="P842" s="1">
        <v>0</v>
      </c>
      <c r="Q842" s="1" t="s">
        <v>41</v>
      </c>
      <c r="R842" s="1" t="s">
        <v>20</v>
      </c>
    </row>
    <row r="843" spans="1:18" x14ac:dyDescent="0.35">
      <c r="A843" s="1" t="s">
        <v>874</v>
      </c>
      <c r="B843" s="1" t="str">
        <f t="shared" si="65"/>
        <v>Unknown</v>
      </c>
      <c r="C843" s="1"/>
      <c r="D843" s="1" t="str">
        <f t="shared" si="66"/>
        <v>Yes</v>
      </c>
      <c r="E843" s="1" t="s">
        <v>29</v>
      </c>
      <c r="F843" s="1">
        <v>0</v>
      </c>
      <c r="G843" s="1" t="s">
        <v>25</v>
      </c>
      <c r="H843" s="1" t="str">
        <f t="shared" si="67"/>
        <v>No</v>
      </c>
      <c r="I843" s="1" t="s">
        <v>36</v>
      </c>
      <c r="J843" s="1">
        <v>18957</v>
      </c>
      <c r="K843" s="1">
        <v>1612</v>
      </c>
      <c r="L843" s="1">
        <v>579</v>
      </c>
      <c r="M843" s="1">
        <f t="shared" si="68"/>
        <v>360</v>
      </c>
      <c r="N843" s="1"/>
      <c r="O843" s="1">
        <f t="shared" si="69"/>
        <v>0</v>
      </c>
      <c r="P843" s="1"/>
      <c r="Q843" s="1" t="s">
        <v>19</v>
      </c>
      <c r="R843" s="1" t="s">
        <v>20</v>
      </c>
    </row>
    <row r="844" spans="1:18" x14ac:dyDescent="0.35">
      <c r="A844" s="1" t="s">
        <v>875</v>
      </c>
      <c r="B844" s="1" t="str">
        <f t="shared" si="65"/>
        <v>Female</v>
      </c>
      <c r="C844" s="1" t="s">
        <v>28</v>
      </c>
      <c r="D844" s="1" t="str">
        <f t="shared" si="66"/>
        <v>No</v>
      </c>
      <c r="E844" s="1"/>
      <c r="F844" s="1" t="s">
        <v>16</v>
      </c>
      <c r="G844" s="1" t="s">
        <v>17</v>
      </c>
      <c r="H844" s="1" t="str">
        <f t="shared" si="67"/>
        <v>Yes</v>
      </c>
      <c r="I844" s="1" t="s">
        <v>24</v>
      </c>
      <c r="J844" s="1">
        <v>9099</v>
      </c>
      <c r="K844" s="1">
        <v>291</v>
      </c>
      <c r="L844" s="1">
        <v>304</v>
      </c>
      <c r="M844" s="1">
        <f t="shared" si="68"/>
        <v>180</v>
      </c>
      <c r="N844" s="1">
        <v>180</v>
      </c>
      <c r="O844" s="1">
        <f t="shared" si="69"/>
        <v>1</v>
      </c>
      <c r="P844" s="1">
        <v>1</v>
      </c>
      <c r="Q844" s="1" t="s">
        <v>19</v>
      </c>
      <c r="R844" s="1" t="s">
        <v>26</v>
      </c>
    </row>
    <row r="845" spans="1:18" x14ac:dyDescent="0.35">
      <c r="A845" s="1" t="s">
        <v>876</v>
      </c>
      <c r="B845" s="1" t="str">
        <f t="shared" si="65"/>
        <v>Unknown</v>
      </c>
      <c r="C845" s="1"/>
      <c r="D845" s="1" t="str">
        <f t="shared" si="66"/>
        <v>No</v>
      </c>
      <c r="E845" s="1" t="s">
        <v>22</v>
      </c>
      <c r="F845" s="1">
        <v>2</v>
      </c>
      <c r="G845" s="1" t="s">
        <v>17</v>
      </c>
      <c r="H845" s="1" t="str">
        <f t="shared" si="67"/>
        <v>No</v>
      </c>
      <c r="I845" s="1" t="s">
        <v>18</v>
      </c>
      <c r="J845" s="1">
        <v>12126</v>
      </c>
      <c r="K845" s="1">
        <v>5495</v>
      </c>
      <c r="L845" s="1">
        <v>394</v>
      </c>
      <c r="M845" s="1">
        <f t="shared" si="68"/>
        <v>360</v>
      </c>
      <c r="N845" s="1"/>
      <c r="O845" s="1">
        <f t="shared" si="69"/>
        <v>0</v>
      </c>
      <c r="P845" s="1">
        <v>0</v>
      </c>
      <c r="Q845" s="1" t="s">
        <v>30</v>
      </c>
      <c r="R845" s="1" t="s">
        <v>20</v>
      </c>
    </row>
    <row r="846" spans="1:18" x14ac:dyDescent="0.35">
      <c r="A846" s="1" t="s">
        <v>877</v>
      </c>
      <c r="B846" s="1" t="str">
        <f t="shared" si="65"/>
        <v>Unknown</v>
      </c>
      <c r="C846" s="1"/>
      <c r="D846" s="1" t="str">
        <f t="shared" si="66"/>
        <v>No</v>
      </c>
      <c r="E846" s="1"/>
      <c r="F846" s="1">
        <v>0</v>
      </c>
      <c r="G846" s="1" t="s">
        <v>25</v>
      </c>
      <c r="H846" s="1" t="str">
        <f t="shared" si="67"/>
        <v>No</v>
      </c>
      <c r="I846" s="1"/>
      <c r="J846" s="1">
        <v>3246</v>
      </c>
      <c r="K846" s="1">
        <v>2433</v>
      </c>
      <c r="L846" s="1">
        <v>134</v>
      </c>
      <c r="M846" s="1">
        <f t="shared" si="68"/>
        <v>360</v>
      </c>
      <c r="N846" s="1">
        <v>360</v>
      </c>
      <c r="O846" s="1">
        <f t="shared" si="69"/>
        <v>1</v>
      </c>
      <c r="P846" s="1">
        <v>1</v>
      </c>
      <c r="Q846" s="1" t="s">
        <v>41</v>
      </c>
      <c r="R846" s="1" t="s">
        <v>26</v>
      </c>
    </row>
    <row r="847" spans="1:18" x14ac:dyDescent="0.35">
      <c r="A847" s="1" t="s">
        <v>878</v>
      </c>
      <c r="B847" s="1" t="str">
        <f t="shared" si="65"/>
        <v>Male</v>
      </c>
      <c r="C847" s="1" t="s">
        <v>52</v>
      </c>
      <c r="D847" s="1" t="str">
        <f t="shared" si="66"/>
        <v>No</v>
      </c>
      <c r="E847" s="1" t="s">
        <v>18</v>
      </c>
      <c r="F847" s="1" t="s">
        <v>16</v>
      </c>
      <c r="G847" s="1" t="s">
        <v>17</v>
      </c>
      <c r="H847" s="1" t="str">
        <f t="shared" si="67"/>
        <v>No</v>
      </c>
      <c r="I847" s="1"/>
      <c r="J847" s="1">
        <v>13625</v>
      </c>
      <c r="K847" s="1">
        <v>4556</v>
      </c>
      <c r="L847" s="1">
        <v>446</v>
      </c>
      <c r="M847" s="1">
        <f t="shared" si="68"/>
        <v>120</v>
      </c>
      <c r="N847" s="1">
        <v>120</v>
      </c>
      <c r="O847" s="1">
        <f t="shared" si="69"/>
        <v>1</v>
      </c>
      <c r="P847" s="1">
        <v>1</v>
      </c>
      <c r="Q847" s="1" t="s">
        <v>19</v>
      </c>
      <c r="R847" s="1" t="s">
        <v>20</v>
      </c>
    </row>
    <row r="848" spans="1:18" x14ac:dyDescent="0.35">
      <c r="A848" s="1" t="s">
        <v>879</v>
      </c>
      <c r="B848" s="1" t="str">
        <f t="shared" si="65"/>
        <v>Unknown</v>
      </c>
      <c r="C848" s="1"/>
      <c r="D848" s="1" t="str">
        <f t="shared" si="66"/>
        <v>Yes</v>
      </c>
      <c r="E848" s="1" t="s">
        <v>15</v>
      </c>
      <c r="F848" s="1">
        <v>2</v>
      </c>
      <c r="G848" s="1" t="s">
        <v>17</v>
      </c>
      <c r="H848" s="1" t="str">
        <f t="shared" si="67"/>
        <v>Yes</v>
      </c>
      <c r="I848" s="1" t="s">
        <v>24</v>
      </c>
      <c r="J848" s="1">
        <v>16895</v>
      </c>
      <c r="K848" s="1">
        <v>42</v>
      </c>
      <c r="L848" s="1">
        <v>351</v>
      </c>
      <c r="M848" s="1">
        <f t="shared" si="68"/>
        <v>360</v>
      </c>
      <c r="N848" s="1">
        <v>360</v>
      </c>
      <c r="O848" s="1">
        <f t="shared" si="69"/>
        <v>0</v>
      </c>
      <c r="P848" s="1"/>
      <c r="Q848" s="1" t="s">
        <v>41</v>
      </c>
      <c r="R848" s="1" t="s">
        <v>20</v>
      </c>
    </row>
    <row r="849" spans="1:18" x14ac:dyDescent="0.35">
      <c r="A849" s="1" t="s">
        <v>880</v>
      </c>
      <c r="B849" s="1" t="str">
        <f t="shared" si="65"/>
        <v>Male</v>
      </c>
      <c r="C849" s="1" t="s">
        <v>14</v>
      </c>
      <c r="D849" s="1" t="str">
        <f t="shared" si="66"/>
        <v>No</v>
      </c>
      <c r="E849" s="1"/>
      <c r="F849" s="1">
        <v>1</v>
      </c>
      <c r="G849" s="1" t="s">
        <v>17</v>
      </c>
      <c r="H849" s="1" t="str">
        <f t="shared" si="67"/>
        <v>Yes</v>
      </c>
      <c r="I849" s="1" t="s">
        <v>15</v>
      </c>
      <c r="J849" s="1">
        <v>6850</v>
      </c>
      <c r="K849" s="1">
        <v>1311</v>
      </c>
      <c r="L849" s="1">
        <v>533</v>
      </c>
      <c r="M849" s="1">
        <f t="shared" si="68"/>
        <v>120</v>
      </c>
      <c r="N849" s="1">
        <v>120</v>
      </c>
      <c r="O849" s="1">
        <f t="shared" si="69"/>
        <v>0</v>
      </c>
      <c r="P849" s="1">
        <v>0</v>
      </c>
      <c r="Q849" s="1" t="s">
        <v>19</v>
      </c>
      <c r="R849" s="1" t="s">
        <v>26</v>
      </c>
    </row>
    <row r="850" spans="1:18" x14ac:dyDescent="0.35">
      <c r="A850" s="1" t="s">
        <v>881</v>
      </c>
      <c r="B850" s="1" t="str">
        <f t="shared" si="65"/>
        <v>Unknown</v>
      </c>
      <c r="C850" s="1"/>
      <c r="D850" s="1" t="str">
        <f t="shared" si="66"/>
        <v>Yes</v>
      </c>
      <c r="E850" s="1" t="s">
        <v>29</v>
      </c>
      <c r="F850" s="1" t="s">
        <v>16</v>
      </c>
      <c r="G850" s="1" t="s">
        <v>25</v>
      </c>
      <c r="H850" s="1" t="str">
        <f t="shared" si="67"/>
        <v>Yes</v>
      </c>
      <c r="I850" s="1" t="s">
        <v>15</v>
      </c>
      <c r="J850" s="1">
        <v>3080</v>
      </c>
      <c r="K850" s="1">
        <v>8249</v>
      </c>
      <c r="L850" s="1">
        <v>534</v>
      </c>
      <c r="M850" s="1">
        <f t="shared" si="68"/>
        <v>360</v>
      </c>
      <c r="N850" s="1"/>
      <c r="O850" s="1">
        <f t="shared" si="69"/>
        <v>0</v>
      </c>
      <c r="P850" s="1"/>
      <c r="Q850" s="1" t="s">
        <v>19</v>
      </c>
      <c r="R850" s="1" t="s">
        <v>26</v>
      </c>
    </row>
    <row r="851" spans="1:18" x14ac:dyDescent="0.35">
      <c r="A851" s="1" t="s">
        <v>882</v>
      </c>
      <c r="B851" s="1" t="str">
        <f t="shared" si="65"/>
        <v>Unknown</v>
      </c>
      <c r="C851" s="1"/>
      <c r="D851" s="1" t="str">
        <f t="shared" si="66"/>
        <v>No</v>
      </c>
      <c r="E851" s="1" t="s">
        <v>36</v>
      </c>
      <c r="F851" s="1">
        <v>1</v>
      </c>
      <c r="G851" s="1" t="s">
        <v>25</v>
      </c>
      <c r="H851" s="1" t="str">
        <f t="shared" si="67"/>
        <v>No</v>
      </c>
      <c r="I851" s="1"/>
      <c r="J851" s="1">
        <v>13939</v>
      </c>
      <c r="K851" s="1">
        <v>6544</v>
      </c>
      <c r="L851" s="1">
        <v>450</v>
      </c>
      <c r="M851" s="1">
        <f t="shared" si="68"/>
        <v>360</v>
      </c>
      <c r="N851" s="1"/>
      <c r="O851" s="1">
        <f t="shared" si="69"/>
        <v>0</v>
      </c>
      <c r="P851" s="1"/>
      <c r="Q851" s="1" t="s">
        <v>30</v>
      </c>
      <c r="R851" s="1" t="s">
        <v>20</v>
      </c>
    </row>
    <row r="852" spans="1:18" x14ac:dyDescent="0.35">
      <c r="A852" s="1" t="s">
        <v>883</v>
      </c>
      <c r="B852" s="1" t="str">
        <f t="shared" si="65"/>
        <v>Female</v>
      </c>
      <c r="C852" s="1" t="s">
        <v>28</v>
      </c>
      <c r="D852" s="1" t="str">
        <f t="shared" si="66"/>
        <v>No</v>
      </c>
      <c r="E852" s="1" t="s">
        <v>22</v>
      </c>
      <c r="F852" s="1">
        <v>0</v>
      </c>
      <c r="G852" s="1" t="s">
        <v>17</v>
      </c>
      <c r="H852" s="1" t="str">
        <f t="shared" si="67"/>
        <v>No</v>
      </c>
      <c r="I852" s="1"/>
      <c r="J852" s="1">
        <v>18299</v>
      </c>
      <c r="K852" s="1">
        <v>5717</v>
      </c>
      <c r="L852" s="1">
        <v>531</v>
      </c>
      <c r="M852" s="1">
        <f t="shared" si="68"/>
        <v>120</v>
      </c>
      <c r="N852" s="1">
        <v>120</v>
      </c>
      <c r="O852" s="1">
        <f t="shared" si="69"/>
        <v>1</v>
      </c>
      <c r="P852" s="1">
        <v>1</v>
      </c>
      <c r="Q852" s="1" t="s">
        <v>30</v>
      </c>
      <c r="R852" s="1" t="s">
        <v>20</v>
      </c>
    </row>
    <row r="853" spans="1:18" x14ac:dyDescent="0.35">
      <c r="A853" s="1" t="s">
        <v>884</v>
      </c>
      <c r="B853" s="1" t="str">
        <f t="shared" si="65"/>
        <v>Male</v>
      </c>
      <c r="C853" s="1" t="s">
        <v>14</v>
      </c>
      <c r="D853" s="1" t="str">
        <f t="shared" si="66"/>
        <v>Yes</v>
      </c>
      <c r="E853" s="1" t="s">
        <v>15</v>
      </c>
      <c r="F853" s="1" t="s">
        <v>16</v>
      </c>
      <c r="G853" s="1" t="s">
        <v>25</v>
      </c>
      <c r="H853" s="1" t="str">
        <f t="shared" si="67"/>
        <v>Yes</v>
      </c>
      <c r="I853" s="1" t="s">
        <v>24</v>
      </c>
      <c r="J853" s="1">
        <v>18319</v>
      </c>
      <c r="K853" s="1">
        <v>185</v>
      </c>
      <c r="L853" s="1">
        <v>131</v>
      </c>
      <c r="M853" s="1">
        <f t="shared" si="68"/>
        <v>180</v>
      </c>
      <c r="N853" s="1">
        <v>180</v>
      </c>
      <c r="O853" s="1">
        <f t="shared" si="69"/>
        <v>0</v>
      </c>
      <c r="P853" s="1">
        <v>0</v>
      </c>
      <c r="Q853" s="1" t="s">
        <v>19</v>
      </c>
      <c r="R853" s="1" t="s">
        <v>20</v>
      </c>
    </row>
    <row r="854" spans="1:18" x14ac:dyDescent="0.35">
      <c r="A854" s="1" t="s">
        <v>885</v>
      </c>
      <c r="B854" s="1" t="str">
        <f t="shared" si="65"/>
        <v>Female</v>
      </c>
      <c r="C854" s="1" t="s">
        <v>43</v>
      </c>
      <c r="D854" s="1" t="str">
        <f t="shared" si="66"/>
        <v>Yes</v>
      </c>
      <c r="E854" s="1" t="s">
        <v>24</v>
      </c>
      <c r="F854" s="1">
        <v>2</v>
      </c>
      <c r="G854" s="1" t="s">
        <v>25</v>
      </c>
      <c r="H854" s="1" t="str">
        <f t="shared" si="67"/>
        <v>No</v>
      </c>
      <c r="I854" s="1"/>
      <c r="J854" s="1">
        <v>7816</v>
      </c>
      <c r="K854" s="1">
        <v>1522</v>
      </c>
      <c r="L854" s="1">
        <v>238</v>
      </c>
      <c r="M854" s="1">
        <f t="shared" si="68"/>
        <v>180</v>
      </c>
      <c r="N854" s="1">
        <v>180</v>
      </c>
      <c r="O854" s="1">
        <f t="shared" si="69"/>
        <v>0</v>
      </c>
      <c r="P854" s="1"/>
      <c r="Q854" s="1" t="s">
        <v>30</v>
      </c>
      <c r="R854" s="1" t="s">
        <v>20</v>
      </c>
    </row>
    <row r="855" spans="1:18" x14ac:dyDescent="0.35">
      <c r="A855" s="1" t="s">
        <v>886</v>
      </c>
      <c r="B855" s="1" t="str">
        <f t="shared" si="65"/>
        <v>Unknown</v>
      </c>
      <c r="C855" s="1"/>
      <c r="D855" s="1" t="str">
        <f t="shared" si="66"/>
        <v>Yes</v>
      </c>
      <c r="E855" s="1" t="s">
        <v>15</v>
      </c>
      <c r="F855" s="1">
        <v>1</v>
      </c>
      <c r="G855" s="1" t="s">
        <v>17</v>
      </c>
      <c r="H855" s="1" t="str">
        <f t="shared" si="67"/>
        <v>Yes</v>
      </c>
      <c r="I855" s="1" t="s">
        <v>15</v>
      </c>
      <c r="J855" s="1">
        <v>12123</v>
      </c>
      <c r="K855" s="1">
        <v>5342</v>
      </c>
      <c r="L855" s="1">
        <v>636</v>
      </c>
      <c r="M855" s="1">
        <f t="shared" si="68"/>
        <v>120</v>
      </c>
      <c r="N855" s="1">
        <v>120</v>
      </c>
      <c r="O855" s="1">
        <f t="shared" si="69"/>
        <v>1</v>
      </c>
      <c r="P855" s="1">
        <v>1</v>
      </c>
      <c r="Q855" s="1" t="s">
        <v>30</v>
      </c>
      <c r="R855" s="1" t="s">
        <v>26</v>
      </c>
    </row>
    <row r="856" spans="1:18" x14ac:dyDescent="0.35">
      <c r="A856" s="1" t="s">
        <v>887</v>
      </c>
      <c r="B856" s="1" t="str">
        <f t="shared" si="65"/>
        <v>Male</v>
      </c>
      <c r="C856" s="1" t="s">
        <v>33</v>
      </c>
      <c r="D856" s="1" t="str">
        <f t="shared" si="66"/>
        <v>No</v>
      </c>
      <c r="E856" s="1" t="s">
        <v>36</v>
      </c>
      <c r="F856" s="1">
        <v>0</v>
      </c>
      <c r="G856" s="1" t="s">
        <v>17</v>
      </c>
      <c r="H856" s="1" t="str">
        <f t="shared" si="67"/>
        <v>Yes</v>
      </c>
      <c r="I856" s="1" t="s">
        <v>24</v>
      </c>
      <c r="J856" s="1">
        <v>18107</v>
      </c>
      <c r="K856" s="1">
        <v>349</v>
      </c>
      <c r="L856" s="1">
        <v>467</v>
      </c>
      <c r="M856" s="1">
        <f t="shared" si="68"/>
        <v>120</v>
      </c>
      <c r="N856" s="1">
        <v>120</v>
      </c>
      <c r="O856" s="1">
        <f t="shared" si="69"/>
        <v>0</v>
      </c>
      <c r="P856" s="1">
        <v>0</v>
      </c>
      <c r="Q856" s="1" t="s">
        <v>41</v>
      </c>
      <c r="R856" s="1" t="s">
        <v>20</v>
      </c>
    </row>
    <row r="857" spans="1:18" x14ac:dyDescent="0.35">
      <c r="A857" s="1" t="s">
        <v>888</v>
      </c>
      <c r="B857" s="1" t="str">
        <f t="shared" si="65"/>
        <v>Female</v>
      </c>
      <c r="C857" s="1" t="s">
        <v>61</v>
      </c>
      <c r="D857" s="1" t="str">
        <f t="shared" si="66"/>
        <v>Yes</v>
      </c>
      <c r="E857" s="1" t="s">
        <v>24</v>
      </c>
      <c r="F857" s="1">
        <v>0</v>
      </c>
      <c r="G857" s="1" t="s">
        <v>17</v>
      </c>
      <c r="H857" s="1" t="str">
        <f t="shared" si="67"/>
        <v>No</v>
      </c>
      <c r="I857" s="1" t="s">
        <v>22</v>
      </c>
      <c r="J857" s="1">
        <v>14258</v>
      </c>
      <c r="K857" s="1">
        <v>9656</v>
      </c>
      <c r="L857" s="1">
        <v>56</v>
      </c>
      <c r="M857" s="1">
        <f t="shared" si="68"/>
        <v>360</v>
      </c>
      <c r="N857" s="1">
        <v>360</v>
      </c>
      <c r="O857" s="1">
        <f t="shared" si="69"/>
        <v>1</v>
      </c>
      <c r="P857" s="1">
        <v>1</v>
      </c>
      <c r="Q857" s="1" t="s">
        <v>41</v>
      </c>
      <c r="R857" s="1" t="s">
        <v>26</v>
      </c>
    </row>
    <row r="858" spans="1:18" x14ac:dyDescent="0.35">
      <c r="A858" s="1" t="s">
        <v>889</v>
      </c>
      <c r="B858" s="1" t="str">
        <f t="shared" si="65"/>
        <v>Male</v>
      </c>
      <c r="C858" s="1" t="s">
        <v>33</v>
      </c>
      <c r="D858" s="1" t="str">
        <f t="shared" si="66"/>
        <v>No</v>
      </c>
      <c r="E858" s="1"/>
      <c r="F858" s="1">
        <v>2</v>
      </c>
      <c r="G858" s="1" t="s">
        <v>17</v>
      </c>
      <c r="H858" s="1" t="str">
        <f t="shared" si="67"/>
        <v>Yes</v>
      </c>
      <c r="I858" s="1" t="s">
        <v>24</v>
      </c>
      <c r="J858" s="1">
        <v>9315</v>
      </c>
      <c r="K858" s="1">
        <v>2672</v>
      </c>
      <c r="L858" s="1">
        <v>669</v>
      </c>
      <c r="M858" s="1">
        <f t="shared" si="68"/>
        <v>360</v>
      </c>
      <c r="N858" s="1"/>
      <c r="O858" s="1">
        <f t="shared" si="69"/>
        <v>1</v>
      </c>
      <c r="P858" s="1">
        <v>1</v>
      </c>
      <c r="Q858" s="1" t="s">
        <v>30</v>
      </c>
      <c r="R858" s="1" t="s">
        <v>26</v>
      </c>
    </row>
    <row r="859" spans="1:18" x14ac:dyDescent="0.35">
      <c r="A859" s="1" t="s">
        <v>890</v>
      </c>
      <c r="B859" s="1" t="str">
        <f t="shared" si="65"/>
        <v>Unknown</v>
      </c>
      <c r="C859" s="1"/>
      <c r="D859" s="1" t="str">
        <f t="shared" si="66"/>
        <v>No</v>
      </c>
      <c r="E859" s="1"/>
      <c r="F859" s="1" t="s">
        <v>16</v>
      </c>
      <c r="G859" s="1" t="s">
        <v>17</v>
      </c>
      <c r="H859" s="1" t="str">
        <f t="shared" si="67"/>
        <v>No</v>
      </c>
      <c r="I859" s="1"/>
      <c r="J859" s="1">
        <v>2103</v>
      </c>
      <c r="K859" s="1">
        <v>2803</v>
      </c>
      <c r="L859" s="1">
        <v>643</v>
      </c>
      <c r="M859" s="1">
        <f t="shared" si="68"/>
        <v>180</v>
      </c>
      <c r="N859" s="1">
        <v>180</v>
      </c>
      <c r="O859" s="1">
        <f t="shared" si="69"/>
        <v>1</v>
      </c>
      <c r="P859" s="1">
        <v>1</v>
      </c>
      <c r="Q859" s="1" t="s">
        <v>30</v>
      </c>
      <c r="R859" s="1" t="s">
        <v>20</v>
      </c>
    </row>
    <row r="860" spans="1:18" x14ac:dyDescent="0.35">
      <c r="A860" s="1" t="s">
        <v>891</v>
      </c>
      <c r="B860" s="1" t="str">
        <f t="shared" si="65"/>
        <v>Male</v>
      </c>
      <c r="C860" s="1" t="s">
        <v>14</v>
      </c>
      <c r="D860" s="1" t="str">
        <f t="shared" si="66"/>
        <v>Yes</v>
      </c>
      <c r="E860" s="1" t="s">
        <v>24</v>
      </c>
      <c r="F860" s="1">
        <v>0</v>
      </c>
      <c r="G860" s="1" t="s">
        <v>17</v>
      </c>
      <c r="H860" s="1" t="str">
        <f t="shared" si="67"/>
        <v>Yes</v>
      </c>
      <c r="I860" s="1" t="s">
        <v>29</v>
      </c>
      <c r="J860" s="1">
        <v>5393</v>
      </c>
      <c r="K860" s="1">
        <v>2620</v>
      </c>
      <c r="L860" s="1">
        <v>497</v>
      </c>
      <c r="M860" s="1">
        <f t="shared" si="68"/>
        <v>360</v>
      </c>
      <c r="N860" s="1">
        <v>360</v>
      </c>
      <c r="O860" s="1">
        <f t="shared" si="69"/>
        <v>1</v>
      </c>
      <c r="P860" s="1">
        <v>1</v>
      </c>
      <c r="Q860" s="1" t="s">
        <v>19</v>
      </c>
      <c r="R860" s="1" t="s">
        <v>26</v>
      </c>
    </row>
    <row r="861" spans="1:18" x14ac:dyDescent="0.35">
      <c r="A861" s="1" t="s">
        <v>892</v>
      </c>
      <c r="B861" s="1" t="str">
        <f t="shared" si="65"/>
        <v>Unknown</v>
      </c>
      <c r="C861" s="1"/>
      <c r="D861" s="1" t="str">
        <f t="shared" si="66"/>
        <v>Yes</v>
      </c>
      <c r="E861" s="1" t="s">
        <v>29</v>
      </c>
      <c r="F861" s="1">
        <v>1</v>
      </c>
      <c r="G861" s="1" t="s">
        <v>17</v>
      </c>
      <c r="H861" s="1" t="str">
        <f t="shared" si="67"/>
        <v>Yes</v>
      </c>
      <c r="I861" s="1" t="s">
        <v>15</v>
      </c>
      <c r="J861" s="1">
        <v>6820</v>
      </c>
      <c r="K861" s="1">
        <v>8950</v>
      </c>
      <c r="L861" s="1">
        <v>69</v>
      </c>
      <c r="M861" s="1">
        <f t="shared" si="68"/>
        <v>360</v>
      </c>
      <c r="N861" s="1">
        <v>360</v>
      </c>
      <c r="O861" s="1">
        <f t="shared" si="69"/>
        <v>1</v>
      </c>
      <c r="P861" s="1">
        <v>1</v>
      </c>
      <c r="Q861" s="1" t="s">
        <v>41</v>
      </c>
      <c r="R861" s="1" t="s">
        <v>20</v>
      </c>
    </row>
    <row r="862" spans="1:18" x14ac:dyDescent="0.35">
      <c r="A862" s="1" t="s">
        <v>893</v>
      </c>
      <c r="B862" s="1" t="str">
        <f t="shared" si="65"/>
        <v>Male</v>
      </c>
      <c r="C862" s="1" t="s">
        <v>52</v>
      </c>
      <c r="D862" s="1" t="str">
        <f t="shared" si="66"/>
        <v>No</v>
      </c>
      <c r="E862" s="1" t="s">
        <v>22</v>
      </c>
      <c r="F862" s="1">
        <v>2</v>
      </c>
      <c r="G862" s="1" t="s">
        <v>25</v>
      </c>
      <c r="H862" s="1" t="str">
        <f t="shared" si="67"/>
        <v>No</v>
      </c>
      <c r="I862" s="1"/>
      <c r="J862" s="1">
        <v>9248</v>
      </c>
      <c r="K862" s="1">
        <v>5036</v>
      </c>
      <c r="L862" s="1">
        <v>573</v>
      </c>
      <c r="M862" s="1">
        <f t="shared" si="68"/>
        <v>360</v>
      </c>
      <c r="N862" s="1">
        <v>360</v>
      </c>
      <c r="O862" s="1">
        <f t="shared" si="69"/>
        <v>0</v>
      </c>
      <c r="P862" s="1">
        <v>0</v>
      </c>
      <c r="Q862" s="1" t="s">
        <v>30</v>
      </c>
      <c r="R862" s="1" t="s">
        <v>26</v>
      </c>
    </row>
    <row r="863" spans="1:18" x14ac:dyDescent="0.35">
      <c r="A863" s="1" t="s">
        <v>894</v>
      </c>
      <c r="B863" s="1" t="str">
        <f t="shared" si="65"/>
        <v>Female</v>
      </c>
      <c r="C863" s="1" t="s">
        <v>61</v>
      </c>
      <c r="D863" s="1" t="str">
        <f t="shared" si="66"/>
        <v>No</v>
      </c>
      <c r="E863" s="1" t="s">
        <v>36</v>
      </c>
      <c r="F863" s="1" t="s">
        <v>16</v>
      </c>
      <c r="G863" s="1" t="s">
        <v>17</v>
      </c>
      <c r="H863" s="1" t="str">
        <f t="shared" si="67"/>
        <v>Yes</v>
      </c>
      <c r="I863" s="1" t="s">
        <v>24</v>
      </c>
      <c r="J863" s="1">
        <v>19598</v>
      </c>
      <c r="K863" s="1">
        <v>4302</v>
      </c>
      <c r="L863" s="1">
        <v>235</v>
      </c>
      <c r="M863" s="1">
        <f t="shared" si="68"/>
        <v>360</v>
      </c>
      <c r="N863" s="1"/>
      <c r="O863" s="1">
        <f t="shared" si="69"/>
        <v>1</v>
      </c>
      <c r="P863" s="1">
        <v>1</v>
      </c>
      <c r="Q863" s="1" t="s">
        <v>41</v>
      </c>
      <c r="R863" s="1" t="s">
        <v>20</v>
      </c>
    </row>
    <row r="864" spans="1:18" x14ac:dyDescent="0.35">
      <c r="A864" s="1" t="s">
        <v>895</v>
      </c>
      <c r="B864" s="1" t="str">
        <f t="shared" si="65"/>
        <v>Unknown</v>
      </c>
      <c r="C864" s="1"/>
      <c r="D864" s="1" t="str">
        <f t="shared" si="66"/>
        <v>No</v>
      </c>
      <c r="E864" s="1" t="s">
        <v>18</v>
      </c>
      <c r="F864" s="1">
        <v>0</v>
      </c>
      <c r="G864" s="1" t="s">
        <v>17</v>
      </c>
      <c r="H864" s="1" t="str">
        <f t="shared" si="67"/>
        <v>No</v>
      </c>
      <c r="I864" s="1" t="s">
        <v>22</v>
      </c>
      <c r="J864" s="1">
        <v>15615</v>
      </c>
      <c r="K864" s="1">
        <v>6191</v>
      </c>
      <c r="L864" s="1">
        <v>386</v>
      </c>
      <c r="M864" s="1">
        <f t="shared" si="68"/>
        <v>120</v>
      </c>
      <c r="N864" s="1">
        <v>120</v>
      </c>
      <c r="O864" s="1">
        <f t="shared" si="69"/>
        <v>0</v>
      </c>
      <c r="P864" s="1"/>
      <c r="Q864" s="1" t="s">
        <v>19</v>
      </c>
      <c r="R864" s="1" t="s">
        <v>20</v>
      </c>
    </row>
    <row r="865" spans="1:18" x14ac:dyDescent="0.35">
      <c r="A865" s="1" t="s">
        <v>896</v>
      </c>
      <c r="B865" s="1" t="str">
        <f t="shared" si="65"/>
        <v>Male</v>
      </c>
      <c r="C865" s="1" t="s">
        <v>33</v>
      </c>
      <c r="D865" s="1" t="str">
        <f t="shared" si="66"/>
        <v>Yes</v>
      </c>
      <c r="E865" s="1" t="s">
        <v>24</v>
      </c>
      <c r="F865" s="1">
        <v>1</v>
      </c>
      <c r="G865" s="1" t="s">
        <v>25</v>
      </c>
      <c r="H865" s="1" t="str">
        <f t="shared" si="67"/>
        <v>No</v>
      </c>
      <c r="I865" s="1" t="s">
        <v>22</v>
      </c>
      <c r="J865" s="1">
        <v>14267</v>
      </c>
      <c r="K865" s="1">
        <v>8255</v>
      </c>
      <c r="L865" s="1">
        <v>459</v>
      </c>
      <c r="M865" s="1">
        <f t="shared" si="68"/>
        <v>360</v>
      </c>
      <c r="N865" s="1"/>
      <c r="O865" s="1">
        <f t="shared" si="69"/>
        <v>0</v>
      </c>
      <c r="P865" s="1">
        <v>0</v>
      </c>
      <c r="Q865" s="1" t="s">
        <v>41</v>
      </c>
      <c r="R865" s="1" t="s">
        <v>26</v>
      </c>
    </row>
    <row r="866" spans="1:18" x14ac:dyDescent="0.35">
      <c r="A866" s="1" t="s">
        <v>897</v>
      </c>
      <c r="B866" s="1" t="str">
        <f t="shared" si="65"/>
        <v>Unknown</v>
      </c>
      <c r="C866" s="1"/>
      <c r="D866" s="1" t="str">
        <f t="shared" si="66"/>
        <v>No</v>
      </c>
      <c r="E866" s="1" t="s">
        <v>36</v>
      </c>
      <c r="F866" s="1">
        <v>0</v>
      </c>
      <c r="G866" s="1" t="s">
        <v>25</v>
      </c>
      <c r="H866" s="1" t="str">
        <f t="shared" si="67"/>
        <v>No</v>
      </c>
      <c r="I866" s="1" t="s">
        <v>36</v>
      </c>
      <c r="J866" s="1">
        <v>4399</v>
      </c>
      <c r="K866" s="1">
        <v>7735</v>
      </c>
      <c r="L866" s="1">
        <v>119</v>
      </c>
      <c r="M866" s="1">
        <f t="shared" si="68"/>
        <v>180</v>
      </c>
      <c r="N866" s="1">
        <v>180</v>
      </c>
      <c r="O866" s="1">
        <f t="shared" si="69"/>
        <v>1</v>
      </c>
      <c r="P866" s="1">
        <v>1</v>
      </c>
      <c r="Q866" s="1" t="s">
        <v>41</v>
      </c>
      <c r="R866" s="1" t="s">
        <v>20</v>
      </c>
    </row>
    <row r="867" spans="1:18" x14ac:dyDescent="0.35">
      <c r="A867" s="1" t="s">
        <v>898</v>
      </c>
      <c r="B867" s="1" t="str">
        <f t="shared" si="65"/>
        <v>Male</v>
      </c>
      <c r="C867" s="1" t="s">
        <v>33</v>
      </c>
      <c r="D867" s="1" t="str">
        <f t="shared" si="66"/>
        <v>No</v>
      </c>
      <c r="E867" s="1" t="s">
        <v>18</v>
      </c>
      <c r="F867" s="1">
        <v>1</v>
      </c>
      <c r="G867" s="1" t="s">
        <v>17</v>
      </c>
      <c r="H867" s="1" t="str">
        <f t="shared" si="67"/>
        <v>Yes</v>
      </c>
      <c r="I867" s="1" t="s">
        <v>29</v>
      </c>
      <c r="J867" s="1">
        <v>17923</v>
      </c>
      <c r="K867" s="1">
        <v>5661</v>
      </c>
      <c r="L867" s="1">
        <v>626</v>
      </c>
      <c r="M867" s="1">
        <f t="shared" si="68"/>
        <v>180</v>
      </c>
      <c r="N867" s="1">
        <v>180</v>
      </c>
      <c r="O867" s="1">
        <f t="shared" si="69"/>
        <v>1</v>
      </c>
      <c r="P867" s="1">
        <v>1</v>
      </c>
      <c r="Q867" s="1" t="s">
        <v>41</v>
      </c>
      <c r="R867" s="1" t="s">
        <v>26</v>
      </c>
    </row>
    <row r="868" spans="1:18" x14ac:dyDescent="0.35">
      <c r="A868" s="1" t="s">
        <v>899</v>
      </c>
      <c r="B868" s="1" t="str">
        <f t="shared" si="65"/>
        <v>Female</v>
      </c>
      <c r="C868" s="1" t="s">
        <v>28</v>
      </c>
      <c r="D868" s="1" t="str">
        <f t="shared" si="66"/>
        <v>No</v>
      </c>
      <c r="E868" s="1"/>
      <c r="F868" s="1" t="s">
        <v>16</v>
      </c>
      <c r="G868" s="1" t="s">
        <v>17</v>
      </c>
      <c r="H868" s="1" t="str">
        <f t="shared" si="67"/>
        <v>Yes</v>
      </c>
      <c r="I868" s="1" t="s">
        <v>24</v>
      </c>
      <c r="J868" s="1">
        <v>2508</v>
      </c>
      <c r="K868" s="1">
        <v>7417</v>
      </c>
      <c r="L868" s="1">
        <v>141</v>
      </c>
      <c r="M868" s="1">
        <f t="shared" si="68"/>
        <v>180</v>
      </c>
      <c r="N868" s="1">
        <v>180</v>
      </c>
      <c r="O868" s="1">
        <f t="shared" si="69"/>
        <v>1</v>
      </c>
      <c r="P868" s="1">
        <v>1</v>
      </c>
      <c r="Q868" s="1" t="s">
        <v>30</v>
      </c>
      <c r="R868" s="1" t="s">
        <v>20</v>
      </c>
    </row>
    <row r="869" spans="1:18" x14ac:dyDescent="0.35">
      <c r="A869" s="1" t="s">
        <v>900</v>
      </c>
      <c r="B869" s="1" t="str">
        <f t="shared" si="65"/>
        <v>Female</v>
      </c>
      <c r="C869" s="1" t="s">
        <v>43</v>
      </c>
      <c r="D869" s="1" t="str">
        <f t="shared" si="66"/>
        <v>Yes</v>
      </c>
      <c r="E869" s="1" t="s">
        <v>15</v>
      </c>
      <c r="F869" s="1">
        <v>1</v>
      </c>
      <c r="G869" s="1" t="s">
        <v>25</v>
      </c>
      <c r="H869" s="1" t="str">
        <f t="shared" si="67"/>
        <v>Yes</v>
      </c>
      <c r="I869" s="1" t="s">
        <v>15</v>
      </c>
      <c r="J869" s="1">
        <v>2206</v>
      </c>
      <c r="K869" s="1">
        <v>5411</v>
      </c>
      <c r="L869" s="1">
        <v>549</v>
      </c>
      <c r="M869" s="1">
        <f t="shared" si="68"/>
        <v>180</v>
      </c>
      <c r="N869" s="1">
        <v>180</v>
      </c>
      <c r="O869" s="1">
        <f t="shared" si="69"/>
        <v>0</v>
      </c>
      <c r="P869" s="1">
        <v>0</v>
      </c>
      <c r="Q869" s="1" t="s">
        <v>19</v>
      </c>
      <c r="R869" s="1" t="s">
        <v>26</v>
      </c>
    </row>
    <row r="870" spans="1:18" x14ac:dyDescent="0.35">
      <c r="A870" s="1" t="s">
        <v>901</v>
      </c>
      <c r="B870" s="1" t="str">
        <f t="shared" si="65"/>
        <v>Male</v>
      </c>
      <c r="C870" s="1" t="s">
        <v>52</v>
      </c>
      <c r="D870" s="1" t="str">
        <f t="shared" si="66"/>
        <v>No</v>
      </c>
      <c r="E870" s="1" t="s">
        <v>22</v>
      </c>
      <c r="F870" s="1" t="s">
        <v>16</v>
      </c>
      <c r="G870" s="1" t="s">
        <v>17</v>
      </c>
      <c r="H870" s="1" t="str">
        <f t="shared" si="67"/>
        <v>Yes</v>
      </c>
      <c r="I870" s="1" t="s">
        <v>24</v>
      </c>
      <c r="J870" s="1">
        <v>12241</v>
      </c>
      <c r="K870" s="1">
        <v>2160</v>
      </c>
      <c r="L870" s="1">
        <v>271</v>
      </c>
      <c r="M870" s="1">
        <f t="shared" si="68"/>
        <v>120</v>
      </c>
      <c r="N870" s="1">
        <v>120</v>
      </c>
      <c r="O870" s="1">
        <f t="shared" si="69"/>
        <v>1</v>
      </c>
      <c r="P870" s="1">
        <v>1</v>
      </c>
      <c r="Q870" s="1" t="s">
        <v>19</v>
      </c>
      <c r="R870" s="1" t="s">
        <v>26</v>
      </c>
    </row>
    <row r="871" spans="1:18" x14ac:dyDescent="0.35">
      <c r="A871" s="1" t="s">
        <v>902</v>
      </c>
      <c r="B871" s="1" t="str">
        <f t="shared" si="65"/>
        <v>Female</v>
      </c>
      <c r="C871" s="1" t="s">
        <v>28</v>
      </c>
      <c r="D871" s="1" t="str">
        <f t="shared" si="66"/>
        <v>No</v>
      </c>
      <c r="E871" s="1" t="s">
        <v>18</v>
      </c>
      <c r="F871" s="1">
        <v>2</v>
      </c>
      <c r="G871" s="1" t="s">
        <v>25</v>
      </c>
      <c r="H871" s="1" t="str">
        <f t="shared" si="67"/>
        <v>Yes</v>
      </c>
      <c r="I871" s="1" t="s">
        <v>29</v>
      </c>
      <c r="J871" s="1">
        <v>13531</v>
      </c>
      <c r="K871" s="1">
        <v>6415</v>
      </c>
      <c r="L871" s="1">
        <v>248</v>
      </c>
      <c r="M871" s="1">
        <f t="shared" si="68"/>
        <v>120</v>
      </c>
      <c r="N871" s="1">
        <v>120</v>
      </c>
      <c r="O871" s="1">
        <f t="shared" si="69"/>
        <v>1</v>
      </c>
      <c r="P871" s="1">
        <v>1</v>
      </c>
      <c r="Q871" s="1" t="s">
        <v>41</v>
      </c>
      <c r="R871" s="1" t="s">
        <v>26</v>
      </c>
    </row>
    <row r="872" spans="1:18" x14ac:dyDescent="0.35">
      <c r="A872" s="1" t="s">
        <v>903</v>
      </c>
      <c r="B872" s="1" t="str">
        <f t="shared" si="65"/>
        <v>Female</v>
      </c>
      <c r="C872" s="1" t="s">
        <v>43</v>
      </c>
      <c r="D872" s="1" t="str">
        <f t="shared" si="66"/>
        <v>No</v>
      </c>
      <c r="E872" s="1" t="s">
        <v>18</v>
      </c>
      <c r="F872" s="1">
        <v>1</v>
      </c>
      <c r="G872" s="1" t="s">
        <v>17</v>
      </c>
      <c r="H872" s="1" t="str">
        <f t="shared" si="67"/>
        <v>Yes</v>
      </c>
      <c r="I872" s="1" t="s">
        <v>24</v>
      </c>
      <c r="J872" s="1">
        <v>4177</v>
      </c>
      <c r="K872" s="1">
        <v>3149</v>
      </c>
      <c r="L872" s="1">
        <v>468</v>
      </c>
      <c r="M872" s="1">
        <f t="shared" si="68"/>
        <v>180</v>
      </c>
      <c r="N872" s="1">
        <v>180</v>
      </c>
      <c r="O872" s="1">
        <f t="shared" si="69"/>
        <v>0</v>
      </c>
      <c r="P872" s="1"/>
      <c r="Q872" s="1" t="s">
        <v>19</v>
      </c>
      <c r="R872" s="1" t="s">
        <v>20</v>
      </c>
    </row>
    <row r="873" spans="1:18" x14ac:dyDescent="0.35">
      <c r="A873" s="1" t="s">
        <v>904</v>
      </c>
      <c r="B873" s="1" t="str">
        <f t="shared" si="65"/>
        <v>Male</v>
      </c>
      <c r="C873" s="1" t="s">
        <v>14</v>
      </c>
      <c r="D873" s="1" t="str">
        <f t="shared" si="66"/>
        <v>Yes</v>
      </c>
      <c r="E873" s="1" t="s">
        <v>29</v>
      </c>
      <c r="F873" s="1">
        <v>1</v>
      </c>
      <c r="G873" s="1" t="s">
        <v>25</v>
      </c>
      <c r="H873" s="1" t="str">
        <f t="shared" si="67"/>
        <v>Yes</v>
      </c>
      <c r="I873" s="1" t="s">
        <v>24</v>
      </c>
      <c r="J873" s="1">
        <v>1636</v>
      </c>
      <c r="K873" s="1">
        <v>8410</v>
      </c>
      <c r="L873" s="1">
        <v>266</v>
      </c>
      <c r="M873" s="1">
        <f t="shared" si="68"/>
        <v>120</v>
      </c>
      <c r="N873" s="1">
        <v>120</v>
      </c>
      <c r="O873" s="1">
        <f t="shared" si="69"/>
        <v>0</v>
      </c>
      <c r="P873" s="1"/>
      <c r="Q873" s="1" t="s">
        <v>41</v>
      </c>
      <c r="R873" s="1" t="s">
        <v>26</v>
      </c>
    </row>
    <row r="874" spans="1:18" x14ac:dyDescent="0.35">
      <c r="A874" s="1" t="s">
        <v>905</v>
      </c>
      <c r="B874" s="1" t="str">
        <f t="shared" si="65"/>
        <v>Female</v>
      </c>
      <c r="C874" s="1" t="s">
        <v>61</v>
      </c>
      <c r="D874" s="1" t="str">
        <f t="shared" si="66"/>
        <v>No</v>
      </c>
      <c r="E874" s="1"/>
      <c r="F874" s="1">
        <v>0</v>
      </c>
      <c r="G874" s="1" t="s">
        <v>17</v>
      </c>
      <c r="H874" s="1" t="str">
        <f t="shared" si="67"/>
        <v>No</v>
      </c>
      <c r="I874" s="1" t="s">
        <v>36</v>
      </c>
      <c r="J874" s="1">
        <v>6306</v>
      </c>
      <c r="K874" s="1">
        <v>4894</v>
      </c>
      <c r="L874" s="1">
        <v>597</v>
      </c>
      <c r="M874" s="1">
        <f t="shared" si="68"/>
        <v>360</v>
      </c>
      <c r="N874" s="1"/>
      <c r="O874" s="1">
        <f t="shared" si="69"/>
        <v>1</v>
      </c>
      <c r="P874" s="1">
        <v>1</v>
      </c>
      <c r="Q874" s="1" t="s">
        <v>41</v>
      </c>
      <c r="R874" s="1" t="s">
        <v>26</v>
      </c>
    </row>
    <row r="875" spans="1:18" x14ac:dyDescent="0.35">
      <c r="A875" s="1" t="s">
        <v>906</v>
      </c>
      <c r="B875" s="1" t="str">
        <f t="shared" si="65"/>
        <v>Female</v>
      </c>
      <c r="C875" s="1" t="s">
        <v>43</v>
      </c>
      <c r="D875" s="1" t="str">
        <f t="shared" si="66"/>
        <v>No</v>
      </c>
      <c r="E875" s="1" t="s">
        <v>18</v>
      </c>
      <c r="F875" s="1">
        <v>2</v>
      </c>
      <c r="G875" s="1" t="s">
        <v>25</v>
      </c>
      <c r="H875" s="1" t="str">
        <f t="shared" si="67"/>
        <v>Yes</v>
      </c>
      <c r="I875" s="1" t="s">
        <v>29</v>
      </c>
      <c r="J875" s="1">
        <v>19182</v>
      </c>
      <c r="K875" s="1">
        <v>7191</v>
      </c>
      <c r="L875" s="1">
        <v>268</v>
      </c>
      <c r="M875" s="1">
        <f t="shared" si="68"/>
        <v>120</v>
      </c>
      <c r="N875" s="1">
        <v>120</v>
      </c>
      <c r="O875" s="1">
        <f t="shared" si="69"/>
        <v>1</v>
      </c>
      <c r="P875" s="1">
        <v>1</v>
      </c>
      <c r="Q875" s="1" t="s">
        <v>30</v>
      </c>
      <c r="R875" s="1" t="s">
        <v>26</v>
      </c>
    </row>
    <row r="876" spans="1:18" x14ac:dyDescent="0.35">
      <c r="A876" s="1" t="s">
        <v>907</v>
      </c>
      <c r="B876" s="1" t="str">
        <f t="shared" si="65"/>
        <v>Male</v>
      </c>
      <c r="C876" s="1" t="s">
        <v>33</v>
      </c>
      <c r="D876" s="1" t="str">
        <f t="shared" si="66"/>
        <v>No</v>
      </c>
      <c r="E876" s="1" t="s">
        <v>22</v>
      </c>
      <c r="F876" s="1">
        <v>0</v>
      </c>
      <c r="G876" s="1" t="s">
        <v>25</v>
      </c>
      <c r="H876" s="1" t="str">
        <f t="shared" si="67"/>
        <v>Yes</v>
      </c>
      <c r="I876" s="1" t="s">
        <v>24</v>
      </c>
      <c r="J876" s="1">
        <v>18075</v>
      </c>
      <c r="K876" s="1">
        <v>960</v>
      </c>
      <c r="L876" s="1">
        <v>499</v>
      </c>
      <c r="M876" s="1">
        <f t="shared" si="68"/>
        <v>360</v>
      </c>
      <c r="N876" s="1"/>
      <c r="O876" s="1">
        <f t="shared" si="69"/>
        <v>1</v>
      </c>
      <c r="P876" s="1">
        <v>1</v>
      </c>
      <c r="Q876" s="1" t="s">
        <v>30</v>
      </c>
      <c r="R876" s="1" t="s">
        <v>20</v>
      </c>
    </row>
    <row r="877" spans="1:18" x14ac:dyDescent="0.35">
      <c r="A877" s="1" t="s">
        <v>908</v>
      </c>
      <c r="B877" s="1" t="str">
        <f t="shared" si="65"/>
        <v>Male</v>
      </c>
      <c r="C877" s="1" t="s">
        <v>14</v>
      </c>
      <c r="D877" s="1" t="str">
        <f t="shared" si="66"/>
        <v>No</v>
      </c>
      <c r="E877" s="1" t="s">
        <v>36</v>
      </c>
      <c r="F877" s="1" t="s">
        <v>16</v>
      </c>
      <c r="G877" s="1" t="s">
        <v>25</v>
      </c>
      <c r="H877" s="1" t="str">
        <f t="shared" si="67"/>
        <v>No</v>
      </c>
      <c r="I877" s="1"/>
      <c r="J877" s="1">
        <v>1609</v>
      </c>
      <c r="K877" s="1">
        <v>9065</v>
      </c>
      <c r="L877" s="1">
        <v>636</v>
      </c>
      <c r="M877" s="1">
        <f t="shared" si="68"/>
        <v>360</v>
      </c>
      <c r="N877" s="1"/>
      <c r="O877" s="1">
        <f t="shared" si="69"/>
        <v>0</v>
      </c>
      <c r="P877" s="1">
        <v>0</v>
      </c>
      <c r="Q877" s="1" t="s">
        <v>41</v>
      </c>
      <c r="R877" s="1" t="s">
        <v>20</v>
      </c>
    </row>
    <row r="878" spans="1:18" x14ac:dyDescent="0.35">
      <c r="A878" s="1" t="s">
        <v>909</v>
      </c>
      <c r="B878" s="1" t="str">
        <f t="shared" si="65"/>
        <v>Unknown</v>
      </c>
      <c r="C878" s="1"/>
      <c r="D878" s="1" t="str">
        <f t="shared" si="66"/>
        <v>No</v>
      </c>
      <c r="E878" s="1" t="s">
        <v>18</v>
      </c>
      <c r="F878" s="1" t="s">
        <v>16</v>
      </c>
      <c r="G878" s="1" t="s">
        <v>17</v>
      </c>
      <c r="H878" s="1" t="str">
        <f t="shared" si="67"/>
        <v>No</v>
      </c>
      <c r="I878" s="1" t="s">
        <v>36</v>
      </c>
      <c r="J878" s="1">
        <v>2654</v>
      </c>
      <c r="K878" s="1">
        <v>6693</v>
      </c>
      <c r="L878" s="1">
        <v>695</v>
      </c>
      <c r="M878" s="1">
        <f t="shared" si="68"/>
        <v>360</v>
      </c>
      <c r="N878" s="1">
        <v>360</v>
      </c>
      <c r="O878" s="1">
        <f t="shared" si="69"/>
        <v>1</v>
      </c>
      <c r="P878" s="1">
        <v>1</v>
      </c>
      <c r="Q878" s="1" t="s">
        <v>30</v>
      </c>
      <c r="R878" s="1" t="s">
        <v>26</v>
      </c>
    </row>
    <row r="879" spans="1:18" x14ac:dyDescent="0.35">
      <c r="A879" s="1" t="s">
        <v>910</v>
      </c>
      <c r="B879" s="1" t="str">
        <f t="shared" si="65"/>
        <v>Male</v>
      </c>
      <c r="C879" s="1" t="s">
        <v>14</v>
      </c>
      <c r="D879" s="1" t="str">
        <f t="shared" si="66"/>
        <v>No</v>
      </c>
      <c r="E879" s="1"/>
      <c r="F879" s="1">
        <v>0</v>
      </c>
      <c r="G879" s="1" t="s">
        <v>25</v>
      </c>
      <c r="H879" s="1" t="str">
        <f t="shared" si="67"/>
        <v>No</v>
      </c>
      <c r="I879" s="1" t="s">
        <v>36</v>
      </c>
      <c r="J879" s="1">
        <v>5715</v>
      </c>
      <c r="K879" s="1">
        <v>5630</v>
      </c>
      <c r="L879" s="1">
        <v>692</v>
      </c>
      <c r="M879" s="1">
        <f t="shared" si="68"/>
        <v>180</v>
      </c>
      <c r="N879" s="1">
        <v>180</v>
      </c>
      <c r="O879" s="1">
        <f t="shared" si="69"/>
        <v>0</v>
      </c>
      <c r="P879" s="1"/>
      <c r="Q879" s="1" t="s">
        <v>41</v>
      </c>
      <c r="R879" s="1" t="s">
        <v>26</v>
      </c>
    </row>
    <row r="880" spans="1:18" x14ac:dyDescent="0.35">
      <c r="A880" s="1" t="s">
        <v>911</v>
      </c>
      <c r="B880" s="1" t="str">
        <f t="shared" si="65"/>
        <v>Female</v>
      </c>
      <c r="C880" s="1" t="s">
        <v>61</v>
      </c>
      <c r="D880" s="1" t="str">
        <f t="shared" si="66"/>
        <v>No</v>
      </c>
      <c r="E880" s="1" t="s">
        <v>18</v>
      </c>
      <c r="F880" s="1">
        <v>1</v>
      </c>
      <c r="G880" s="1" t="s">
        <v>17</v>
      </c>
      <c r="H880" s="1" t="str">
        <f t="shared" si="67"/>
        <v>No</v>
      </c>
      <c r="I880" s="1" t="s">
        <v>18</v>
      </c>
      <c r="J880" s="1">
        <v>1895</v>
      </c>
      <c r="K880" s="1">
        <v>5612</v>
      </c>
      <c r="L880" s="1">
        <v>612</v>
      </c>
      <c r="M880" s="1">
        <f t="shared" si="68"/>
        <v>180</v>
      </c>
      <c r="N880" s="1">
        <v>180</v>
      </c>
      <c r="O880" s="1">
        <f t="shared" si="69"/>
        <v>0</v>
      </c>
      <c r="P880" s="1"/>
      <c r="Q880" s="1" t="s">
        <v>41</v>
      </c>
      <c r="R880" s="1" t="s">
        <v>26</v>
      </c>
    </row>
    <row r="881" spans="1:18" x14ac:dyDescent="0.35">
      <c r="A881" s="1" t="s">
        <v>912</v>
      </c>
      <c r="B881" s="1" t="str">
        <f t="shared" si="65"/>
        <v>Female</v>
      </c>
      <c r="C881" s="1" t="s">
        <v>28</v>
      </c>
      <c r="D881" s="1" t="str">
        <f t="shared" si="66"/>
        <v>Yes</v>
      </c>
      <c r="E881" s="1" t="s">
        <v>29</v>
      </c>
      <c r="F881" s="1" t="s">
        <v>16</v>
      </c>
      <c r="G881" s="1" t="s">
        <v>25</v>
      </c>
      <c r="H881" s="1" t="str">
        <f t="shared" si="67"/>
        <v>No</v>
      </c>
      <c r="I881" s="1" t="s">
        <v>36</v>
      </c>
      <c r="J881" s="1">
        <v>12974</v>
      </c>
      <c r="K881" s="1">
        <v>7686</v>
      </c>
      <c r="L881" s="1">
        <v>53</v>
      </c>
      <c r="M881" s="1">
        <f t="shared" si="68"/>
        <v>120</v>
      </c>
      <c r="N881" s="1">
        <v>120</v>
      </c>
      <c r="O881" s="1">
        <f t="shared" si="69"/>
        <v>0</v>
      </c>
      <c r="P881" s="1"/>
      <c r="Q881" s="1" t="s">
        <v>30</v>
      </c>
      <c r="R881" s="1" t="s">
        <v>26</v>
      </c>
    </row>
    <row r="882" spans="1:18" x14ac:dyDescent="0.35">
      <c r="A882" s="1" t="s">
        <v>913</v>
      </c>
      <c r="B882" s="1" t="str">
        <f t="shared" si="65"/>
        <v>Female</v>
      </c>
      <c r="C882" s="1" t="s">
        <v>28</v>
      </c>
      <c r="D882" s="1" t="str">
        <f t="shared" si="66"/>
        <v>No</v>
      </c>
      <c r="E882" s="1"/>
      <c r="F882" s="1" t="s">
        <v>16</v>
      </c>
      <c r="G882" s="1" t="s">
        <v>25</v>
      </c>
      <c r="H882" s="1" t="str">
        <f t="shared" si="67"/>
        <v>No</v>
      </c>
      <c r="I882" s="1" t="s">
        <v>18</v>
      </c>
      <c r="J882" s="1">
        <v>19155</v>
      </c>
      <c r="K882" s="1">
        <v>6305</v>
      </c>
      <c r="L882" s="1">
        <v>597</v>
      </c>
      <c r="M882" s="1">
        <f t="shared" si="68"/>
        <v>120</v>
      </c>
      <c r="N882" s="1">
        <v>120</v>
      </c>
      <c r="O882" s="1">
        <f t="shared" si="69"/>
        <v>0</v>
      </c>
      <c r="P882" s="1">
        <v>0</v>
      </c>
      <c r="Q882" s="1" t="s">
        <v>19</v>
      </c>
      <c r="R882" s="1" t="s">
        <v>20</v>
      </c>
    </row>
    <row r="883" spans="1:18" x14ac:dyDescent="0.35">
      <c r="A883" s="1" t="s">
        <v>914</v>
      </c>
      <c r="B883" s="1" t="str">
        <f t="shared" si="65"/>
        <v>Male</v>
      </c>
      <c r="C883" s="1" t="s">
        <v>33</v>
      </c>
      <c r="D883" s="1" t="str">
        <f t="shared" si="66"/>
        <v>No</v>
      </c>
      <c r="E883" s="1" t="s">
        <v>36</v>
      </c>
      <c r="F883" s="1">
        <v>1</v>
      </c>
      <c r="G883" s="1" t="s">
        <v>17</v>
      </c>
      <c r="H883" s="1" t="str">
        <f t="shared" si="67"/>
        <v>No</v>
      </c>
      <c r="I883" s="1"/>
      <c r="J883" s="1">
        <v>19574</v>
      </c>
      <c r="K883" s="1">
        <v>1386</v>
      </c>
      <c r="L883" s="1">
        <v>362</v>
      </c>
      <c r="M883" s="1">
        <f t="shared" si="68"/>
        <v>180</v>
      </c>
      <c r="N883" s="1">
        <v>180</v>
      </c>
      <c r="O883" s="1">
        <f t="shared" si="69"/>
        <v>0</v>
      </c>
      <c r="P883" s="1"/>
      <c r="Q883" s="1" t="s">
        <v>41</v>
      </c>
      <c r="R883" s="1" t="s">
        <v>26</v>
      </c>
    </row>
    <row r="884" spans="1:18" x14ac:dyDescent="0.35">
      <c r="A884" s="1" t="s">
        <v>915</v>
      </c>
      <c r="B884" s="1" t="str">
        <f t="shared" si="65"/>
        <v>Female</v>
      </c>
      <c r="C884" s="1" t="s">
        <v>28</v>
      </c>
      <c r="D884" s="1" t="str">
        <f t="shared" si="66"/>
        <v>No</v>
      </c>
      <c r="E884" s="1"/>
      <c r="F884" s="1">
        <v>2</v>
      </c>
      <c r="G884" s="1" t="s">
        <v>25</v>
      </c>
      <c r="H884" s="1" t="str">
        <f t="shared" si="67"/>
        <v>No</v>
      </c>
      <c r="I884" s="1" t="s">
        <v>22</v>
      </c>
      <c r="J884" s="1">
        <v>1786</v>
      </c>
      <c r="K884" s="1">
        <v>2747</v>
      </c>
      <c r="L884" s="1">
        <v>159</v>
      </c>
      <c r="M884" s="1">
        <f t="shared" si="68"/>
        <v>120</v>
      </c>
      <c r="N884" s="1">
        <v>120</v>
      </c>
      <c r="O884" s="1">
        <f t="shared" si="69"/>
        <v>0</v>
      </c>
      <c r="P884" s="1"/>
      <c r="Q884" s="1" t="s">
        <v>41</v>
      </c>
      <c r="R884" s="1" t="s">
        <v>20</v>
      </c>
    </row>
    <row r="885" spans="1:18" x14ac:dyDescent="0.35">
      <c r="A885" s="1" t="s">
        <v>916</v>
      </c>
      <c r="B885" s="1" t="str">
        <f t="shared" si="65"/>
        <v>Unknown</v>
      </c>
      <c r="C885" s="1"/>
      <c r="D885" s="1" t="str">
        <f t="shared" si="66"/>
        <v>No</v>
      </c>
      <c r="E885" s="1"/>
      <c r="F885" s="1">
        <v>1</v>
      </c>
      <c r="G885" s="1" t="s">
        <v>25</v>
      </c>
      <c r="H885" s="1" t="str">
        <f t="shared" si="67"/>
        <v>Yes</v>
      </c>
      <c r="I885" s="1" t="s">
        <v>29</v>
      </c>
      <c r="J885" s="1">
        <v>17173</v>
      </c>
      <c r="K885" s="1">
        <v>8159</v>
      </c>
      <c r="L885" s="1">
        <v>423</v>
      </c>
      <c r="M885" s="1">
        <f t="shared" si="68"/>
        <v>360</v>
      </c>
      <c r="N885" s="1"/>
      <c r="O885" s="1">
        <f t="shared" si="69"/>
        <v>1</v>
      </c>
      <c r="P885" s="1">
        <v>1</v>
      </c>
      <c r="Q885" s="1" t="s">
        <v>41</v>
      </c>
      <c r="R885" s="1" t="s">
        <v>26</v>
      </c>
    </row>
    <row r="886" spans="1:18" x14ac:dyDescent="0.35">
      <c r="A886" s="1" t="s">
        <v>917</v>
      </c>
      <c r="B886" s="1" t="str">
        <f t="shared" si="65"/>
        <v>Unknown</v>
      </c>
      <c r="C886" s="1"/>
      <c r="D886" s="1" t="str">
        <f t="shared" si="66"/>
        <v>Yes</v>
      </c>
      <c r="E886" s="1" t="s">
        <v>15</v>
      </c>
      <c r="F886" s="1">
        <v>1</v>
      </c>
      <c r="G886" s="1" t="s">
        <v>25</v>
      </c>
      <c r="H886" s="1" t="str">
        <f t="shared" si="67"/>
        <v>No</v>
      </c>
      <c r="I886" s="1"/>
      <c r="J886" s="1">
        <v>5305</v>
      </c>
      <c r="K886" s="1">
        <v>349</v>
      </c>
      <c r="L886" s="1">
        <v>214</v>
      </c>
      <c r="M886" s="1">
        <f t="shared" si="68"/>
        <v>360</v>
      </c>
      <c r="N886" s="1"/>
      <c r="O886" s="1">
        <f t="shared" si="69"/>
        <v>1</v>
      </c>
      <c r="P886" s="1">
        <v>1</v>
      </c>
      <c r="Q886" s="1" t="s">
        <v>19</v>
      </c>
      <c r="R886" s="1" t="s">
        <v>20</v>
      </c>
    </row>
    <row r="887" spans="1:18" x14ac:dyDescent="0.35">
      <c r="A887" s="1" t="s">
        <v>918</v>
      </c>
      <c r="B887" s="1" t="str">
        <f t="shared" si="65"/>
        <v>Female</v>
      </c>
      <c r="C887" s="1" t="s">
        <v>43</v>
      </c>
      <c r="D887" s="1" t="str">
        <f t="shared" si="66"/>
        <v>No</v>
      </c>
      <c r="E887" s="1" t="s">
        <v>36</v>
      </c>
      <c r="F887" s="1" t="s">
        <v>16</v>
      </c>
      <c r="G887" s="1" t="s">
        <v>25</v>
      </c>
      <c r="H887" s="1" t="str">
        <f t="shared" si="67"/>
        <v>Yes</v>
      </c>
      <c r="I887" s="1" t="s">
        <v>15</v>
      </c>
      <c r="J887" s="1">
        <v>11534</v>
      </c>
      <c r="K887" s="1">
        <v>3971</v>
      </c>
      <c r="L887" s="1">
        <v>577</v>
      </c>
      <c r="M887" s="1">
        <f t="shared" si="68"/>
        <v>120</v>
      </c>
      <c r="N887" s="1">
        <v>120</v>
      </c>
      <c r="O887" s="1">
        <f t="shared" si="69"/>
        <v>0</v>
      </c>
      <c r="P887" s="1"/>
      <c r="Q887" s="1" t="s">
        <v>19</v>
      </c>
      <c r="R887" s="1" t="s">
        <v>20</v>
      </c>
    </row>
    <row r="888" spans="1:18" x14ac:dyDescent="0.35">
      <c r="A888" s="1" t="s">
        <v>919</v>
      </c>
      <c r="B888" s="1" t="str">
        <f t="shared" si="65"/>
        <v>Female</v>
      </c>
      <c r="C888" s="1" t="s">
        <v>43</v>
      </c>
      <c r="D888" s="1" t="str">
        <f t="shared" si="66"/>
        <v>Yes</v>
      </c>
      <c r="E888" s="1" t="s">
        <v>24</v>
      </c>
      <c r="F888" s="1">
        <v>0</v>
      </c>
      <c r="G888" s="1" t="s">
        <v>17</v>
      </c>
      <c r="H888" s="1" t="str">
        <f t="shared" si="67"/>
        <v>No</v>
      </c>
      <c r="I888" s="1" t="s">
        <v>18</v>
      </c>
      <c r="J888" s="1">
        <v>3089</v>
      </c>
      <c r="K888" s="1">
        <v>1724</v>
      </c>
      <c r="L888" s="1">
        <v>611</v>
      </c>
      <c r="M888" s="1">
        <f t="shared" si="68"/>
        <v>180</v>
      </c>
      <c r="N888" s="1">
        <v>180</v>
      </c>
      <c r="O888" s="1">
        <f t="shared" si="69"/>
        <v>1</v>
      </c>
      <c r="P888" s="1">
        <v>1</v>
      </c>
      <c r="Q888" s="1" t="s">
        <v>30</v>
      </c>
      <c r="R888" s="1" t="s">
        <v>26</v>
      </c>
    </row>
    <row r="889" spans="1:18" x14ac:dyDescent="0.35">
      <c r="A889" s="1" t="s">
        <v>920</v>
      </c>
      <c r="B889" s="1" t="str">
        <f t="shared" si="65"/>
        <v>Female</v>
      </c>
      <c r="C889" s="1" t="s">
        <v>43</v>
      </c>
      <c r="D889" s="1" t="str">
        <f t="shared" si="66"/>
        <v>Yes</v>
      </c>
      <c r="E889" s="1" t="s">
        <v>24</v>
      </c>
      <c r="F889" s="1">
        <v>0</v>
      </c>
      <c r="G889" s="1" t="s">
        <v>17</v>
      </c>
      <c r="H889" s="1" t="str">
        <f t="shared" si="67"/>
        <v>No</v>
      </c>
      <c r="I889" s="1"/>
      <c r="J889" s="1">
        <v>3839</v>
      </c>
      <c r="K889" s="1">
        <v>8626</v>
      </c>
      <c r="L889" s="1">
        <v>76</v>
      </c>
      <c r="M889" s="1">
        <f t="shared" si="68"/>
        <v>120</v>
      </c>
      <c r="N889" s="1">
        <v>120</v>
      </c>
      <c r="O889" s="1">
        <f t="shared" si="69"/>
        <v>0</v>
      </c>
      <c r="P889" s="1">
        <v>0</v>
      </c>
      <c r="Q889" s="1" t="s">
        <v>30</v>
      </c>
      <c r="R889" s="1" t="s">
        <v>20</v>
      </c>
    </row>
    <row r="890" spans="1:18" x14ac:dyDescent="0.35">
      <c r="A890" s="1" t="s">
        <v>921</v>
      </c>
      <c r="B890" s="1" t="str">
        <f t="shared" si="65"/>
        <v>Unknown</v>
      </c>
      <c r="C890" s="1"/>
      <c r="D890" s="1" t="str">
        <f t="shared" si="66"/>
        <v>Yes</v>
      </c>
      <c r="E890" s="1" t="s">
        <v>24</v>
      </c>
      <c r="F890" s="1" t="s">
        <v>16</v>
      </c>
      <c r="G890" s="1" t="s">
        <v>17</v>
      </c>
      <c r="H890" s="1" t="str">
        <f t="shared" si="67"/>
        <v>No</v>
      </c>
      <c r="I890" s="1" t="s">
        <v>36</v>
      </c>
      <c r="J890" s="1">
        <v>6897</v>
      </c>
      <c r="K890" s="1">
        <v>7000</v>
      </c>
      <c r="L890" s="1">
        <v>587</v>
      </c>
      <c r="M890" s="1">
        <f t="shared" si="68"/>
        <v>180</v>
      </c>
      <c r="N890" s="1">
        <v>180</v>
      </c>
      <c r="O890" s="1">
        <f t="shared" si="69"/>
        <v>1</v>
      </c>
      <c r="P890" s="1">
        <v>1</v>
      </c>
      <c r="Q890" s="1" t="s">
        <v>30</v>
      </c>
      <c r="R890" s="1" t="s">
        <v>20</v>
      </c>
    </row>
    <row r="891" spans="1:18" x14ac:dyDescent="0.35">
      <c r="A891" s="1" t="s">
        <v>922</v>
      </c>
      <c r="B891" s="1" t="str">
        <f t="shared" si="65"/>
        <v>Female</v>
      </c>
      <c r="C891" s="1" t="s">
        <v>43</v>
      </c>
      <c r="D891" s="1" t="str">
        <f t="shared" si="66"/>
        <v>No</v>
      </c>
      <c r="E891" s="1" t="s">
        <v>18</v>
      </c>
      <c r="F891" s="1" t="s">
        <v>16</v>
      </c>
      <c r="G891" s="1" t="s">
        <v>17</v>
      </c>
      <c r="H891" s="1" t="str">
        <f t="shared" si="67"/>
        <v>Yes</v>
      </c>
      <c r="I891" s="1" t="s">
        <v>29</v>
      </c>
      <c r="J891" s="1">
        <v>16267</v>
      </c>
      <c r="K891" s="1">
        <v>5376</v>
      </c>
      <c r="L891" s="1">
        <v>59</v>
      </c>
      <c r="M891" s="1">
        <f t="shared" si="68"/>
        <v>120</v>
      </c>
      <c r="N891" s="1">
        <v>120</v>
      </c>
      <c r="O891" s="1">
        <f t="shared" si="69"/>
        <v>0</v>
      </c>
      <c r="P891" s="1">
        <v>0</v>
      </c>
      <c r="Q891" s="1" t="s">
        <v>41</v>
      </c>
      <c r="R891" s="1" t="s">
        <v>26</v>
      </c>
    </row>
    <row r="892" spans="1:18" x14ac:dyDescent="0.35">
      <c r="A892" s="1" t="s">
        <v>923</v>
      </c>
      <c r="B892" s="1" t="str">
        <f t="shared" si="65"/>
        <v>Male</v>
      </c>
      <c r="C892" s="1" t="s">
        <v>52</v>
      </c>
      <c r="D892" s="1" t="str">
        <f t="shared" si="66"/>
        <v>Yes</v>
      </c>
      <c r="E892" s="1" t="s">
        <v>15</v>
      </c>
      <c r="F892" s="1" t="s">
        <v>16</v>
      </c>
      <c r="G892" s="1" t="s">
        <v>25</v>
      </c>
      <c r="H892" s="1" t="str">
        <f t="shared" si="67"/>
        <v>Yes</v>
      </c>
      <c r="I892" s="1" t="s">
        <v>15</v>
      </c>
      <c r="J892" s="1">
        <v>3782</v>
      </c>
      <c r="K892" s="1">
        <v>2089</v>
      </c>
      <c r="L892" s="1">
        <v>155</v>
      </c>
      <c r="M892" s="1">
        <f t="shared" si="68"/>
        <v>360</v>
      </c>
      <c r="N892" s="1"/>
      <c r="O892" s="1">
        <f t="shared" si="69"/>
        <v>0</v>
      </c>
      <c r="P892" s="1"/>
      <c r="Q892" s="1" t="s">
        <v>19</v>
      </c>
      <c r="R892" s="1" t="s">
        <v>26</v>
      </c>
    </row>
    <row r="893" spans="1:18" x14ac:dyDescent="0.35">
      <c r="A893" s="1" t="s">
        <v>924</v>
      </c>
      <c r="B893" s="1" t="str">
        <f t="shared" si="65"/>
        <v>Male</v>
      </c>
      <c r="C893" s="1" t="s">
        <v>14</v>
      </c>
      <c r="D893" s="1" t="str">
        <f t="shared" si="66"/>
        <v>No</v>
      </c>
      <c r="E893" s="1" t="s">
        <v>22</v>
      </c>
      <c r="F893" s="1">
        <v>0</v>
      </c>
      <c r="G893" s="1" t="s">
        <v>25</v>
      </c>
      <c r="H893" s="1" t="str">
        <f t="shared" si="67"/>
        <v>Yes</v>
      </c>
      <c r="I893" s="1" t="s">
        <v>24</v>
      </c>
      <c r="J893" s="1">
        <v>2681</v>
      </c>
      <c r="K893" s="1">
        <v>625</v>
      </c>
      <c r="L893" s="1">
        <v>638</v>
      </c>
      <c r="M893" s="1">
        <f t="shared" si="68"/>
        <v>180</v>
      </c>
      <c r="N893" s="1">
        <v>180</v>
      </c>
      <c r="O893" s="1">
        <f t="shared" si="69"/>
        <v>0</v>
      </c>
      <c r="P893" s="1"/>
      <c r="Q893" s="1" t="s">
        <v>19</v>
      </c>
      <c r="R893" s="1" t="s">
        <v>20</v>
      </c>
    </row>
    <row r="894" spans="1:18" x14ac:dyDescent="0.35">
      <c r="A894" s="1" t="s">
        <v>925</v>
      </c>
      <c r="B894" s="1" t="str">
        <f t="shared" si="65"/>
        <v>Unknown</v>
      </c>
      <c r="C894" s="1"/>
      <c r="D894" s="1" t="str">
        <f t="shared" si="66"/>
        <v>Yes</v>
      </c>
      <c r="E894" s="1" t="s">
        <v>15</v>
      </c>
      <c r="F894" s="1">
        <v>1</v>
      </c>
      <c r="G894" s="1" t="s">
        <v>17</v>
      </c>
      <c r="H894" s="1" t="str">
        <f t="shared" si="67"/>
        <v>No</v>
      </c>
      <c r="I894" s="1" t="s">
        <v>36</v>
      </c>
      <c r="J894" s="1">
        <v>14794</v>
      </c>
      <c r="K894" s="1">
        <v>3457</v>
      </c>
      <c r="L894" s="1">
        <v>444</v>
      </c>
      <c r="M894" s="1">
        <f t="shared" si="68"/>
        <v>180</v>
      </c>
      <c r="N894" s="1">
        <v>180</v>
      </c>
      <c r="O894" s="1">
        <f t="shared" si="69"/>
        <v>0</v>
      </c>
      <c r="P894" s="1">
        <v>0</v>
      </c>
      <c r="Q894" s="1" t="s">
        <v>19</v>
      </c>
      <c r="R894" s="1" t="s">
        <v>20</v>
      </c>
    </row>
    <row r="895" spans="1:18" x14ac:dyDescent="0.35">
      <c r="A895" s="1" t="s">
        <v>926</v>
      </c>
      <c r="B895" s="1" t="str">
        <f t="shared" si="65"/>
        <v>Male</v>
      </c>
      <c r="C895" s="1" t="s">
        <v>33</v>
      </c>
      <c r="D895" s="1" t="str">
        <f t="shared" si="66"/>
        <v>No</v>
      </c>
      <c r="E895" s="1"/>
      <c r="F895" s="1">
        <v>1</v>
      </c>
      <c r="G895" s="1" t="s">
        <v>17</v>
      </c>
      <c r="H895" s="1" t="str">
        <f t="shared" si="67"/>
        <v>No</v>
      </c>
      <c r="I895" s="1"/>
      <c r="J895" s="1">
        <v>4626</v>
      </c>
      <c r="K895" s="1">
        <v>6442</v>
      </c>
      <c r="L895" s="1">
        <v>457</v>
      </c>
      <c r="M895" s="1">
        <f t="shared" si="68"/>
        <v>360</v>
      </c>
      <c r="N895" s="1">
        <v>360</v>
      </c>
      <c r="O895" s="1">
        <f t="shared" si="69"/>
        <v>1</v>
      </c>
      <c r="P895" s="1">
        <v>1</v>
      </c>
      <c r="Q895" s="1" t="s">
        <v>19</v>
      </c>
      <c r="R895" s="1" t="s">
        <v>20</v>
      </c>
    </row>
    <row r="896" spans="1:18" x14ac:dyDescent="0.35">
      <c r="A896" s="1" t="s">
        <v>927</v>
      </c>
      <c r="B896" s="1" t="str">
        <f t="shared" si="65"/>
        <v>Male</v>
      </c>
      <c r="C896" s="1" t="s">
        <v>52</v>
      </c>
      <c r="D896" s="1" t="str">
        <f t="shared" si="66"/>
        <v>No</v>
      </c>
      <c r="E896" s="1"/>
      <c r="F896" s="1">
        <v>1</v>
      </c>
      <c r="G896" s="1" t="s">
        <v>17</v>
      </c>
      <c r="H896" s="1" t="str">
        <f t="shared" si="67"/>
        <v>No</v>
      </c>
      <c r="I896" s="1"/>
      <c r="J896" s="1">
        <v>6323</v>
      </c>
      <c r="K896" s="1">
        <v>7361</v>
      </c>
      <c r="L896" s="1">
        <v>409</v>
      </c>
      <c r="M896" s="1">
        <f t="shared" si="68"/>
        <v>360</v>
      </c>
      <c r="N896" s="1">
        <v>360</v>
      </c>
      <c r="O896" s="1">
        <f t="shared" si="69"/>
        <v>1</v>
      </c>
      <c r="P896" s="1">
        <v>1</v>
      </c>
      <c r="Q896" s="1" t="s">
        <v>41</v>
      </c>
      <c r="R896" s="1" t="s">
        <v>20</v>
      </c>
    </row>
    <row r="897" spans="1:18" x14ac:dyDescent="0.35">
      <c r="A897" s="1" t="s">
        <v>928</v>
      </c>
      <c r="B897" s="1" t="str">
        <f t="shared" si="65"/>
        <v>Female</v>
      </c>
      <c r="C897" s="1" t="s">
        <v>43</v>
      </c>
      <c r="D897" s="1" t="str">
        <f t="shared" si="66"/>
        <v>No</v>
      </c>
      <c r="E897" s="1" t="s">
        <v>22</v>
      </c>
      <c r="F897" s="1">
        <v>0</v>
      </c>
      <c r="G897" s="1" t="s">
        <v>25</v>
      </c>
      <c r="H897" s="1" t="str">
        <f t="shared" si="67"/>
        <v>Yes</v>
      </c>
      <c r="I897" s="1" t="s">
        <v>29</v>
      </c>
      <c r="J897" s="1">
        <v>1689</v>
      </c>
      <c r="K897" s="1">
        <v>3140</v>
      </c>
      <c r="L897" s="1">
        <v>512</v>
      </c>
      <c r="M897" s="1">
        <f t="shared" si="68"/>
        <v>360</v>
      </c>
      <c r="N897" s="1">
        <v>360</v>
      </c>
      <c r="O897" s="1">
        <f t="shared" si="69"/>
        <v>0</v>
      </c>
      <c r="P897" s="1">
        <v>0</v>
      </c>
      <c r="Q897" s="1" t="s">
        <v>30</v>
      </c>
      <c r="R897" s="1" t="s">
        <v>20</v>
      </c>
    </row>
    <row r="898" spans="1:18" x14ac:dyDescent="0.35">
      <c r="A898" s="1" t="s">
        <v>929</v>
      </c>
      <c r="B898" s="1" t="str">
        <f t="shared" ref="B898:B961" si="70">IF(ISBLANK(C898),"Unknown", IF(LOWER(TRIM(C898))="male","Male","Female"))</f>
        <v>Male</v>
      </c>
      <c r="C898" s="1" t="s">
        <v>33</v>
      </c>
      <c r="D898" s="1" t="str">
        <f t="shared" ref="D898:D961" si="71">IF(ISBLANK(E898),"No",PROPER(TRIM(E898)))</f>
        <v>No</v>
      </c>
      <c r="E898" s="1"/>
      <c r="F898" s="1">
        <v>1</v>
      </c>
      <c r="G898" s="1" t="s">
        <v>25</v>
      </c>
      <c r="H898" s="1" t="str">
        <f t="shared" ref="H898:H961" si="72">IF(ISBLANK(I898),"No",PROPER(TRIM(I898)))</f>
        <v>No</v>
      </c>
      <c r="I898" s="1"/>
      <c r="J898" s="1">
        <v>4127</v>
      </c>
      <c r="K898" s="1">
        <v>2912</v>
      </c>
      <c r="L898" s="1">
        <v>506</v>
      </c>
      <c r="M898" s="1">
        <f t="shared" ref="M898:M961" si="73">IF(ISBLANK(N898),360,N898)</f>
        <v>360</v>
      </c>
      <c r="N898" s="1"/>
      <c r="O898" s="1">
        <f t="shared" ref="O898:O961" si="74">IF(ISBLANK(P898),0,P898)</f>
        <v>1</v>
      </c>
      <c r="P898" s="1">
        <v>1</v>
      </c>
      <c r="Q898" s="1" t="s">
        <v>30</v>
      </c>
      <c r="R898" s="1" t="s">
        <v>26</v>
      </c>
    </row>
    <row r="899" spans="1:18" x14ac:dyDescent="0.35">
      <c r="A899" s="1" t="s">
        <v>930</v>
      </c>
      <c r="B899" s="1" t="str">
        <f t="shared" si="70"/>
        <v>Female</v>
      </c>
      <c r="C899" s="1" t="s">
        <v>61</v>
      </c>
      <c r="D899" s="1" t="str">
        <f t="shared" si="71"/>
        <v>Yes</v>
      </c>
      <c r="E899" s="1" t="s">
        <v>15</v>
      </c>
      <c r="F899" s="1">
        <v>2</v>
      </c>
      <c r="G899" s="1" t="s">
        <v>25</v>
      </c>
      <c r="H899" s="1" t="str">
        <f t="shared" si="72"/>
        <v>No</v>
      </c>
      <c r="I899" s="1"/>
      <c r="J899" s="1">
        <v>16345</v>
      </c>
      <c r="K899" s="1">
        <v>3503</v>
      </c>
      <c r="L899" s="1">
        <v>120</v>
      </c>
      <c r="M899" s="1">
        <f t="shared" si="73"/>
        <v>360</v>
      </c>
      <c r="N899" s="1">
        <v>360</v>
      </c>
      <c r="O899" s="1">
        <f t="shared" si="74"/>
        <v>1</v>
      </c>
      <c r="P899" s="1">
        <v>1</v>
      </c>
      <c r="Q899" s="1" t="s">
        <v>30</v>
      </c>
      <c r="R899" s="1" t="s">
        <v>26</v>
      </c>
    </row>
    <row r="900" spans="1:18" x14ac:dyDescent="0.35">
      <c r="A900" s="1" t="s">
        <v>931</v>
      </c>
      <c r="B900" s="1" t="str">
        <f t="shared" si="70"/>
        <v>Female</v>
      </c>
      <c r="C900" s="1" t="s">
        <v>61</v>
      </c>
      <c r="D900" s="1" t="str">
        <f t="shared" si="71"/>
        <v>No</v>
      </c>
      <c r="E900" s="1"/>
      <c r="F900" s="1" t="s">
        <v>16</v>
      </c>
      <c r="G900" s="1" t="s">
        <v>17</v>
      </c>
      <c r="H900" s="1" t="str">
        <f t="shared" si="72"/>
        <v>Yes</v>
      </c>
      <c r="I900" s="1" t="s">
        <v>29</v>
      </c>
      <c r="J900" s="1">
        <v>13172</v>
      </c>
      <c r="K900" s="1">
        <v>2674</v>
      </c>
      <c r="L900" s="1">
        <v>546</v>
      </c>
      <c r="M900" s="1">
        <f t="shared" si="73"/>
        <v>180</v>
      </c>
      <c r="N900" s="1">
        <v>180</v>
      </c>
      <c r="O900" s="1">
        <f t="shared" si="74"/>
        <v>0</v>
      </c>
      <c r="P900" s="1">
        <v>0</v>
      </c>
      <c r="Q900" s="1" t="s">
        <v>30</v>
      </c>
      <c r="R900" s="1" t="s">
        <v>26</v>
      </c>
    </row>
    <row r="901" spans="1:18" x14ac:dyDescent="0.35">
      <c r="A901" s="1" t="s">
        <v>932</v>
      </c>
      <c r="B901" s="1" t="str">
        <f t="shared" si="70"/>
        <v>Female</v>
      </c>
      <c r="C901" s="1" t="s">
        <v>28</v>
      </c>
      <c r="D901" s="1" t="str">
        <f t="shared" si="71"/>
        <v>Yes</v>
      </c>
      <c r="E901" s="1" t="s">
        <v>15</v>
      </c>
      <c r="F901" s="1">
        <v>2</v>
      </c>
      <c r="G901" s="1" t="s">
        <v>25</v>
      </c>
      <c r="H901" s="1" t="str">
        <f t="shared" si="72"/>
        <v>Yes</v>
      </c>
      <c r="I901" s="1" t="s">
        <v>15</v>
      </c>
      <c r="J901" s="1">
        <v>14402</v>
      </c>
      <c r="K901" s="1">
        <v>2458</v>
      </c>
      <c r="L901" s="1">
        <v>337</v>
      </c>
      <c r="M901" s="1">
        <f t="shared" si="73"/>
        <v>180</v>
      </c>
      <c r="N901" s="1">
        <v>180</v>
      </c>
      <c r="O901" s="1">
        <f t="shared" si="74"/>
        <v>1</v>
      </c>
      <c r="P901" s="1">
        <v>1</v>
      </c>
      <c r="Q901" s="1" t="s">
        <v>41</v>
      </c>
      <c r="R901" s="1" t="s">
        <v>26</v>
      </c>
    </row>
    <row r="902" spans="1:18" x14ac:dyDescent="0.35">
      <c r="A902" s="1" t="s">
        <v>933</v>
      </c>
      <c r="B902" s="1" t="str">
        <f t="shared" si="70"/>
        <v>Unknown</v>
      </c>
      <c r="C902" s="1"/>
      <c r="D902" s="1" t="str">
        <f t="shared" si="71"/>
        <v>No</v>
      </c>
      <c r="E902" s="1"/>
      <c r="F902" s="1">
        <v>2</v>
      </c>
      <c r="G902" s="1" t="s">
        <v>25</v>
      </c>
      <c r="H902" s="1" t="str">
        <f t="shared" si="72"/>
        <v>No</v>
      </c>
      <c r="I902" s="1" t="s">
        <v>36</v>
      </c>
      <c r="J902" s="1">
        <v>15614</v>
      </c>
      <c r="K902" s="1">
        <v>3084</v>
      </c>
      <c r="L902" s="1">
        <v>648</v>
      </c>
      <c r="M902" s="1">
        <f t="shared" si="73"/>
        <v>120</v>
      </c>
      <c r="N902" s="1">
        <v>120</v>
      </c>
      <c r="O902" s="1">
        <f t="shared" si="74"/>
        <v>0</v>
      </c>
      <c r="P902" s="1"/>
      <c r="Q902" s="1" t="s">
        <v>41</v>
      </c>
      <c r="R902" s="1" t="s">
        <v>26</v>
      </c>
    </row>
    <row r="903" spans="1:18" x14ac:dyDescent="0.35">
      <c r="A903" s="1" t="s">
        <v>934</v>
      </c>
      <c r="B903" s="1" t="str">
        <f t="shared" si="70"/>
        <v>Male</v>
      </c>
      <c r="C903" s="1" t="s">
        <v>52</v>
      </c>
      <c r="D903" s="1" t="str">
        <f t="shared" si="71"/>
        <v>No</v>
      </c>
      <c r="E903" s="1"/>
      <c r="F903" s="1">
        <v>2</v>
      </c>
      <c r="G903" s="1" t="s">
        <v>25</v>
      </c>
      <c r="H903" s="1" t="str">
        <f t="shared" si="72"/>
        <v>No</v>
      </c>
      <c r="I903" s="1"/>
      <c r="J903" s="1">
        <v>16566</v>
      </c>
      <c r="K903" s="1">
        <v>4162</v>
      </c>
      <c r="L903" s="1">
        <v>680</v>
      </c>
      <c r="M903" s="1">
        <f t="shared" si="73"/>
        <v>120</v>
      </c>
      <c r="N903" s="1">
        <v>120</v>
      </c>
      <c r="O903" s="1">
        <f t="shared" si="74"/>
        <v>1</v>
      </c>
      <c r="P903" s="1">
        <v>1</v>
      </c>
      <c r="Q903" s="1" t="s">
        <v>30</v>
      </c>
      <c r="R903" s="1" t="s">
        <v>20</v>
      </c>
    </row>
    <row r="904" spans="1:18" x14ac:dyDescent="0.35">
      <c r="A904" s="1" t="s">
        <v>935</v>
      </c>
      <c r="B904" s="1" t="str">
        <f t="shared" si="70"/>
        <v>Female</v>
      </c>
      <c r="C904" s="1" t="s">
        <v>28</v>
      </c>
      <c r="D904" s="1" t="str">
        <f t="shared" si="71"/>
        <v>No</v>
      </c>
      <c r="E904" s="1" t="s">
        <v>22</v>
      </c>
      <c r="F904" s="1">
        <v>0</v>
      </c>
      <c r="G904" s="1" t="s">
        <v>25</v>
      </c>
      <c r="H904" s="1" t="str">
        <f t="shared" si="72"/>
        <v>Yes</v>
      </c>
      <c r="I904" s="1" t="s">
        <v>15</v>
      </c>
      <c r="J904" s="1">
        <v>9450</v>
      </c>
      <c r="K904" s="1">
        <v>1256</v>
      </c>
      <c r="L904" s="1">
        <v>140</v>
      </c>
      <c r="M904" s="1">
        <f t="shared" si="73"/>
        <v>120</v>
      </c>
      <c r="N904" s="1">
        <v>120</v>
      </c>
      <c r="O904" s="1">
        <f t="shared" si="74"/>
        <v>1</v>
      </c>
      <c r="P904" s="1">
        <v>1</v>
      </c>
      <c r="Q904" s="1" t="s">
        <v>30</v>
      </c>
      <c r="R904" s="1" t="s">
        <v>20</v>
      </c>
    </row>
    <row r="905" spans="1:18" x14ac:dyDescent="0.35">
      <c r="A905" s="1" t="s">
        <v>936</v>
      </c>
      <c r="B905" s="1" t="str">
        <f t="shared" si="70"/>
        <v>Female</v>
      </c>
      <c r="C905" s="1" t="s">
        <v>43</v>
      </c>
      <c r="D905" s="1" t="str">
        <f t="shared" si="71"/>
        <v>No</v>
      </c>
      <c r="E905" s="1"/>
      <c r="F905" s="1">
        <v>1</v>
      </c>
      <c r="G905" s="1" t="s">
        <v>17</v>
      </c>
      <c r="H905" s="1" t="str">
        <f t="shared" si="72"/>
        <v>No</v>
      </c>
      <c r="I905" s="1"/>
      <c r="J905" s="1">
        <v>10043</v>
      </c>
      <c r="K905" s="1">
        <v>1561</v>
      </c>
      <c r="L905" s="1">
        <v>386</v>
      </c>
      <c r="M905" s="1">
        <f t="shared" si="73"/>
        <v>360</v>
      </c>
      <c r="N905" s="1">
        <v>360</v>
      </c>
      <c r="O905" s="1">
        <f t="shared" si="74"/>
        <v>0</v>
      </c>
      <c r="P905" s="1"/>
      <c r="Q905" s="1" t="s">
        <v>30</v>
      </c>
      <c r="R905" s="1" t="s">
        <v>20</v>
      </c>
    </row>
    <row r="906" spans="1:18" x14ac:dyDescent="0.35">
      <c r="A906" s="1" t="s">
        <v>937</v>
      </c>
      <c r="B906" s="1" t="str">
        <f t="shared" si="70"/>
        <v>Unknown</v>
      </c>
      <c r="C906" s="1"/>
      <c r="D906" s="1" t="str">
        <f t="shared" si="71"/>
        <v>Yes</v>
      </c>
      <c r="E906" s="1" t="s">
        <v>29</v>
      </c>
      <c r="F906" s="1">
        <v>0</v>
      </c>
      <c r="G906" s="1" t="s">
        <v>25</v>
      </c>
      <c r="H906" s="1" t="str">
        <f t="shared" si="72"/>
        <v>No</v>
      </c>
      <c r="I906" s="1" t="s">
        <v>22</v>
      </c>
      <c r="J906" s="1">
        <v>11601</v>
      </c>
      <c r="K906" s="1">
        <v>5892</v>
      </c>
      <c r="L906" s="1">
        <v>136</v>
      </c>
      <c r="M906" s="1">
        <f t="shared" si="73"/>
        <v>360</v>
      </c>
      <c r="N906" s="1"/>
      <c r="O906" s="1">
        <f t="shared" si="74"/>
        <v>0</v>
      </c>
      <c r="P906" s="1"/>
      <c r="Q906" s="1" t="s">
        <v>41</v>
      </c>
      <c r="R906" s="1" t="s">
        <v>20</v>
      </c>
    </row>
    <row r="907" spans="1:18" x14ac:dyDescent="0.35">
      <c r="A907" s="1" t="s">
        <v>938</v>
      </c>
      <c r="B907" s="1" t="str">
        <f t="shared" si="70"/>
        <v>Female</v>
      </c>
      <c r="C907" s="1" t="s">
        <v>61</v>
      </c>
      <c r="D907" s="1" t="str">
        <f t="shared" si="71"/>
        <v>No</v>
      </c>
      <c r="E907" s="1" t="s">
        <v>18</v>
      </c>
      <c r="F907" s="1" t="s">
        <v>16</v>
      </c>
      <c r="G907" s="1" t="s">
        <v>17</v>
      </c>
      <c r="H907" s="1" t="str">
        <f t="shared" si="72"/>
        <v>Yes</v>
      </c>
      <c r="I907" s="1" t="s">
        <v>29</v>
      </c>
      <c r="J907" s="1">
        <v>11501</v>
      </c>
      <c r="K907" s="1">
        <v>5824</v>
      </c>
      <c r="L907" s="1">
        <v>368</v>
      </c>
      <c r="M907" s="1">
        <f t="shared" si="73"/>
        <v>360</v>
      </c>
      <c r="N907" s="1">
        <v>360</v>
      </c>
      <c r="O907" s="1">
        <f t="shared" si="74"/>
        <v>0</v>
      </c>
      <c r="P907" s="1">
        <v>0</v>
      </c>
      <c r="Q907" s="1" t="s">
        <v>30</v>
      </c>
      <c r="R907" s="1" t="s">
        <v>26</v>
      </c>
    </row>
    <row r="908" spans="1:18" x14ac:dyDescent="0.35">
      <c r="A908" s="1" t="s">
        <v>939</v>
      </c>
      <c r="B908" s="1" t="str">
        <f t="shared" si="70"/>
        <v>Unknown</v>
      </c>
      <c r="C908" s="1"/>
      <c r="D908" s="1" t="str">
        <f t="shared" si="71"/>
        <v>Yes</v>
      </c>
      <c r="E908" s="1" t="s">
        <v>29</v>
      </c>
      <c r="F908" s="1">
        <v>1</v>
      </c>
      <c r="G908" s="1" t="s">
        <v>25</v>
      </c>
      <c r="H908" s="1" t="str">
        <f t="shared" si="72"/>
        <v>No</v>
      </c>
      <c r="I908" s="1" t="s">
        <v>18</v>
      </c>
      <c r="J908" s="1">
        <v>12315</v>
      </c>
      <c r="K908" s="1">
        <v>5627</v>
      </c>
      <c r="L908" s="1">
        <v>670</v>
      </c>
      <c r="M908" s="1">
        <f t="shared" si="73"/>
        <v>360</v>
      </c>
      <c r="N908" s="1"/>
      <c r="O908" s="1">
        <f t="shared" si="74"/>
        <v>0</v>
      </c>
      <c r="P908" s="1"/>
      <c r="Q908" s="1" t="s">
        <v>19</v>
      </c>
      <c r="R908" s="1" t="s">
        <v>20</v>
      </c>
    </row>
    <row r="909" spans="1:18" x14ac:dyDescent="0.35">
      <c r="A909" s="1" t="s">
        <v>940</v>
      </c>
      <c r="B909" s="1" t="str">
        <f t="shared" si="70"/>
        <v>Female</v>
      </c>
      <c r="C909" s="1" t="s">
        <v>43</v>
      </c>
      <c r="D909" s="1" t="str">
        <f t="shared" si="71"/>
        <v>No</v>
      </c>
      <c r="E909" s="1" t="s">
        <v>22</v>
      </c>
      <c r="F909" s="1">
        <v>2</v>
      </c>
      <c r="G909" s="1" t="s">
        <v>17</v>
      </c>
      <c r="H909" s="1" t="str">
        <f t="shared" si="72"/>
        <v>No</v>
      </c>
      <c r="I909" s="1" t="s">
        <v>22</v>
      </c>
      <c r="J909" s="1">
        <v>16911</v>
      </c>
      <c r="K909" s="1">
        <v>8177</v>
      </c>
      <c r="L909" s="1">
        <v>651</v>
      </c>
      <c r="M909" s="1">
        <f t="shared" si="73"/>
        <v>120</v>
      </c>
      <c r="N909" s="1">
        <v>120</v>
      </c>
      <c r="O909" s="1">
        <f t="shared" si="74"/>
        <v>0</v>
      </c>
      <c r="P909" s="1">
        <v>0</v>
      </c>
      <c r="Q909" s="1" t="s">
        <v>30</v>
      </c>
      <c r="R909" s="1" t="s">
        <v>20</v>
      </c>
    </row>
    <row r="910" spans="1:18" x14ac:dyDescent="0.35">
      <c r="A910" s="1" t="s">
        <v>941</v>
      </c>
      <c r="B910" s="1" t="str">
        <f t="shared" si="70"/>
        <v>Male</v>
      </c>
      <c r="C910" s="1" t="s">
        <v>14</v>
      </c>
      <c r="D910" s="1" t="str">
        <f t="shared" si="71"/>
        <v>No</v>
      </c>
      <c r="E910" s="1"/>
      <c r="F910" s="1">
        <v>1</v>
      </c>
      <c r="G910" s="1" t="s">
        <v>17</v>
      </c>
      <c r="H910" s="1" t="str">
        <f t="shared" si="72"/>
        <v>No</v>
      </c>
      <c r="I910" s="1"/>
      <c r="J910" s="1">
        <v>6092</v>
      </c>
      <c r="K910" s="1">
        <v>9276</v>
      </c>
      <c r="L910" s="1">
        <v>479</v>
      </c>
      <c r="M910" s="1">
        <f t="shared" si="73"/>
        <v>360</v>
      </c>
      <c r="N910" s="1"/>
      <c r="O910" s="1">
        <f t="shared" si="74"/>
        <v>0</v>
      </c>
      <c r="P910" s="1"/>
      <c r="Q910" s="1" t="s">
        <v>41</v>
      </c>
      <c r="R910" s="1" t="s">
        <v>20</v>
      </c>
    </row>
    <row r="911" spans="1:18" x14ac:dyDescent="0.35">
      <c r="A911" s="1" t="s">
        <v>942</v>
      </c>
      <c r="B911" s="1" t="str">
        <f t="shared" si="70"/>
        <v>Female</v>
      </c>
      <c r="C911" s="1" t="s">
        <v>61</v>
      </c>
      <c r="D911" s="1" t="str">
        <f t="shared" si="71"/>
        <v>No</v>
      </c>
      <c r="E911" s="1" t="s">
        <v>18</v>
      </c>
      <c r="F911" s="1">
        <v>1</v>
      </c>
      <c r="G911" s="1" t="s">
        <v>17</v>
      </c>
      <c r="H911" s="1" t="str">
        <f t="shared" si="72"/>
        <v>No</v>
      </c>
      <c r="I911" s="1" t="s">
        <v>18</v>
      </c>
      <c r="J911" s="1">
        <v>7237</v>
      </c>
      <c r="K911" s="1">
        <v>5508</v>
      </c>
      <c r="L911" s="1">
        <v>215</v>
      </c>
      <c r="M911" s="1">
        <f t="shared" si="73"/>
        <v>360</v>
      </c>
      <c r="N911" s="1"/>
      <c r="O911" s="1">
        <f t="shared" si="74"/>
        <v>0</v>
      </c>
      <c r="P911" s="1"/>
      <c r="Q911" s="1" t="s">
        <v>19</v>
      </c>
      <c r="R911" s="1" t="s">
        <v>20</v>
      </c>
    </row>
    <row r="912" spans="1:18" x14ac:dyDescent="0.35">
      <c r="A912" s="1" t="s">
        <v>943</v>
      </c>
      <c r="B912" s="1" t="str">
        <f t="shared" si="70"/>
        <v>Female</v>
      </c>
      <c r="C912" s="1" t="s">
        <v>28</v>
      </c>
      <c r="D912" s="1" t="str">
        <f t="shared" si="71"/>
        <v>Yes</v>
      </c>
      <c r="E912" s="1" t="s">
        <v>24</v>
      </c>
      <c r="F912" s="1">
        <v>0</v>
      </c>
      <c r="G912" s="1" t="s">
        <v>17</v>
      </c>
      <c r="H912" s="1" t="str">
        <f t="shared" si="72"/>
        <v>No</v>
      </c>
      <c r="I912" s="1"/>
      <c r="J912" s="1">
        <v>14710</v>
      </c>
      <c r="K912" s="1">
        <v>2960</v>
      </c>
      <c r="L912" s="1">
        <v>174</v>
      </c>
      <c r="M912" s="1">
        <f t="shared" si="73"/>
        <v>120</v>
      </c>
      <c r="N912" s="1">
        <v>120</v>
      </c>
      <c r="O912" s="1">
        <f t="shared" si="74"/>
        <v>0</v>
      </c>
      <c r="P912" s="1">
        <v>0</v>
      </c>
      <c r="Q912" s="1" t="s">
        <v>41</v>
      </c>
      <c r="R912" s="1" t="s">
        <v>26</v>
      </c>
    </row>
    <row r="913" spans="1:18" x14ac:dyDescent="0.35">
      <c r="A913" s="1" t="s">
        <v>944</v>
      </c>
      <c r="B913" s="1" t="str">
        <f t="shared" si="70"/>
        <v>Male</v>
      </c>
      <c r="C913" s="1" t="s">
        <v>52</v>
      </c>
      <c r="D913" s="1" t="str">
        <f t="shared" si="71"/>
        <v>No</v>
      </c>
      <c r="E913" s="1"/>
      <c r="F913" s="1">
        <v>0</v>
      </c>
      <c r="G913" s="1" t="s">
        <v>17</v>
      </c>
      <c r="H913" s="1" t="str">
        <f t="shared" si="72"/>
        <v>No</v>
      </c>
      <c r="I913" s="1"/>
      <c r="J913" s="1">
        <v>17141</v>
      </c>
      <c r="K913" s="1">
        <v>2135</v>
      </c>
      <c r="L913" s="1">
        <v>508</v>
      </c>
      <c r="M913" s="1">
        <f t="shared" si="73"/>
        <v>120</v>
      </c>
      <c r="N913" s="1">
        <v>120</v>
      </c>
      <c r="O913" s="1">
        <f t="shared" si="74"/>
        <v>1</v>
      </c>
      <c r="P913" s="1">
        <v>1</v>
      </c>
      <c r="Q913" s="1" t="s">
        <v>30</v>
      </c>
      <c r="R913" s="1" t="s">
        <v>26</v>
      </c>
    </row>
    <row r="914" spans="1:18" x14ac:dyDescent="0.35">
      <c r="A914" s="1" t="s">
        <v>945</v>
      </c>
      <c r="B914" s="1" t="str">
        <f t="shared" si="70"/>
        <v>Female</v>
      </c>
      <c r="C914" s="1" t="s">
        <v>28</v>
      </c>
      <c r="D914" s="1" t="str">
        <f t="shared" si="71"/>
        <v>No</v>
      </c>
      <c r="E914" s="1" t="s">
        <v>22</v>
      </c>
      <c r="F914" s="1">
        <v>1</v>
      </c>
      <c r="G914" s="1" t="s">
        <v>17</v>
      </c>
      <c r="H914" s="1" t="str">
        <f t="shared" si="72"/>
        <v>No</v>
      </c>
      <c r="I914" s="1" t="s">
        <v>22</v>
      </c>
      <c r="J914" s="1">
        <v>2977</v>
      </c>
      <c r="K914" s="1">
        <v>7978</v>
      </c>
      <c r="L914" s="1">
        <v>692</v>
      </c>
      <c r="M914" s="1">
        <f t="shared" si="73"/>
        <v>360</v>
      </c>
      <c r="N914" s="1">
        <v>360</v>
      </c>
      <c r="O914" s="1">
        <f t="shared" si="74"/>
        <v>1</v>
      </c>
      <c r="P914" s="1">
        <v>1</v>
      </c>
      <c r="Q914" s="1" t="s">
        <v>41</v>
      </c>
      <c r="R914" s="1" t="s">
        <v>20</v>
      </c>
    </row>
    <row r="915" spans="1:18" x14ac:dyDescent="0.35">
      <c r="A915" s="1" t="s">
        <v>946</v>
      </c>
      <c r="B915" s="1" t="str">
        <f t="shared" si="70"/>
        <v>Male</v>
      </c>
      <c r="C915" s="1" t="s">
        <v>33</v>
      </c>
      <c r="D915" s="1" t="str">
        <f t="shared" si="71"/>
        <v>No</v>
      </c>
      <c r="E915" s="1"/>
      <c r="F915" s="1" t="s">
        <v>16</v>
      </c>
      <c r="G915" s="1" t="s">
        <v>17</v>
      </c>
      <c r="H915" s="1" t="str">
        <f t="shared" si="72"/>
        <v>No</v>
      </c>
      <c r="I915" s="1"/>
      <c r="J915" s="1">
        <v>14579</v>
      </c>
      <c r="K915" s="1">
        <v>9225</v>
      </c>
      <c r="L915" s="1">
        <v>227</v>
      </c>
      <c r="M915" s="1">
        <f t="shared" si="73"/>
        <v>180</v>
      </c>
      <c r="N915" s="1">
        <v>180</v>
      </c>
      <c r="O915" s="1">
        <f t="shared" si="74"/>
        <v>0</v>
      </c>
      <c r="P915" s="1">
        <v>0</v>
      </c>
      <c r="Q915" s="1" t="s">
        <v>19</v>
      </c>
      <c r="R915" s="1" t="s">
        <v>26</v>
      </c>
    </row>
    <row r="916" spans="1:18" x14ac:dyDescent="0.35">
      <c r="A916" s="1" t="s">
        <v>947</v>
      </c>
      <c r="B916" s="1" t="str">
        <f t="shared" si="70"/>
        <v>Male</v>
      </c>
      <c r="C916" s="1" t="s">
        <v>52</v>
      </c>
      <c r="D916" s="1" t="str">
        <f t="shared" si="71"/>
        <v>No</v>
      </c>
      <c r="E916" s="1" t="s">
        <v>18</v>
      </c>
      <c r="F916" s="1" t="s">
        <v>16</v>
      </c>
      <c r="G916" s="1" t="s">
        <v>17</v>
      </c>
      <c r="H916" s="1" t="str">
        <f t="shared" si="72"/>
        <v>No</v>
      </c>
      <c r="I916" s="1"/>
      <c r="J916" s="1">
        <v>13199</v>
      </c>
      <c r="K916" s="1">
        <v>4064</v>
      </c>
      <c r="L916" s="1">
        <v>528</v>
      </c>
      <c r="M916" s="1">
        <f t="shared" si="73"/>
        <v>360</v>
      </c>
      <c r="N916" s="1"/>
      <c r="O916" s="1">
        <f t="shared" si="74"/>
        <v>0</v>
      </c>
      <c r="P916" s="1">
        <v>0</v>
      </c>
      <c r="Q916" s="1" t="s">
        <v>41</v>
      </c>
      <c r="R916" s="1" t="s">
        <v>26</v>
      </c>
    </row>
    <row r="917" spans="1:18" x14ac:dyDescent="0.35">
      <c r="A917" s="1" t="s">
        <v>948</v>
      </c>
      <c r="B917" s="1" t="str">
        <f t="shared" si="70"/>
        <v>Unknown</v>
      </c>
      <c r="C917" s="1"/>
      <c r="D917" s="1" t="str">
        <f t="shared" si="71"/>
        <v>No</v>
      </c>
      <c r="E917" s="1" t="s">
        <v>22</v>
      </c>
      <c r="F917" s="1">
        <v>2</v>
      </c>
      <c r="G917" s="1" t="s">
        <v>17</v>
      </c>
      <c r="H917" s="1" t="str">
        <f t="shared" si="72"/>
        <v>No</v>
      </c>
      <c r="I917" s="1" t="s">
        <v>18</v>
      </c>
      <c r="J917" s="1">
        <v>16286</v>
      </c>
      <c r="K917" s="1">
        <v>8162</v>
      </c>
      <c r="L917" s="1">
        <v>342</v>
      </c>
      <c r="M917" s="1">
        <f t="shared" si="73"/>
        <v>360</v>
      </c>
      <c r="N917" s="1">
        <v>360</v>
      </c>
      <c r="O917" s="1">
        <f t="shared" si="74"/>
        <v>0</v>
      </c>
      <c r="P917" s="1">
        <v>0</v>
      </c>
      <c r="Q917" s="1" t="s">
        <v>19</v>
      </c>
      <c r="R917" s="1" t="s">
        <v>20</v>
      </c>
    </row>
    <row r="918" spans="1:18" x14ac:dyDescent="0.35">
      <c r="A918" s="1" t="s">
        <v>949</v>
      </c>
      <c r="B918" s="1" t="str">
        <f t="shared" si="70"/>
        <v>Female</v>
      </c>
      <c r="C918" s="1" t="s">
        <v>28</v>
      </c>
      <c r="D918" s="1" t="str">
        <f t="shared" si="71"/>
        <v>No</v>
      </c>
      <c r="E918" s="1"/>
      <c r="F918" s="1">
        <v>0</v>
      </c>
      <c r="G918" s="1" t="s">
        <v>25</v>
      </c>
      <c r="H918" s="1" t="str">
        <f t="shared" si="72"/>
        <v>No</v>
      </c>
      <c r="I918" s="1"/>
      <c r="J918" s="1">
        <v>18496</v>
      </c>
      <c r="K918" s="1">
        <v>3273</v>
      </c>
      <c r="L918" s="1">
        <v>204</v>
      </c>
      <c r="M918" s="1">
        <f t="shared" si="73"/>
        <v>180</v>
      </c>
      <c r="N918" s="1">
        <v>180</v>
      </c>
      <c r="O918" s="1">
        <f t="shared" si="74"/>
        <v>1</v>
      </c>
      <c r="P918" s="1">
        <v>1</v>
      </c>
      <c r="Q918" s="1" t="s">
        <v>19</v>
      </c>
      <c r="R918" s="1" t="s">
        <v>20</v>
      </c>
    </row>
    <row r="919" spans="1:18" x14ac:dyDescent="0.35">
      <c r="A919" s="1" t="s">
        <v>950</v>
      </c>
      <c r="B919" s="1" t="str">
        <f t="shared" si="70"/>
        <v>Female</v>
      </c>
      <c r="C919" s="1" t="s">
        <v>43</v>
      </c>
      <c r="D919" s="1" t="str">
        <f t="shared" si="71"/>
        <v>No</v>
      </c>
      <c r="E919" s="1" t="s">
        <v>18</v>
      </c>
      <c r="F919" s="1" t="s">
        <v>16</v>
      </c>
      <c r="G919" s="1" t="s">
        <v>25</v>
      </c>
      <c r="H919" s="1" t="str">
        <f t="shared" si="72"/>
        <v>Yes</v>
      </c>
      <c r="I919" s="1" t="s">
        <v>24</v>
      </c>
      <c r="J919" s="1">
        <v>13215</v>
      </c>
      <c r="K919" s="1">
        <v>2973</v>
      </c>
      <c r="L919" s="1">
        <v>61</v>
      </c>
      <c r="M919" s="1">
        <f t="shared" si="73"/>
        <v>180</v>
      </c>
      <c r="N919" s="1">
        <v>180</v>
      </c>
      <c r="O919" s="1">
        <f t="shared" si="74"/>
        <v>0</v>
      </c>
      <c r="P919" s="1"/>
      <c r="Q919" s="1" t="s">
        <v>41</v>
      </c>
      <c r="R919" s="1" t="s">
        <v>26</v>
      </c>
    </row>
    <row r="920" spans="1:18" x14ac:dyDescent="0.35">
      <c r="A920" s="1" t="s">
        <v>951</v>
      </c>
      <c r="B920" s="1" t="str">
        <f t="shared" si="70"/>
        <v>Male</v>
      </c>
      <c r="C920" s="1" t="s">
        <v>33</v>
      </c>
      <c r="D920" s="1" t="str">
        <f t="shared" si="71"/>
        <v>No</v>
      </c>
      <c r="E920" s="1" t="s">
        <v>36</v>
      </c>
      <c r="F920" s="1">
        <v>1</v>
      </c>
      <c r="G920" s="1" t="s">
        <v>17</v>
      </c>
      <c r="H920" s="1" t="str">
        <f t="shared" si="72"/>
        <v>No</v>
      </c>
      <c r="I920" s="1" t="s">
        <v>18</v>
      </c>
      <c r="J920" s="1">
        <v>2013</v>
      </c>
      <c r="K920" s="1">
        <v>3028</v>
      </c>
      <c r="L920" s="1">
        <v>613</v>
      </c>
      <c r="M920" s="1">
        <f t="shared" si="73"/>
        <v>360</v>
      </c>
      <c r="N920" s="1">
        <v>360</v>
      </c>
      <c r="O920" s="1">
        <f t="shared" si="74"/>
        <v>0</v>
      </c>
      <c r="P920" s="1">
        <v>0</v>
      </c>
      <c r="Q920" s="1" t="s">
        <v>30</v>
      </c>
      <c r="R920" s="1" t="s">
        <v>26</v>
      </c>
    </row>
    <row r="921" spans="1:18" x14ac:dyDescent="0.35">
      <c r="A921" s="1" t="s">
        <v>952</v>
      </c>
      <c r="B921" s="1" t="str">
        <f t="shared" si="70"/>
        <v>Female</v>
      </c>
      <c r="C921" s="1" t="s">
        <v>43</v>
      </c>
      <c r="D921" s="1" t="str">
        <f t="shared" si="71"/>
        <v>No</v>
      </c>
      <c r="E921" s="1"/>
      <c r="F921" s="1">
        <v>2</v>
      </c>
      <c r="G921" s="1" t="s">
        <v>25</v>
      </c>
      <c r="H921" s="1" t="str">
        <f t="shared" si="72"/>
        <v>No</v>
      </c>
      <c r="I921" s="1" t="s">
        <v>22</v>
      </c>
      <c r="J921" s="1">
        <v>4186</v>
      </c>
      <c r="K921" s="1">
        <v>9857</v>
      </c>
      <c r="L921" s="1">
        <v>464</v>
      </c>
      <c r="M921" s="1">
        <f t="shared" si="73"/>
        <v>360</v>
      </c>
      <c r="N921" s="1">
        <v>360</v>
      </c>
      <c r="O921" s="1">
        <f t="shared" si="74"/>
        <v>1</v>
      </c>
      <c r="P921" s="1">
        <v>1</v>
      </c>
      <c r="Q921" s="1" t="s">
        <v>41</v>
      </c>
      <c r="R921" s="1" t="s">
        <v>20</v>
      </c>
    </row>
    <row r="922" spans="1:18" x14ac:dyDescent="0.35">
      <c r="A922" s="1" t="s">
        <v>953</v>
      </c>
      <c r="B922" s="1" t="str">
        <f t="shared" si="70"/>
        <v>Unknown</v>
      </c>
      <c r="C922" s="1"/>
      <c r="D922" s="1" t="str">
        <f t="shared" si="71"/>
        <v>Yes</v>
      </c>
      <c r="E922" s="1" t="s">
        <v>15</v>
      </c>
      <c r="F922" s="1">
        <v>0</v>
      </c>
      <c r="G922" s="1" t="s">
        <v>17</v>
      </c>
      <c r="H922" s="1" t="str">
        <f t="shared" si="72"/>
        <v>No</v>
      </c>
      <c r="I922" s="1"/>
      <c r="J922" s="1">
        <v>2169</v>
      </c>
      <c r="K922" s="1">
        <v>2087</v>
      </c>
      <c r="L922" s="1">
        <v>75</v>
      </c>
      <c r="M922" s="1">
        <f t="shared" si="73"/>
        <v>180</v>
      </c>
      <c r="N922" s="1">
        <v>180</v>
      </c>
      <c r="O922" s="1">
        <f t="shared" si="74"/>
        <v>0</v>
      </c>
      <c r="P922" s="1"/>
      <c r="Q922" s="1" t="s">
        <v>30</v>
      </c>
      <c r="R922" s="1" t="s">
        <v>26</v>
      </c>
    </row>
    <row r="923" spans="1:18" x14ac:dyDescent="0.35">
      <c r="A923" s="1" t="s">
        <v>954</v>
      </c>
      <c r="B923" s="1" t="str">
        <f t="shared" si="70"/>
        <v>Male</v>
      </c>
      <c r="C923" s="1" t="s">
        <v>14</v>
      </c>
      <c r="D923" s="1" t="str">
        <f t="shared" si="71"/>
        <v>Yes</v>
      </c>
      <c r="E923" s="1" t="s">
        <v>15</v>
      </c>
      <c r="F923" s="1">
        <v>2</v>
      </c>
      <c r="G923" s="1" t="s">
        <v>17</v>
      </c>
      <c r="H923" s="1" t="str">
        <f t="shared" si="72"/>
        <v>No</v>
      </c>
      <c r="I923" s="1"/>
      <c r="J923" s="1">
        <v>1993</v>
      </c>
      <c r="K923" s="1">
        <v>8783</v>
      </c>
      <c r="L923" s="1">
        <v>293</v>
      </c>
      <c r="M923" s="1">
        <f t="shared" si="73"/>
        <v>360</v>
      </c>
      <c r="N923" s="1">
        <v>360</v>
      </c>
      <c r="O923" s="1">
        <f t="shared" si="74"/>
        <v>0</v>
      </c>
      <c r="P923" s="1">
        <v>0</v>
      </c>
      <c r="Q923" s="1" t="s">
        <v>41</v>
      </c>
      <c r="R923" s="1" t="s">
        <v>26</v>
      </c>
    </row>
    <row r="924" spans="1:18" x14ac:dyDescent="0.35">
      <c r="A924" s="1" t="s">
        <v>955</v>
      </c>
      <c r="B924" s="1" t="str">
        <f t="shared" si="70"/>
        <v>Female</v>
      </c>
      <c r="C924" s="1" t="s">
        <v>61</v>
      </c>
      <c r="D924" s="1" t="str">
        <f t="shared" si="71"/>
        <v>No</v>
      </c>
      <c r="E924" s="1" t="s">
        <v>18</v>
      </c>
      <c r="F924" s="1">
        <v>0</v>
      </c>
      <c r="G924" s="1" t="s">
        <v>17</v>
      </c>
      <c r="H924" s="1" t="str">
        <f t="shared" si="72"/>
        <v>No</v>
      </c>
      <c r="I924" s="1"/>
      <c r="J924" s="1">
        <v>18715</v>
      </c>
      <c r="K924" s="1">
        <v>4259</v>
      </c>
      <c r="L924" s="1">
        <v>146</v>
      </c>
      <c r="M924" s="1">
        <f t="shared" si="73"/>
        <v>180</v>
      </c>
      <c r="N924" s="1">
        <v>180</v>
      </c>
      <c r="O924" s="1">
        <f t="shared" si="74"/>
        <v>0</v>
      </c>
      <c r="P924" s="1">
        <v>0</v>
      </c>
      <c r="Q924" s="1" t="s">
        <v>41</v>
      </c>
      <c r="R924" s="1" t="s">
        <v>26</v>
      </c>
    </row>
    <row r="925" spans="1:18" x14ac:dyDescent="0.35">
      <c r="A925" s="1" t="s">
        <v>956</v>
      </c>
      <c r="B925" s="1" t="str">
        <f t="shared" si="70"/>
        <v>Female</v>
      </c>
      <c r="C925" s="1" t="s">
        <v>61</v>
      </c>
      <c r="D925" s="1" t="str">
        <f t="shared" si="71"/>
        <v>No</v>
      </c>
      <c r="E925" s="1" t="s">
        <v>36</v>
      </c>
      <c r="F925" s="1">
        <v>2</v>
      </c>
      <c r="G925" s="1" t="s">
        <v>25</v>
      </c>
      <c r="H925" s="1" t="str">
        <f t="shared" si="72"/>
        <v>No</v>
      </c>
      <c r="I925" s="1" t="s">
        <v>36</v>
      </c>
      <c r="J925" s="1">
        <v>4490</v>
      </c>
      <c r="K925" s="1">
        <v>7219</v>
      </c>
      <c r="L925" s="1">
        <v>277</v>
      </c>
      <c r="M925" s="1">
        <f t="shared" si="73"/>
        <v>120</v>
      </c>
      <c r="N925" s="1">
        <v>120</v>
      </c>
      <c r="O925" s="1">
        <f t="shared" si="74"/>
        <v>0</v>
      </c>
      <c r="P925" s="1"/>
      <c r="Q925" s="1" t="s">
        <v>19</v>
      </c>
      <c r="R925" s="1" t="s">
        <v>26</v>
      </c>
    </row>
    <row r="926" spans="1:18" x14ac:dyDescent="0.35">
      <c r="A926" s="1" t="s">
        <v>957</v>
      </c>
      <c r="B926" s="1" t="str">
        <f t="shared" si="70"/>
        <v>Female</v>
      </c>
      <c r="C926" s="1" t="s">
        <v>43</v>
      </c>
      <c r="D926" s="1" t="str">
        <f t="shared" si="71"/>
        <v>No</v>
      </c>
      <c r="E926" s="1"/>
      <c r="F926" s="1">
        <v>0</v>
      </c>
      <c r="G926" s="1" t="s">
        <v>17</v>
      </c>
      <c r="H926" s="1" t="str">
        <f t="shared" si="72"/>
        <v>No</v>
      </c>
      <c r="I926" s="1"/>
      <c r="J926" s="1">
        <v>9377</v>
      </c>
      <c r="K926" s="1">
        <v>5438</v>
      </c>
      <c r="L926" s="1">
        <v>263</v>
      </c>
      <c r="M926" s="1">
        <f t="shared" si="73"/>
        <v>360</v>
      </c>
      <c r="N926" s="1"/>
      <c r="O926" s="1">
        <f t="shared" si="74"/>
        <v>1</v>
      </c>
      <c r="P926" s="1">
        <v>1</v>
      </c>
      <c r="Q926" s="1" t="s">
        <v>41</v>
      </c>
      <c r="R926" s="1" t="s">
        <v>20</v>
      </c>
    </row>
    <row r="927" spans="1:18" x14ac:dyDescent="0.35">
      <c r="A927" s="1" t="s">
        <v>958</v>
      </c>
      <c r="B927" s="1" t="str">
        <f t="shared" si="70"/>
        <v>Male</v>
      </c>
      <c r="C927" s="1" t="s">
        <v>52</v>
      </c>
      <c r="D927" s="1" t="str">
        <f t="shared" si="71"/>
        <v>No</v>
      </c>
      <c r="E927" s="1"/>
      <c r="F927" s="1">
        <v>1</v>
      </c>
      <c r="G927" s="1" t="s">
        <v>17</v>
      </c>
      <c r="H927" s="1" t="str">
        <f t="shared" si="72"/>
        <v>No</v>
      </c>
      <c r="I927" s="1"/>
      <c r="J927" s="1">
        <v>15106</v>
      </c>
      <c r="K927" s="1">
        <v>8052</v>
      </c>
      <c r="L927" s="1">
        <v>524</v>
      </c>
      <c r="M927" s="1">
        <f t="shared" si="73"/>
        <v>120</v>
      </c>
      <c r="N927" s="1">
        <v>120</v>
      </c>
      <c r="O927" s="1">
        <f t="shared" si="74"/>
        <v>0</v>
      </c>
      <c r="P927" s="1"/>
      <c r="Q927" s="1" t="s">
        <v>30</v>
      </c>
      <c r="R927" s="1" t="s">
        <v>20</v>
      </c>
    </row>
    <row r="928" spans="1:18" x14ac:dyDescent="0.35">
      <c r="A928" s="1" t="s">
        <v>959</v>
      </c>
      <c r="B928" s="1" t="str">
        <f t="shared" si="70"/>
        <v>Female</v>
      </c>
      <c r="C928" s="1" t="s">
        <v>28</v>
      </c>
      <c r="D928" s="1" t="str">
        <f t="shared" si="71"/>
        <v>No</v>
      </c>
      <c r="E928" s="1" t="s">
        <v>22</v>
      </c>
      <c r="F928" s="1">
        <v>1</v>
      </c>
      <c r="G928" s="1" t="s">
        <v>25</v>
      </c>
      <c r="H928" s="1" t="str">
        <f t="shared" si="72"/>
        <v>No</v>
      </c>
      <c r="I928" s="1"/>
      <c r="J928" s="1">
        <v>3057</v>
      </c>
      <c r="K928" s="1">
        <v>2726</v>
      </c>
      <c r="L928" s="1">
        <v>621</v>
      </c>
      <c r="M928" s="1">
        <f t="shared" si="73"/>
        <v>360</v>
      </c>
      <c r="N928" s="1"/>
      <c r="O928" s="1">
        <f t="shared" si="74"/>
        <v>0</v>
      </c>
      <c r="P928" s="1">
        <v>0</v>
      </c>
      <c r="Q928" s="1" t="s">
        <v>30</v>
      </c>
      <c r="R928" s="1" t="s">
        <v>20</v>
      </c>
    </row>
    <row r="929" spans="1:18" x14ac:dyDescent="0.35">
      <c r="A929" s="1" t="s">
        <v>960</v>
      </c>
      <c r="B929" s="1" t="str">
        <f t="shared" si="70"/>
        <v>Male</v>
      </c>
      <c r="C929" s="1" t="s">
        <v>14</v>
      </c>
      <c r="D929" s="1" t="str">
        <f t="shared" si="71"/>
        <v>Yes</v>
      </c>
      <c r="E929" s="1" t="s">
        <v>29</v>
      </c>
      <c r="F929" s="1">
        <v>1</v>
      </c>
      <c r="G929" s="1" t="s">
        <v>25</v>
      </c>
      <c r="H929" s="1" t="str">
        <f t="shared" si="72"/>
        <v>No</v>
      </c>
      <c r="I929" s="1"/>
      <c r="J929" s="1">
        <v>9458</v>
      </c>
      <c r="K929" s="1">
        <v>9554</v>
      </c>
      <c r="L929" s="1">
        <v>663</v>
      </c>
      <c r="M929" s="1">
        <f t="shared" si="73"/>
        <v>360</v>
      </c>
      <c r="N929" s="1">
        <v>360</v>
      </c>
      <c r="O929" s="1">
        <f t="shared" si="74"/>
        <v>0</v>
      </c>
      <c r="P929" s="1">
        <v>0</v>
      </c>
      <c r="Q929" s="1" t="s">
        <v>19</v>
      </c>
      <c r="R929" s="1" t="s">
        <v>20</v>
      </c>
    </row>
    <row r="930" spans="1:18" x14ac:dyDescent="0.35">
      <c r="A930" s="1" t="s">
        <v>961</v>
      </c>
      <c r="B930" s="1" t="str">
        <f t="shared" si="70"/>
        <v>Female</v>
      </c>
      <c r="C930" s="1" t="s">
        <v>28</v>
      </c>
      <c r="D930" s="1" t="str">
        <f t="shared" si="71"/>
        <v>No</v>
      </c>
      <c r="E930" s="1"/>
      <c r="F930" s="1">
        <v>2</v>
      </c>
      <c r="G930" s="1" t="s">
        <v>25</v>
      </c>
      <c r="H930" s="1" t="str">
        <f t="shared" si="72"/>
        <v>Yes</v>
      </c>
      <c r="I930" s="1" t="s">
        <v>29</v>
      </c>
      <c r="J930" s="1">
        <v>7889</v>
      </c>
      <c r="K930" s="1">
        <v>442</v>
      </c>
      <c r="L930" s="1">
        <v>638</v>
      </c>
      <c r="M930" s="1">
        <f t="shared" si="73"/>
        <v>360</v>
      </c>
      <c r="N930" s="1">
        <v>360</v>
      </c>
      <c r="O930" s="1">
        <f t="shared" si="74"/>
        <v>0</v>
      </c>
      <c r="P930" s="1"/>
      <c r="Q930" s="1" t="s">
        <v>30</v>
      </c>
      <c r="R930" s="1" t="s">
        <v>20</v>
      </c>
    </row>
    <row r="931" spans="1:18" x14ac:dyDescent="0.35">
      <c r="A931" s="1" t="s">
        <v>962</v>
      </c>
      <c r="B931" s="1" t="str">
        <f t="shared" si="70"/>
        <v>Unknown</v>
      </c>
      <c r="C931" s="1"/>
      <c r="D931" s="1" t="str">
        <f t="shared" si="71"/>
        <v>No</v>
      </c>
      <c r="E931" s="1" t="s">
        <v>18</v>
      </c>
      <c r="F931" s="1">
        <v>1</v>
      </c>
      <c r="G931" s="1" t="s">
        <v>25</v>
      </c>
      <c r="H931" s="1" t="str">
        <f t="shared" si="72"/>
        <v>No</v>
      </c>
      <c r="I931" s="1" t="s">
        <v>22</v>
      </c>
      <c r="J931" s="1">
        <v>14153</v>
      </c>
      <c r="K931" s="1">
        <v>9540</v>
      </c>
      <c r="L931" s="1">
        <v>383</v>
      </c>
      <c r="M931" s="1">
        <f t="shared" si="73"/>
        <v>360</v>
      </c>
      <c r="N931" s="1"/>
      <c r="O931" s="1">
        <f t="shared" si="74"/>
        <v>0</v>
      </c>
      <c r="P931" s="1">
        <v>0</v>
      </c>
      <c r="Q931" s="1" t="s">
        <v>30</v>
      </c>
      <c r="R931" s="1" t="s">
        <v>26</v>
      </c>
    </row>
    <row r="932" spans="1:18" x14ac:dyDescent="0.35">
      <c r="A932" s="1" t="s">
        <v>963</v>
      </c>
      <c r="B932" s="1" t="str">
        <f t="shared" si="70"/>
        <v>Male</v>
      </c>
      <c r="C932" s="1" t="s">
        <v>52</v>
      </c>
      <c r="D932" s="1" t="str">
        <f t="shared" si="71"/>
        <v>Yes</v>
      </c>
      <c r="E932" s="1" t="s">
        <v>15</v>
      </c>
      <c r="F932" s="1">
        <v>2</v>
      </c>
      <c r="G932" s="1" t="s">
        <v>17</v>
      </c>
      <c r="H932" s="1" t="str">
        <f t="shared" si="72"/>
        <v>Yes</v>
      </c>
      <c r="I932" s="1" t="s">
        <v>29</v>
      </c>
      <c r="J932" s="1">
        <v>6894</v>
      </c>
      <c r="K932" s="1">
        <v>1682</v>
      </c>
      <c r="L932" s="1">
        <v>696</v>
      </c>
      <c r="M932" s="1">
        <f t="shared" si="73"/>
        <v>180</v>
      </c>
      <c r="N932" s="1">
        <v>180</v>
      </c>
      <c r="O932" s="1">
        <f t="shared" si="74"/>
        <v>0</v>
      </c>
      <c r="P932" s="1">
        <v>0</v>
      </c>
      <c r="Q932" s="1" t="s">
        <v>41</v>
      </c>
      <c r="R932" s="1" t="s">
        <v>26</v>
      </c>
    </row>
    <row r="933" spans="1:18" x14ac:dyDescent="0.35">
      <c r="A933" s="1" t="s">
        <v>964</v>
      </c>
      <c r="B933" s="1" t="str">
        <f t="shared" si="70"/>
        <v>Female</v>
      </c>
      <c r="C933" s="1" t="s">
        <v>61</v>
      </c>
      <c r="D933" s="1" t="str">
        <f t="shared" si="71"/>
        <v>No</v>
      </c>
      <c r="E933" s="1"/>
      <c r="F933" s="1">
        <v>2</v>
      </c>
      <c r="G933" s="1" t="s">
        <v>25</v>
      </c>
      <c r="H933" s="1" t="str">
        <f t="shared" si="72"/>
        <v>Yes</v>
      </c>
      <c r="I933" s="1" t="s">
        <v>15</v>
      </c>
      <c r="J933" s="1">
        <v>1848</v>
      </c>
      <c r="K933" s="1">
        <v>9836</v>
      </c>
      <c r="L933" s="1">
        <v>469</v>
      </c>
      <c r="M933" s="1">
        <f t="shared" si="73"/>
        <v>120</v>
      </c>
      <c r="N933" s="1">
        <v>120</v>
      </c>
      <c r="O933" s="1">
        <f t="shared" si="74"/>
        <v>0</v>
      </c>
      <c r="P933" s="1">
        <v>0</v>
      </c>
      <c r="Q933" s="1" t="s">
        <v>30</v>
      </c>
      <c r="R933" s="1" t="s">
        <v>20</v>
      </c>
    </row>
    <row r="934" spans="1:18" x14ac:dyDescent="0.35">
      <c r="A934" s="1" t="s">
        <v>965</v>
      </c>
      <c r="B934" s="1" t="str">
        <f t="shared" si="70"/>
        <v>Female</v>
      </c>
      <c r="C934" s="1" t="s">
        <v>28</v>
      </c>
      <c r="D934" s="1" t="str">
        <f t="shared" si="71"/>
        <v>Yes</v>
      </c>
      <c r="E934" s="1" t="s">
        <v>24</v>
      </c>
      <c r="F934" s="1" t="s">
        <v>16</v>
      </c>
      <c r="G934" s="1" t="s">
        <v>17</v>
      </c>
      <c r="H934" s="1" t="str">
        <f t="shared" si="72"/>
        <v>No</v>
      </c>
      <c r="I934" s="1" t="s">
        <v>36</v>
      </c>
      <c r="J934" s="1">
        <v>7981</v>
      </c>
      <c r="K934" s="1">
        <v>5386</v>
      </c>
      <c r="L934" s="1">
        <v>120</v>
      </c>
      <c r="M934" s="1">
        <f t="shared" si="73"/>
        <v>120</v>
      </c>
      <c r="N934" s="1">
        <v>120</v>
      </c>
      <c r="O934" s="1">
        <f t="shared" si="74"/>
        <v>1</v>
      </c>
      <c r="P934" s="1">
        <v>1</v>
      </c>
      <c r="Q934" s="1" t="s">
        <v>30</v>
      </c>
      <c r="R934" s="1" t="s">
        <v>20</v>
      </c>
    </row>
    <row r="935" spans="1:18" x14ac:dyDescent="0.35">
      <c r="A935" s="1" t="s">
        <v>966</v>
      </c>
      <c r="B935" s="1" t="str">
        <f t="shared" si="70"/>
        <v>Female</v>
      </c>
      <c r="C935" s="1" t="s">
        <v>43</v>
      </c>
      <c r="D935" s="1" t="str">
        <f t="shared" si="71"/>
        <v>No</v>
      </c>
      <c r="E935" s="1" t="s">
        <v>18</v>
      </c>
      <c r="F935" s="1">
        <v>0</v>
      </c>
      <c r="G935" s="1" t="s">
        <v>17</v>
      </c>
      <c r="H935" s="1" t="str">
        <f t="shared" si="72"/>
        <v>No</v>
      </c>
      <c r="I935" s="1"/>
      <c r="J935" s="1">
        <v>12414</v>
      </c>
      <c r="K935" s="1">
        <v>8156</v>
      </c>
      <c r="L935" s="1">
        <v>226</v>
      </c>
      <c r="M935" s="1">
        <f t="shared" si="73"/>
        <v>180</v>
      </c>
      <c r="N935" s="1">
        <v>180</v>
      </c>
      <c r="O935" s="1">
        <f t="shared" si="74"/>
        <v>0</v>
      </c>
      <c r="P935" s="1"/>
      <c r="Q935" s="1" t="s">
        <v>41</v>
      </c>
      <c r="R935" s="1" t="s">
        <v>20</v>
      </c>
    </row>
    <row r="936" spans="1:18" x14ac:dyDescent="0.35">
      <c r="A936" s="1" t="s">
        <v>967</v>
      </c>
      <c r="B936" s="1" t="str">
        <f t="shared" si="70"/>
        <v>Unknown</v>
      </c>
      <c r="C936" s="1"/>
      <c r="D936" s="1" t="str">
        <f t="shared" si="71"/>
        <v>Yes</v>
      </c>
      <c r="E936" s="1" t="s">
        <v>29</v>
      </c>
      <c r="F936" s="1">
        <v>1</v>
      </c>
      <c r="G936" s="1" t="s">
        <v>17</v>
      </c>
      <c r="H936" s="1" t="str">
        <f t="shared" si="72"/>
        <v>Yes</v>
      </c>
      <c r="I936" s="1" t="s">
        <v>24</v>
      </c>
      <c r="J936" s="1">
        <v>13178</v>
      </c>
      <c r="K936" s="1">
        <v>2134</v>
      </c>
      <c r="L936" s="1">
        <v>271</v>
      </c>
      <c r="M936" s="1">
        <f t="shared" si="73"/>
        <v>360</v>
      </c>
      <c r="N936" s="1">
        <v>360</v>
      </c>
      <c r="O936" s="1">
        <f t="shared" si="74"/>
        <v>0</v>
      </c>
      <c r="P936" s="1"/>
      <c r="Q936" s="1" t="s">
        <v>30</v>
      </c>
      <c r="R936" s="1" t="s">
        <v>26</v>
      </c>
    </row>
    <row r="937" spans="1:18" x14ac:dyDescent="0.35">
      <c r="A937" s="1" t="s">
        <v>968</v>
      </c>
      <c r="B937" s="1" t="str">
        <f t="shared" si="70"/>
        <v>Male</v>
      </c>
      <c r="C937" s="1" t="s">
        <v>14</v>
      </c>
      <c r="D937" s="1" t="str">
        <f t="shared" si="71"/>
        <v>No</v>
      </c>
      <c r="E937" s="1" t="s">
        <v>18</v>
      </c>
      <c r="F937" s="1" t="s">
        <v>16</v>
      </c>
      <c r="G937" s="1" t="s">
        <v>25</v>
      </c>
      <c r="H937" s="1" t="str">
        <f t="shared" si="72"/>
        <v>Yes</v>
      </c>
      <c r="I937" s="1" t="s">
        <v>15</v>
      </c>
      <c r="J937" s="1">
        <v>9971</v>
      </c>
      <c r="K937" s="1">
        <v>9767</v>
      </c>
      <c r="L937" s="1">
        <v>437</v>
      </c>
      <c r="M937" s="1">
        <f t="shared" si="73"/>
        <v>120</v>
      </c>
      <c r="N937" s="1">
        <v>120</v>
      </c>
      <c r="O937" s="1">
        <f t="shared" si="74"/>
        <v>0</v>
      </c>
      <c r="P937" s="1">
        <v>0</v>
      </c>
      <c r="Q937" s="1" t="s">
        <v>30</v>
      </c>
      <c r="R937" s="1" t="s">
        <v>20</v>
      </c>
    </row>
    <row r="938" spans="1:18" x14ac:dyDescent="0.35">
      <c r="A938" s="1" t="s">
        <v>969</v>
      </c>
      <c r="B938" s="1" t="str">
        <f t="shared" si="70"/>
        <v>Male</v>
      </c>
      <c r="C938" s="1" t="s">
        <v>14</v>
      </c>
      <c r="D938" s="1" t="str">
        <f t="shared" si="71"/>
        <v>No</v>
      </c>
      <c r="E938" s="1"/>
      <c r="F938" s="1">
        <v>2</v>
      </c>
      <c r="G938" s="1" t="s">
        <v>17</v>
      </c>
      <c r="H938" s="1" t="str">
        <f t="shared" si="72"/>
        <v>No</v>
      </c>
      <c r="I938" s="1"/>
      <c r="J938" s="1">
        <v>7883</v>
      </c>
      <c r="K938" s="1">
        <v>8916</v>
      </c>
      <c r="L938" s="1">
        <v>277</v>
      </c>
      <c r="M938" s="1">
        <f t="shared" si="73"/>
        <v>180</v>
      </c>
      <c r="N938" s="1">
        <v>180</v>
      </c>
      <c r="O938" s="1">
        <f t="shared" si="74"/>
        <v>1</v>
      </c>
      <c r="P938" s="1">
        <v>1</v>
      </c>
      <c r="Q938" s="1" t="s">
        <v>30</v>
      </c>
      <c r="R938" s="1" t="s">
        <v>26</v>
      </c>
    </row>
    <row r="939" spans="1:18" x14ac:dyDescent="0.35">
      <c r="A939" s="1" t="s">
        <v>970</v>
      </c>
      <c r="B939" s="1" t="str">
        <f t="shared" si="70"/>
        <v>Male</v>
      </c>
      <c r="C939" s="1" t="s">
        <v>33</v>
      </c>
      <c r="D939" s="1" t="str">
        <f t="shared" si="71"/>
        <v>No</v>
      </c>
      <c r="E939" s="1"/>
      <c r="F939" s="1">
        <v>1</v>
      </c>
      <c r="G939" s="1" t="s">
        <v>17</v>
      </c>
      <c r="H939" s="1" t="str">
        <f t="shared" si="72"/>
        <v>No</v>
      </c>
      <c r="I939" s="1"/>
      <c r="J939" s="1">
        <v>15491</v>
      </c>
      <c r="K939" s="1">
        <v>5617</v>
      </c>
      <c r="L939" s="1">
        <v>192</v>
      </c>
      <c r="M939" s="1">
        <f t="shared" si="73"/>
        <v>180</v>
      </c>
      <c r="N939" s="1">
        <v>180</v>
      </c>
      <c r="O939" s="1">
        <f t="shared" si="74"/>
        <v>1</v>
      </c>
      <c r="P939" s="1">
        <v>1</v>
      </c>
      <c r="Q939" s="1" t="s">
        <v>30</v>
      </c>
      <c r="R939" s="1" t="s">
        <v>20</v>
      </c>
    </row>
    <row r="940" spans="1:18" x14ac:dyDescent="0.35">
      <c r="A940" s="1" t="s">
        <v>971</v>
      </c>
      <c r="B940" s="1" t="str">
        <f t="shared" si="70"/>
        <v>Male</v>
      </c>
      <c r="C940" s="1" t="s">
        <v>14</v>
      </c>
      <c r="D940" s="1" t="str">
        <f t="shared" si="71"/>
        <v>No</v>
      </c>
      <c r="E940" s="1" t="s">
        <v>22</v>
      </c>
      <c r="F940" s="1">
        <v>1</v>
      </c>
      <c r="G940" s="1" t="s">
        <v>25</v>
      </c>
      <c r="H940" s="1" t="str">
        <f t="shared" si="72"/>
        <v>No</v>
      </c>
      <c r="I940" s="1"/>
      <c r="J940" s="1">
        <v>6369</v>
      </c>
      <c r="K940" s="1">
        <v>9658</v>
      </c>
      <c r="L940" s="1">
        <v>106</v>
      </c>
      <c r="M940" s="1">
        <f t="shared" si="73"/>
        <v>180</v>
      </c>
      <c r="N940" s="1">
        <v>180</v>
      </c>
      <c r="O940" s="1">
        <f t="shared" si="74"/>
        <v>0</v>
      </c>
      <c r="P940" s="1">
        <v>0</v>
      </c>
      <c r="Q940" s="1" t="s">
        <v>19</v>
      </c>
      <c r="R940" s="1" t="s">
        <v>20</v>
      </c>
    </row>
    <row r="941" spans="1:18" x14ac:dyDescent="0.35">
      <c r="A941" s="1" t="s">
        <v>972</v>
      </c>
      <c r="B941" s="1" t="str">
        <f t="shared" si="70"/>
        <v>Female</v>
      </c>
      <c r="C941" s="1" t="s">
        <v>61</v>
      </c>
      <c r="D941" s="1" t="str">
        <f t="shared" si="71"/>
        <v>Yes</v>
      </c>
      <c r="E941" s="1" t="s">
        <v>29</v>
      </c>
      <c r="F941" s="1" t="s">
        <v>16</v>
      </c>
      <c r="G941" s="1" t="s">
        <v>25</v>
      </c>
      <c r="H941" s="1" t="str">
        <f t="shared" si="72"/>
        <v>Yes</v>
      </c>
      <c r="I941" s="1" t="s">
        <v>24</v>
      </c>
      <c r="J941" s="1">
        <v>19815</v>
      </c>
      <c r="K941" s="1">
        <v>7306</v>
      </c>
      <c r="L941" s="1">
        <v>107</v>
      </c>
      <c r="M941" s="1">
        <f t="shared" si="73"/>
        <v>360</v>
      </c>
      <c r="N941" s="1">
        <v>360</v>
      </c>
      <c r="O941" s="1">
        <f t="shared" si="74"/>
        <v>1</v>
      </c>
      <c r="P941" s="1">
        <v>1</v>
      </c>
      <c r="Q941" s="1" t="s">
        <v>19</v>
      </c>
      <c r="R941" s="1" t="s">
        <v>26</v>
      </c>
    </row>
    <row r="942" spans="1:18" x14ac:dyDescent="0.35">
      <c r="A942" s="1" t="s">
        <v>973</v>
      </c>
      <c r="B942" s="1" t="str">
        <f t="shared" si="70"/>
        <v>Unknown</v>
      </c>
      <c r="C942" s="1"/>
      <c r="D942" s="1" t="str">
        <f t="shared" si="71"/>
        <v>No</v>
      </c>
      <c r="E942" s="1" t="s">
        <v>36</v>
      </c>
      <c r="F942" s="1" t="s">
        <v>16</v>
      </c>
      <c r="G942" s="1" t="s">
        <v>25</v>
      </c>
      <c r="H942" s="1" t="str">
        <f t="shared" si="72"/>
        <v>No</v>
      </c>
      <c r="I942" s="1" t="s">
        <v>22</v>
      </c>
      <c r="J942" s="1">
        <v>17675</v>
      </c>
      <c r="K942" s="1">
        <v>1295</v>
      </c>
      <c r="L942" s="1">
        <v>283</v>
      </c>
      <c r="M942" s="1">
        <f t="shared" si="73"/>
        <v>360</v>
      </c>
      <c r="N942" s="1"/>
      <c r="O942" s="1">
        <f t="shared" si="74"/>
        <v>1</v>
      </c>
      <c r="P942" s="1">
        <v>1</v>
      </c>
      <c r="Q942" s="1" t="s">
        <v>30</v>
      </c>
      <c r="R942" s="1" t="s">
        <v>20</v>
      </c>
    </row>
    <row r="943" spans="1:18" x14ac:dyDescent="0.35">
      <c r="A943" s="1" t="s">
        <v>974</v>
      </c>
      <c r="B943" s="1" t="str">
        <f t="shared" si="70"/>
        <v>Unknown</v>
      </c>
      <c r="C943" s="1"/>
      <c r="D943" s="1" t="str">
        <f t="shared" si="71"/>
        <v>No</v>
      </c>
      <c r="E943" s="1" t="s">
        <v>22</v>
      </c>
      <c r="F943" s="1">
        <v>1</v>
      </c>
      <c r="G943" s="1" t="s">
        <v>25</v>
      </c>
      <c r="H943" s="1" t="str">
        <f t="shared" si="72"/>
        <v>No</v>
      </c>
      <c r="I943" s="1"/>
      <c r="J943" s="1">
        <v>16062</v>
      </c>
      <c r="K943" s="1">
        <v>7841</v>
      </c>
      <c r="L943" s="1">
        <v>340</v>
      </c>
      <c r="M943" s="1">
        <f t="shared" si="73"/>
        <v>360</v>
      </c>
      <c r="N943" s="1">
        <v>360</v>
      </c>
      <c r="O943" s="1">
        <f t="shared" si="74"/>
        <v>0</v>
      </c>
      <c r="P943" s="1"/>
      <c r="Q943" s="1" t="s">
        <v>19</v>
      </c>
      <c r="R943" s="1" t="s">
        <v>26</v>
      </c>
    </row>
    <row r="944" spans="1:18" x14ac:dyDescent="0.35">
      <c r="A944" s="1" t="s">
        <v>975</v>
      </c>
      <c r="B944" s="1" t="str">
        <f t="shared" si="70"/>
        <v>Male</v>
      </c>
      <c r="C944" s="1" t="s">
        <v>14</v>
      </c>
      <c r="D944" s="1" t="str">
        <f t="shared" si="71"/>
        <v>No</v>
      </c>
      <c r="E944" s="1" t="s">
        <v>22</v>
      </c>
      <c r="F944" s="1">
        <v>2</v>
      </c>
      <c r="G944" s="1" t="s">
        <v>25</v>
      </c>
      <c r="H944" s="1" t="str">
        <f t="shared" si="72"/>
        <v>No</v>
      </c>
      <c r="I944" s="1" t="s">
        <v>36</v>
      </c>
      <c r="J944" s="1">
        <v>6128</v>
      </c>
      <c r="K944" s="1">
        <v>6300</v>
      </c>
      <c r="L944" s="1">
        <v>395</v>
      </c>
      <c r="M944" s="1">
        <f t="shared" si="73"/>
        <v>360</v>
      </c>
      <c r="N944" s="1"/>
      <c r="O944" s="1">
        <f t="shared" si="74"/>
        <v>1</v>
      </c>
      <c r="P944" s="1">
        <v>1</v>
      </c>
      <c r="Q944" s="1" t="s">
        <v>41</v>
      </c>
      <c r="R944" s="1" t="s">
        <v>20</v>
      </c>
    </row>
    <row r="945" spans="1:18" x14ac:dyDescent="0.35">
      <c r="A945" s="1" t="s">
        <v>976</v>
      </c>
      <c r="B945" s="1" t="str">
        <f t="shared" si="70"/>
        <v>Male</v>
      </c>
      <c r="C945" s="1" t="s">
        <v>52</v>
      </c>
      <c r="D945" s="1" t="str">
        <f t="shared" si="71"/>
        <v>No</v>
      </c>
      <c r="E945" s="1"/>
      <c r="F945" s="1">
        <v>1</v>
      </c>
      <c r="G945" s="1" t="s">
        <v>25</v>
      </c>
      <c r="H945" s="1" t="str">
        <f t="shared" si="72"/>
        <v>Yes</v>
      </c>
      <c r="I945" s="1" t="s">
        <v>29</v>
      </c>
      <c r="J945" s="1">
        <v>14230</v>
      </c>
      <c r="K945" s="1">
        <v>9684</v>
      </c>
      <c r="L945" s="1">
        <v>533</v>
      </c>
      <c r="M945" s="1">
        <f t="shared" si="73"/>
        <v>360</v>
      </c>
      <c r="N945" s="1"/>
      <c r="O945" s="1">
        <f t="shared" si="74"/>
        <v>1</v>
      </c>
      <c r="P945" s="1">
        <v>1</v>
      </c>
      <c r="Q945" s="1" t="s">
        <v>41</v>
      </c>
      <c r="R945" s="1" t="s">
        <v>20</v>
      </c>
    </row>
    <row r="946" spans="1:18" x14ac:dyDescent="0.35">
      <c r="A946" s="1" t="s">
        <v>977</v>
      </c>
      <c r="B946" s="1" t="str">
        <f t="shared" si="70"/>
        <v>Unknown</v>
      </c>
      <c r="C946" s="1"/>
      <c r="D946" s="1" t="str">
        <f t="shared" si="71"/>
        <v>Yes</v>
      </c>
      <c r="E946" s="1" t="s">
        <v>29</v>
      </c>
      <c r="F946" s="1">
        <v>2</v>
      </c>
      <c r="G946" s="1" t="s">
        <v>17</v>
      </c>
      <c r="H946" s="1" t="str">
        <f t="shared" si="72"/>
        <v>Yes</v>
      </c>
      <c r="I946" s="1" t="s">
        <v>24</v>
      </c>
      <c r="J946" s="1">
        <v>12001</v>
      </c>
      <c r="K946" s="1">
        <v>5435</v>
      </c>
      <c r="L946" s="1">
        <v>351</v>
      </c>
      <c r="M946" s="1">
        <f t="shared" si="73"/>
        <v>360</v>
      </c>
      <c r="N946" s="1">
        <v>360</v>
      </c>
      <c r="O946" s="1">
        <f t="shared" si="74"/>
        <v>0</v>
      </c>
      <c r="P946" s="1">
        <v>0</v>
      </c>
      <c r="Q946" s="1" t="s">
        <v>19</v>
      </c>
      <c r="R946" s="1" t="s">
        <v>26</v>
      </c>
    </row>
    <row r="947" spans="1:18" x14ac:dyDescent="0.35">
      <c r="A947" s="1" t="s">
        <v>978</v>
      </c>
      <c r="B947" s="1" t="str">
        <f t="shared" si="70"/>
        <v>Unknown</v>
      </c>
      <c r="C947" s="1"/>
      <c r="D947" s="1" t="str">
        <f t="shared" si="71"/>
        <v>No</v>
      </c>
      <c r="E947" s="1"/>
      <c r="F947" s="1">
        <v>1</v>
      </c>
      <c r="G947" s="1" t="s">
        <v>17</v>
      </c>
      <c r="H947" s="1" t="str">
        <f t="shared" si="72"/>
        <v>No</v>
      </c>
      <c r="I947" s="1" t="s">
        <v>36</v>
      </c>
      <c r="J947" s="1">
        <v>7121</v>
      </c>
      <c r="K947" s="1">
        <v>8312</v>
      </c>
      <c r="L947" s="1">
        <v>577</v>
      </c>
      <c r="M947" s="1">
        <f t="shared" si="73"/>
        <v>180</v>
      </c>
      <c r="N947" s="1">
        <v>180</v>
      </c>
      <c r="O947" s="1">
        <f t="shared" si="74"/>
        <v>0</v>
      </c>
      <c r="P947" s="1"/>
      <c r="Q947" s="1" t="s">
        <v>41</v>
      </c>
      <c r="R947" s="1" t="s">
        <v>20</v>
      </c>
    </row>
    <row r="948" spans="1:18" x14ac:dyDescent="0.35">
      <c r="A948" s="1" t="s">
        <v>979</v>
      </c>
      <c r="B948" s="1" t="str">
        <f t="shared" si="70"/>
        <v>Unknown</v>
      </c>
      <c r="C948" s="1"/>
      <c r="D948" s="1" t="str">
        <f t="shared" si="71"/>
        <v>No</v>
      </c>
      <c r="E948" s="1"/>
      <c r="F948" s="1">
        <v>1</v>
      </c>
      <c r="G948" s="1" t="s">
        <v>25</v>
      </c>
      <c r="H948" s="1" t="str">
        <f t="shared" si="72"/>
        <v>Yes</v>
      </c>
      <c r="I948" s="1" t="s">
        <v>15</v>
      </c>
      <c r="J948" s="1">
        <v>5296</v>
      </c>
      <c r="K948" s="1">
        <v>2335</v>
      </c>
      <c r="L948" s="1">
        <v>339</v>
      </c>
      <c r="M948" s="1">
        <f t="shared" si="73"/>
        <v>360</v>
      </c>
      <c r="N948" s="1"/>
      <c r="O948" s="1">
        <f t="shared" si="74"/>
        <v>0</v>
      </c>
      <c r="P948" s="1">
        <v>0</v>
      </c>
      <c r="Q948" s="1" t="s">
        <v>30</v>
      </c>
      <c r="R948" s="1" t="s">
        <v>20</v>
      </c>
    </row>
    <row r="949" spans="1:18" x14ac:dyDescent="0.35">
      <c r="A949" s="1" t="s">
        <v>980</v>
      </c>
      <c r="B949" s="1" t="str">
        <f t="shared" si="70"/>
        <v>Male</v>
      </c>
      <c r="C949" s="1" t="s">
        <v>33</v>
      </c>
      <c r="D949" s="1" t="str">
        <f t="shared" si="71"/>
        <v>Yes</v>
      </c>
      <c r="E949" s="1" t="s">
        <v>15</v>
      </c>
      <c r="F949" s="1">
        <v>2</v>
      </c>
      <c r="G949" s="1" t="s">
        <v>17</v>
      </c>
      <c r="H949" s="1" t="str">
        <f t="shared" si="72"/>
        <v>Yes</v>
      </c>
      <c r="I949" s="1" t="s">
        <v>24</v>
      </c>
      <c r="J949" s="1">
        <v>4830</v>
      </c>
      <c r="K949" s="1">
        <v>8063</v>
      </c>
      <c r="L949" s="1">
        <v>655</v>
      </c>
      <c r="M949" s="1">
        <f t="shared" si="73"/>
        <v>180</v>
      </c>
      <c r="N949" s="1">
        <v>180</v>
      </c>
      <c r="O949" s="1">
        <f t="shared" si="74"/>
        <v>0</v>
      </c>
      <c r="P949" s="1"/>
      <c r="Q949" s="1" t="s">
        <v>41</v>
      </c>
      <c r="R949" s="1" t="s">
        <v>26</v>
      </c>
    </row>
    <row r="950" spans="1:18" x14ac:dyDescent="0.35">
      <c r="A950" s="1" t="s">
        <v>981</v>
      </c>
      <c r="B950" s="1" t="str">
        <f t="shared" si="70"/>
        <v>Male</v>
      </c>
      <c r="C950" s="1" t="s">
        <v>33</v>
      </c>
      <c r="D950" s="1" t="str">
        <f t="shared" si="71"/>
        <v>No</v>
      </c>
      <c r="E950" s="1"/>
      <c r="F950" s="1" t="s">
        <v>16</v>
      </c>
      <c r="G950" s="1" t="s">
        <v>25</v>
      </c>
      <c r="H950" s="1" t="str">
        <f t="shared" si="72"/>
        <v>Yes</v>
      </c>
      <c r="I950" s="1" t="s">
        <v>29</v>
      </c>
      <c r="J950" s="1">
        <v>9503</v>
      </c>
      <c r="K950" s="1">
        <v>1998</v>
      </c>
      <c r="L950" s="1">
        <v>84</v>
      </c>
      <c r="M950" s="1">
        <f t="shared" si="73"/>
        <v>120</v>
      </c>
      <c r="N950" s="1">
        <v>120</v>
      </c>
      <c r="O950" s="1">
        <f t="shared" si="74"/>
        <v>0</v>
      </c>
      <c r="P950" s="1"/>
      <c r="Q950" s="1" t="s">
        <v>41</v>
      </c>
      <c r="R950" s="1" t="s">
        <v>20</v>
      </c>
    </row>
    <row r="951" spans="1:18" x14ac:dyDescent="0.35">
      <c r="A951" s="1" t="s">
        <v>982</v>
      </c>
      <c r="B951" s="1" t="str">
        <f t="shared" si="70"/>
        <v>Unknown</v>
      </c>
      <c r="C951" s="1"/>
      <c r="D951" s="1" t="str">
        <f t="shared" si="71"/>
        <v>No</v>
      </c>
      <c r="E951" s="1"/>
      <c r="F951" s="1" t="s">
        <v>16</v>
      </c>
      <c r="G951" s="1" t="s">
        <v>17</v>
      </c>
      <c r="H951" s="1" t="str">
        <f t="shared" si="72"/>
        <v>Yes</v>
      </c>
      <c r="I951" s="1" t="s">
        <v>24</v>
      </c>
      <c r="J951" s="1">
        <v>13305</v>
      </c>
      <c r="K951" s="1">
        <v>7549</v>
      </c>
      <c r="L951" s="1">
        <v>343</v>
      </c>
      <c r="M951" s="1">
        <f t="shared" si="73"/>
        <v>360</v>
      </c>
      <c r="N951" s="1"/>
      <c r="O951" s="1">
        <f t="shared" si="74"/>
        <v>0</v>
      </c>
      <c r="P951" s="1">
        <v>0</v>
      </c>
      <c r="Q951" s="1" t="s">
        <v>30</v>
      </c>
      <c r="R951" s="1" t="s">
        <v>20</v>
      </c>
    </row>
    <row r="952" spans="1:18" x14ac:dyDescent="0.35">
      <c r="A952" s="1" t="s">
        <v>983</v>
      </c>
      <c r="B952" s="1" t="str">
        <f t="shared" si="70"/>
        <v>Female</v>
      </c>
      <c r="C952" s="1" t="s">
        <v>43</v>
      </c>
      <c r="D952" s="1" t="str">
        <f t="shared" si="71"/>
        <v>No</v>
      </c>
      <c r="E952" s="1" t="s">
        <v>22</v>
      </c>
      <c r="F952" s="1" t="s">
        <v>16</v>
      </c>
      <c r="G952" s="1" t="s">
        <v>17</v>
      </c>
      <c r="H952" s="1" t="str">
        <f t="shared" si="72"/>
        <v>No</v>
      </c>
      <c r="I952" s="1"/>
      <c r="J952" s="1">
        <v>2568</v>
      </c>
      <c r="K952" s="1">
        <v>2901</v>
      </c>
      <c r="L952" s="1">
        <v>469</v>
      </c>
      <c r="M952" s="1">
        <f t="shared" si="73"/>
        <v>360</v>
      </c>
      <c r="N952" s="1">
        <v>360</v>
      </c>
      <c r="O952" s="1">
        <f t="shared" si="74"/>
        <v>1</v>
      </c>
      <c r="P952" s="1">
        <v>1</v>
      </c>
      <c r="Q952" s="1" t="s">
        <v>30</v>
      </c>
      <c r="R952" s="1" t="s">
        <v>20</v>
      </c>
    </row>
    <row r="953" spans="1:18" x14ac:dyDescent="0.35">
      <c r="A953" s="1" t="s">
        <v>984</v>
      </c>
      <c r="B953" s="1" t="str">
        <f t="shared" si="70"/>
        <v>Male</v>
      </c>
      <c r="C953" s="1" t="s">
        <v>14</v>
      </c>
      <c r="D953" s="1" t="str">
        <f t="shared" si="71"/>
        <v>Yes</v>
      </c>
      <c r="E953" s="1" t="s">
        <v>29</v>
      </c>
      <c r="F953" s="1">
        <v>1</v>
      </c>
      <c r="G953" s="1" t="s">
        <v>25</v>
      </c>
      <c r="H953" s="1" t="str">
        <f t="shared" si="72"/>
        <v>No</v>
      </c>
      <c r="I953" s="1" t="s">
        <v>22</v>
      </c>
      <c r="J953" s="1">
        <v>12721</v>
      </c>
      <c r="K953" s="1">
        <v>894</v>
      </c>
      <c r="L953" s="1">
        <v>237</v>
      </c>
      <c r="M953" s="1">
        <f t="shared" si="73"/>
        <v>180</v>
      </c>
      <c r="N953" s="1">
        <v>180</v>
      </c>
      <c r="O953" s="1">
        <f t="shared" si="74"/>
        <v>0</v>
      </c>
      <c r="P953" s="1"/>
      <c r="Q953" s="1" t="s">
        <v>30</v>
      </c>
      <c r="R953" s="1" t="s">
        <v>20</v>
      </c>
    </row>
    <row r="954" spans="1:18" x14ac:dyDescent="0.35">
      <c r="A954" s="1" t="s">
        <v>985</v>
      </c>
      <c r="B954" s="1" t="str">
        <f t="shared" si="70"/>
        <v>Male</v>
      </c>
      <c r="C954" s="1" t="s">
        <v>14</v>
      </c>
      <c r="D954" s="1" t="str">
        <f t="shared" si="71"/>
        <v>No</v>
      </c>
      <c r="E954" s="1" t="s">
        <v>22</v>
      </c>
      <c r="F954" s="1">
        <v>2</v>
      </c>
      <c r="G954" s="1" t="s">
        <v>17</v>
      </c>
      <c r="H954" s="1" t="str">
        <f t="shared" si="72"/>
        <v>No</v>
      </c>
      <c r="I954" s="1"/>
      <c r="J954" s="1">
        <v>16431</v>
      </c>
      <c r="K954" s="1">
        <v>2726</v>
      </c>
      <c r="L954" s="1">
        <v>146</v>
      </c>
      <c r="M954" s="1">
        <f t="shared" si="73"/>
        <v>360</v>
      </c>
      <c r="N954" s="1"/>
      <c r="O954" s="1">
        <f t="shared" si="74"/>
        <v>0</v>
      </c>
      <c r="P954" s="1">
        <v>0</v>
      </c>
      <c r="Q954" s="1" t="s">
        <v>19</v>
      </c>
      <c r="R954" s="1" t="s">
        <v>20</v>
      </c>
    </row>
    <row r="955" spans="1:18" x14ac:dyDescent="0.35">
      <c r="A955" s="1" t="s">
        <v>986</v>
      </c>
      <c r="B955" s="1" t="str">
        <f t="shared" si="70"/>
        <v>Unknown</v>
      </c>
      <c r="C955" s="1"/>
      <c r="D955" s="1" t="str">
        <f t="shared" si="71"/>
        <v>No</v>
      </c>
      <c r="E955" s="1" t="s">
        <v>36</v>
      </c>
      <c r="F955" s="1">
        <v>2</v>
      </c>
      <c r="G955" s="1" t="s">
        <v>17</v>
      </c>
      <c r="H955" s="1" t="str">
        <f t="shared" si="72"/>
        <v>No</v>
      </c>
      <c r="I955" s="1"/>
      <c r="J955" s="1">
        <v>18394</v>
      </c>
      <c r="K955" s="1">
        <v>4427</v>
      </c>
      <c r="L955" s="1">
        <v>613</v>
      </c>
      <c r="M955" s="1">
        <f t="shared" si="73"/>
        <v>360</v>
      </c>
      <c r="N955" s="1"/>
      <c r="O955" s="1">
        <f t="shared" si="74"/>
        <v>1</v>
      </c>
      <c r="P955" s="1">
        <v>1</v>
      </c>
      <c r="Q955" s="1" t="s">
        <v>41</v>
      </c>
      <c r="R955" s="1" t="s">
        <v>20</v>
      </c>
    </row>
    <row r="956" spans="1:18" x14ac:dyDescent="0.35">
      <c r="A956" s="1" t="s">
        <v>987</v>
      </c>
      <c r="B956" s="1" t="str">
        <f t="shared" si="70"/>
        <v>Unknown</v>
      </c>
      <c r="C956" s="1"/>
      <c r="D956" s="1" t="str">
        <f t="shared" si="71"/>
        <v>Yes</v>
      </c>
      <c r="E956" s="1" t="s">
        <v>29</v>
      </c>
      <c r="F956" s="1" t="s">
        <v>16</v>
      </c>
      <c r="G956" s="1" t="s">
        <v>17</v>
      </c>
      <c r="H956" s="1" t="str">
        <f t="shared" si="72"/>
        <v>No</v>
      </c>
      <c r="I956" s="1" t="s">
        <v>22</v>
      </c>
      <c r="J956" s="1">
        <v>4866</v>
      </c>
      <c r="K956" s="1">
        <v>6345</v>
      </c>
      <c r="L956" s="1">
        <v>472</v>
      </c>
      <c r="M956" s="1">
        <f t="shared" si="73"/>
        <v>120</v>
      </c>
      <c r="N956" s="1">
        <v>120</v>
      </c>
      <c r="O956" s="1">
        <f t="shared" si="74"/>
        <v>1</v>
      </c>
      <c r="P956" s="1">
        <v>1</v>
      </c>
      <c r="Q956" s="1" t="s">
        <v>30</v>
      </c>
      <c r="R956" s="1" t="s">
        <v>20</v>
      </c>
    </row>
    <row r="957" spans="1:18" x14ac:dyDescent="0.35">
      <c r="A957" s="1" t="s">
        <v>988</v>
      </c>
      <c r="B957" s="1" t="str">
        <f t="shared" si="70"/>
        <v>Male</v>
      </c>
      <c r="C957" s="1" t="s">
        <v>33</v>
      </c>
      <c r="D957" s="1" t="str">
        <f t="shared" si="71"/>
        <v>No</v>
      </c>
      <c r="E957" s="1"/>
      <c r="F957" s="1">
        <v>2</v>
      </c>
      <c r="G957" s="1" t="s">
        <v>17</v>
      </c>
      <c r="H957" s="1" t="str">
        <f t="shared" si="72"/>
        <v>No</v>
      </c>
      <c r="I957" s="1" t="s">
        <v>18</v>
      </c>
      <c r="J957" s="1">
        <v>11570</v>
      </c>
      <c r="K957" s="1">
        <v>3379</v>
      </c>
      <c r="L957" s="1">
        <v>285</v>
      </c>
      <c r="M957" s="1">
        <f t="shared" si="73"/>
        <v>180</v>
      </c>
      <c r="N957" s="1">
        <v>180</v>
      </c>
      <c r="O957" s="1">
        <f t="shared" si="74"/>
        <v>0</v>
      </c>
      <c r="P957" s="1">
        <v>0</v>
      </c>
      <c r="Q957" s="1" t="s">
        <v>30</v>
      </c>
      <c r="R957" s="1" t="s">
        <v>26</v>
      </c>
    </row>
    <row r="958" spans="1:18" x14ac:dyDescent="0.35">
      <c r="A958" s="1" t="s">
        <v>989</v>
      </c>
      <c r="B958" s="1" t="str">
        <f t="shared" si="70"/>
        <v>Unknown</v>
      </c>
      <c r="C958" s="1"/>
      <c r="D958" s="1" t="str">
        <f t="shared" si="71"/>
        <v>Yes</v>
      </c>
      <c r="E958" s="1" t="s">
        <v>29</v>
      </c>
      <c r="F958" s="1">
        <v>1</v>
      </c>
      <c r="G958" s="1" t="s">
        <v>17</v>
      </c>
      <c r="H958" s="1" t="str">
        <f t="shared" si="72"/>
        <v>Yes</v>
      </c>
      <c r="I958" s="1" t="s">
        <v>29</v>
      </c>
      <c r="J958" s="1">
        <v>9468</v>
      </c>
      <c r="K958" s="1">
        <v>7147</v>
      </c>
      <c r="L958" s="1">
        <v>230</v>
      </c>
      <c r="M958" s="1">
        <f t="shared" si="73"/>
        <v>180</v>
      </c>
      <c r="N958" s="1">
        <v>180</v>
      </c>
      <c r="O958" s="1">
        <f t="shared" si="74"/>
        <v>0</v>
      </c>
      <c r="P958" s="1">
        <v>0</v>
      </c>
      <c r="Q958" s="1" t="s">
        <v>30</v>
      </c>
      <c r="R958" s="1" t="s">
        <v>20</v>
      </c>
    </row>
    <row r="959" spans="1:18" x14ac:dyDescent="0.35">
      <c r="A959" s="1" t="s">
        <v>990</v>
      </c>
      <c r="B959" s="1" t="str">
        <f t="shared" si="70"/>
        <v>Male</v>
      </c>
      <c r="C959" s="1" t="s">
        <v>14</v>
      </c>
      <c r="D959" s="1" t="str">
        <f t="shared" si="71"/>
        <v>Yes</v>
      </c>
      <c r="E959" s="1" t="s">
        <v>15</v>
      </c>
      <c r="F959" s="1" t="s">
        <v>16</v>
      </c>
      <c r="G959" s="1" t="s">
        <v>25</v>
      </c>
      <c r="H959" s="1" t="str">
        <f t="shared" si="72"/>
        <v>No</v>
      </c>
      <c r="I959" s="1" t="s">
        <v>22</v>
      </c>
      <c r="J959" s="1">
        <v>19153</v>
      </c>
      <c r="K959" s="1">
        <v>3267</v>
      </c>
      <c r="L959" s="1">
        <v>97</v>
      </c>
      <c r="M959" s="1">
        <f t="shared" si="73"/>
        <v>120</v>
      </c>
      <c r="N959" s="1">
        <v>120</v>
      </c>
      <c r="O959" s="1">
        <f t="shared" si="74"/>
        <v>1</v>
      </c>
      <c r="P959" s="1">
        <v>1</v>
      </c>
      <c r="Q959" s="1" t="s">
        <v>19</v>
      </c>
      <c r="R959" s="1" t="s">
        <v>20</v>
      </c>
    </row>
    <row r="960" spans="1:18" x14ac:dyDescent="0.35">
      <c r="A960" s="1" t="s">
        <v>991</v>
      </c>
      <c r="B960" s="1" t="str">
        <f t="shared" si="70"/>
        <v>Unknown</v>
      </c>
      <c r="C960" s="1"/>
      <c r="D960" s="1" t="str">
        <f t="shared" si="71"/>
        <v>Yes</v>
      </c>
      <c r="E960" s="1" t="s">
        <v>29</v>
      </c>
      <c r="F960" s="1">
        <v>0</v>
      </c>
      <c r="G960" s="1" t="s">
        <v>25</v>
      </c>
      <c r="H960" s="1" t="str">
        <f t="shared" si="72"/>
        <v>No</v>
      </c>
      <c r="I960" s="1"/>
      <c r="J960" s="1">
        <v>19011</v>
      </c>
      <c r="K960" s="1">
        <v>5098</v>
      </c>
      <c r="L960" s="1">
        <v>615</v>
      </c>
      <c r="M960" s="1">
        <f t="shared" si="73"/>
        <v>360</v>
      </c>
      <c r="N960" s="1"/>
      <c r="O960" s="1">
        <f t="shared" si="74"/>
        <v>0</v>
      </c>
      <c r="P960" s="1">
        <v>0</v>
      </c>
      <c r="Q960" s="1" t="s">
        <v>41</v>
      </c>
      <c r="R960" s="1" t="s">
        <v>26</v>
      </c>
    </row>
    <row r="961" spans="1:18" x14ac:dyDescent="0.35">
      <c r="A961" s="1" t="s">
        <v>992</v>
      </c>
      <c r="B961" s="1" t="str">
        <f t="shared" si="70"/>
        <v>Unknown</v>
      </c>
      <c r="C961" s="1"/>
      <c r="D961" s="1" t="str">
        <f t="shared" si="71"/>
        <v>No</v>
      </c>
      <c r="E961" s="1" t="s">
        <v>18</v>
      </c>
      <c r="F961" s="1" t="s">
        <v>16</v>
      </c>
      <c r="G961" s="1" t="s">
        <v>17</v>
      </c>
      <c r="H961" s="1" t="str">
        <f t="shared" si="72"/>
        <v>No</v>
      </c>
      <c r="I961" s="1"/>
      <c r="J961" s="1">
        <v>2203</v>
      </c>
      <c r="K961" s="1">
        <v>7407</v>
      </c>
      <c r="L961" s="1">
        <v>89</v>
      </c>
      <c r="M961" s="1">
        <f t="shared" si="73"/>
        <v>180</v>
      </c>
      <c r="N961" s="1">
        <v>180</v>
      </c>
      <c r="O961" s="1">
        <f t="shared" si="74"/>
        <v>0</v>
      </c>
      <c r="P961" s="1">
        <v>0</v>
      </c>
      <c r="Q961" s="1" t="s">
        <v>19</v>
      </c>
      <c r="R961" s="1" t="s">
        <v>26</v>
      </c>
    </row>
    <row r="962" spans="1:18" x14ac:dyDescent="0.35">
      <c r="A962" s="1" t="s">
        <v>993</v>
      </c>
      <c r="B962" s="1" t="str">
        <f t="shared" ref="B962:B1025" si="75">IF(ISBLANK(C962),"Unknown", IF(LOWER(TRIM(C962))="male","Male","Female"))</f>
        <v>Female</v>
      </c>
      <c r="C962" s="1" t="s">
        <v>43</v>
      </c>
      <c r="D962" s="1" t="str">
        <f t="shared" ref="D962:D1025" si="76">IF(ISBLANK(E962),"No",PROPER(TRIM(E962)))</f>
        <v>Yes</v>
      </c>
      <c r="E962" s="1" t="s">
        <v>24</v>
      </c>
      <c r="F962" s="1">
        <v>2</v>
      </c>
      <c r="G962" s="1" t="s">
        <v>25</v>
      </c>
      <c r="H962" s="1" t="str">
        <f t="shared" ref="H962:H1025" si="77">IF(ISBLANK(I962),"No",PROPER(TRIM(I962)))</f>
        <v>Yes</v>
      </c>
      <c r="I962" s="1" t="s">
        <v>24</v>
      </c>
      <c r="J962" s="1">
        <v>5544</v>
      </c>
      <c r="K962" s="1">
        <v>7642</v>
      </c>
      <c r="L962" s="1">
        <v>563</v>
      </c>
      <c r="M962" s="1">
        <f t="shared" ref="M962:M1025" si="78">IF(ISBLANK(N962),360,N962)</f>
        <v>120</v>
      </c>
      <c r="N962" s="1">
        <v>120</v>
      </c>
      <c r="O962" s="1">
        <f t="shared" ref="O962:O1025" si="79">IF(ISBLANK(P962),0,P962)</f>
        <v>0</v>
      </c>
      <c r="P962" s="1">
        <v>0</v>
      </c>
      <c r="Q962" s="1" t="s">
        <v>41</v>
      </c>
      <c r="R962" s="1" t="s">
        <v>26</v>
      </c>
    </row>
    <row r="963" spans="1:18" x14ac:dyDescent="0.35">
      <c r="A963" s="1" t="s">
        <v>994</v>
      </c>
      <c r="B963" s="1" t="str">
        <f t="shared" si="75"/>
        <v>Female</v>
      </c>
      <c r="C963" s="1" t="s">
        <v>61</v>
      </c>
      <c r="D963" s="1" t="str">
        <f t="shared" si="76"/>
        <v>No</v>
      </c>
      <c r="E963" s="1"/>
      <c r="F963" s="1">
        <v>0</v>
      </c>
      <c r="G963" s="1" t="s">
        <v>17</v>
      </c>
      <c r="H963" s="1" t="str">
        <f t="shared" si="77"/>
        <v>No</v>
      </c>
      <c r="I963" s="1"/>
      <c r="J963" s="1">
        <v>5557</v>
      </c>
      <c r="K963" s="1">
        <v>7020</v>
      </c>
      <c r="L963" s="1">
        <v>562</v>
      </c>
      <c r="M963" s="1">
        <f t="shared" si="78"/>
        <v>360</v>
      </c>
      <c r="N963" s="1">
        <v>360</v>
      </c>
      <c r="O963" s="1">
        <f t="shared" si="79"/>
        <v>1</v>
      </c>
      <c r="P963" s="1">
        <v>1</v>
      </c>
      <c r="Q963" s="1" t="s">
        <v>41</v>
      </c>
      <c r="R963" s="1" t="s">
        <v>26</v>
      </c>
    </row>
    <row r="964" spans="1:18" x14ac:dyDescent="0.35">
      <c r="A964" s="1" t="s">
        <v>995</v>
      </c>
      <c r="B964" s="1" t="str">
        <f t="shared" si="75"/>
        <v>Female</v>
      </c>
      <c r="C964" s="1" t="s">
        <v>61</v>
      </c>
      <c r="D964" s="1" t="str">
        <f t="shared" si="76"/>
        <v>Yes</v>
      </c>
      <c r="E964" s="1" t="s">
        <v>24</v>
      </c>
      <c r="F964" s="1" t="s">
        <v>16</v>
      </c>
      <c r="G964" s="1" t="s">
        <v>25</v>
      </c>
      <c r="H964" s="1" t="str">
        <f t="shared" si="77"/>
        <v>Yes</v>
      </c>
      <c r="I964" s="1" t="s">
        <v>24</v>
      </c>
      <c r="J964" s="1">
        <v>11695</v>
      </c>
      <c r="K964" s="1">
        <v>1793</v>
      </c>
      <c r="L964" s="1">
        <v>193</v>
      </c>
      <c r="M964" s="1">
        <f t="shared" si="78"/>
        <v>180</v>
      </c>
      <c r="N964" s="1">
        <v>180</v>
      </c>
      <c r="O964" s="1">
        <f t="shared" si="79"/>
        <v>0</v>
      </c>
      <c r="P964" s="1"/>
      <c r="Q964" s="1" t="s">
        <v>30</v>
      </c>
      <c r="R964" s="1" t="s">
        <v>20</v>
      </c>
    </row>
    <row r="965" spans="1:18" x14ac:dyDescent="0.35">
      <c r="A965" s="1" t="s">
        <v>996</v>
      </c>
      <c r="B965" s="1" t="str">
        <f t="shared" si="75"/>
        <v>Female</v>
      </c>
      <c r="C965" s="1" t="s">
        <v>61</v>
      </c>
      <c r="D965" s="1" t="str">
        <f t="shared" si="76"/>
        <v>No</v>
      </c>
      <c r="E965" s="1" t="s">
        <v>18</v>
      </c>
      <c r="F965" s="1">
        <v>0</v>
      </c>
      <c r="G965" s="1" t="s">
        <v>25</v>
      </c>
      <c r="H965" s="1" t="str">
        <f t="shared" si="77"/>
        <v>No</v>
      </c>
      <c r="I965" s="1"/>
      <c r="J965" s="1">
        <v>19900</v>
      </c>
      <c r="K965" s="1">
        <v>5118</v>
      </c>
      <c r="L965" s="1">
        <v>636</v>
      </c>
      <c r="M965" s="1">
        <f t="shared" si="78"/>
        <v>120</v>
      </c>
      <c r="N965" s="1">
        <v>120</v>
      </c>
      <c r="O965" s="1">
        <f t="shared" si="79"/>
        <v>1</v>
      </c>
      <c r="P965" s="1">
        <v>1</v>
      </c>
      <c r="Q965" s="1" t="s">
        <v>30</v>
      </c>
      <c r="R965" s="1" t="s">
        <v>26</v>
      </c>
    </row>
    <row r="966" spans="1:18" x14ac:dyDescent="0.35">
      <c r="A966" s="1" t="s">
        <v>997</v>
      </c>
      <c r="B966" s="1" t="str">
        <f t="shared" si="75"/>
        <v>Female</v>
      </c>
      <c r="C966" s="1" t="s">
        <v>43</v>
      </c>
      <c r="D966" s="1" t="str">
        <f t="shared" si="76"/>
        <v>No</v>
      </c>
      <c r="E966" s="1" t="s">
        <v>22</v>
      </c>
      <c r="F966" s="1" t="s">
        <v>16</v>
      </c>
      <c r="G966" s="1" t="s">
        <v>25</v>
      </c>
      <c r="H966" s="1" t="str">
        <f t="shared" si="77"/>
        <v>Yes</v>
      </c>
      <c r="I966" s="1" t="s">
        <v>15</v>
      </c>
      <c r="J966" s="1">
        <v>18493</v>
      </c>
      <c r="K966" s="1">
        <v>838</v>
      </c>
      <c r="L966" s="1">
        <v>69</v>
      </c>
      <c r="M966" s="1">
        <f t="shared" si="78"/>
        <v>120</v>
      </c>
      <c r="N966" s="1">
        <v>120</v>
      </c>
      <c r="O966" s="1">
        <f t="shared" si="79"/>
        <v>0</v>
      </c>
      <c r="P966" s="1">
        <v>0</v>
      </c>
      <c r="Q966" s="1" t="s">
        <v>19</v>
      </c>
      <c r="R966" s="1" t="s">
        <v>26</v>
      </c>
    </row>
    <row r="967" spans="1:18" x14ac:dyDescent="0.35">
      <c r="A967" s="1" t="s">
        <v>998</v>
      </c>
      <c r="B967" s="1" t="str">
        <f t="shared" si="75"/>
        <v>Male</v>
      </c>
      <c r="C967" s="1" t="s">
        <v>52</v>
      </c>
      <c r="D967" s="1" t="str">
        <f t="shared" si="76"/>
        <v>Yes</v>
      </c>
      <c r="E967" s="1" t="s">
        <v>15</v>
      </c>
      <c r="F967" s="1">
        <v>0</v>
      </c>
      <c r="G967" s="1" t="s">
        <v>25</v>
      </c>
      <c r="H967" s="1" t="str">
        <f t="shared" si="77"/>
        <v>No</v>
      </c>
      <c r="I967" s="1"/>
      <c r="J967" s="1">
        <v>19564</v>
      </c>
      <c r="K967" s="1">
        <v>9519</v>
      </c>
      <c r="L967" s="1">
        <v>364</v>
      </c>
      <c r="M967" s="1">
        <f t="shared" si="78"/>
        <v>180</v>
      </c>
      <c r="N967" s="1">
        <v>180</v>
      </c>
      <c r="O967" s="1">
        <f t="shared" si="79"/>
        <v>1</v>
      </c>
      <c r="P967" s="1">
        <v>1</v>
      </c>
      <c r="Q967" s="1" t="s">
        <v>30</v>
      </c>
      <c r="R967" s="1" t="s">
        <v>26</v>
      </c>
    </row>
    <row r="968" spans="1:18" x14ac:dyDescent="0.35">
      <c r="A968" s="1" t="s">
        <v>999</v>
      </c>
      <c r="B968" s="1" t="str">
        <f t="shared" si="75"/>
        <v>Unknown</v>
      </c>
      <c r="C968" s="1"/>
      <c r="D968" s="1" t="str">
        <f t="shared" si="76"/>
        <v>No</v>
      </c>
      <c r="E968" s="1" t="s">
        <v>22</v>
      </c>
      <c r="F968" s="1" t="s">
        <v>16</v>
      </c>
      <c r="G968" s="1" t="s">
        <v>25</v>
      </c>
      <c r="H968" s="1" t="str">
        <f t="shared" si="77"/>
        <v>No</v>
      </c>
      <c r="I968" s="1" t="s">
        <v>22</v>
      </c>
      <c r="J968" s="1">
        <v>8968</v>
      </c>
      <c r="K968" s="1">
        <v>7886</v>
      </c>
      <c r="L968" s="1">
        <v>369</v>
      </c>
      <c r="M968" s="1">
        <f t="shared" si="78"/>
        <v>180</v>
      </c>
      <c r="N968" s="1">
        <v>180</v>
      </c>
      <c r="O968" s="1">
        <f t="shared" si="79"/>
        <v>0</v>
      </c>
      <c r="P968" s="1"/>
      <c r="Q968" s="1" t="s">
        <v>41</v>
      </c>
      <c r="R968" s="1" t="s">
        <v>26</v>
      </c>
    </row>
    <row r="969" spans="1:18" x14ac:dyDescent="0.35">
      <c r="A969" s="1" t="s">
        <v>1000</v>
      </c>
      <c r="B969" s="1" t="str">
        <f t="shared" si="75"/>
        <v>Unknown</v>
      </c>
      <c r="C969" s="1"/>
      <c r="D969" s="1" t="str">
        <f t="shared" si="76"/>
        <v>No</v>
      </c>
      <c r="E969" s="1" t="s">
        <v>18</v>
      </c>
      <c r="F969" s="1">
        <v>1</v>
      </c>
      <c r="G969" s="1" t="s">
        <v>25</v>
      </c>
      <c r="H969" s="1" t="str">
        <f t="shared" si="77"/>
        <v>No</v>
      </c>
      <c r="I969" s="1"/>
      <c r="J969" s="1">
        <v>3908</v>
      </c>
      <c r="K969" s="1">
        <v>6449</v>
      </c>
      <c r="L969" s="1">
        <v>641</v>
      </c>
      <c r="M969" s="1">
        <f t="shared" si="78"/>
        <v>180</v>
      </c>
      <c r="N969" s="1">
        <v>180</v>
      </c>
      <c r="O969" s="1">
        <f t="shared" si="79"/>
        <v>1</v>
      </c>
      <c r="P969" s="1">
        <v>1</v>
      </c>
      <c r="Q969" s="1" t="s">
        <v>30</v>
      </c>
      <c r="R969" s="1" t="s">
        <v>20</v>
      </c>
    </row>
    <row r="970" spans="1:18" x14ac:dyDescent="0.35">
      <c r="A970" s="1" t="s">
        <v>1001</v>
      </c>
      <c r="B970" s="1" t="str">
        <f t="shared" si="75"/>
        <v>Male</v>
      </c>
      <c r="C970" s="1" t="s">
        <v>33</v>
      </c>
      <c r="D970" s="1" t="str">
        <f t="shared" si="76"/>
        <v>No</v>
      </c>
      <c r="E970" s="1" t="s">
        <v>18</v>
      </c>
      <c r="F970" s="1">
        <v>0</v>
      </c>
      <c r="G970" s="1" t="s">
        <v>17</v>
      </c>
      <c r="H970" s="1" t="str">
        <f t="shared" si="77"/>
        <v>No</v>
      </c>
      <c r="I970" s="1" t="s">
        <v>22</v>
      </c>
      <c r="J970" s="1">
        <v>10531</v>
      </c>
      <c r="K970" s="1">
        <v>7539</v>
      </c>
      <c r="L970" s="1">
        <v>334</v>
      </c>
      <c r="M970" s="1">
        <f t="shared" si="78"/>
        <v>120</v>
      </c>
      <c r="N970" s="1">
        <v>120</v>
      </c>
      <c r="O970" s="1">
        <f t="shared" si="79"/>
        <v>0</v>
      </c>
      <c r="P970" s="1"/>
      <c r="Q970" s="1" t="s">
        <v>19</v>
      </c>
      <c r="R970" s="1" t="s">
        <v>26</v>
      </c>
    </row>
    <row r="971" spans="1:18" x14ac:dyDescent="0.35">
      <c r="A971" s="1" t="s">
        <v>1002</v>
      </c>
      <c r="B971" s="1" t="str">
        <f t="shared" si="75"/>
        <v>Female</v>
      </c>
      <c r="C971" s="1" t="s">
        <v>28</v>
      </c>
      <c r="D971" s="1" t="str">
        <f t="shared" si="76"/>
        <v>Yes</v>
      </c>
      <c r="E971" s="1" t="s">
        <v>29</v>
      </c>
      <c r="F971" s="1" t="s">
        <v>16</v>
      </c>
      <c r="G971" s="1" t="s">
        <v>25</v>
      </c>
      <c r="H971" s="1" t="str">
        <f t="shared" si="77"/>
        <v>No</v>
      </c>
      <c r="I971" s="1" t="s">
        <v>36</v>
      </c>
      <c r="J971" s="1">
        <v>13972</v>
      </c>
      <c r="K971" s="1">
        <v>646</v>
      </c>
      <c r="L971" s="1">
        <v>486</v>
      </c>
      <c r="M971" s="1">
        <f t="shared" si="78"/>
        <v>360</v>
      </c>
      <c r="N971" s="1">
        <v>360</v>
      </c>
      <c r="O971" s="1">
        <f t="shared" si="79"/>
        <v>0</v>
      </c>
      <c r="P971" s="1">
        <v>0</v>
      </c>
      <c r="Q971" s="1" t="s">
        <v>30</v>
      </c>
      <c r="R971" s="1" t="s">
        <v>20</v>
      </c>
    </row>
    <row r="972" spans="1:18" x14ac:dyDescent="0.35">
      <c r="A972" s="1" t="s">
        <v>1003</v>
      </c>
      <c r="B972" s="1" t="str">
        <f t="shared" si="75"/>
        <v>Male</v>
      </c>
      <c r="C972" s="1" t="s">
        <v>14</v>
      </c>
      <c r="D972" s="1" t="str">
        <f t="shared" si="76"/>
        <v>Yes</v>
      </c>
      <c r="E972" s="1" t="s">
        <v>24</v>
      </c>
      <c r="F972" s="1">
        <v>0</v>
      </c>
      <c r="G972" s="1" t="s">
        <v>25</v>
      </c>
      <c r="H972" s="1" t="str">
        <f t="shared" si="77"/>
        <v>Yes</v>
      </c>
      <c r="I972" s="1" t="s">
        <v>15</v>
      </c>
      <c r="J972" s="1">
        <v>19346</v>
      </c>
      <c r="K972" s="1">
        <v>6736</v>
      </c>
      <c r="L972" s="1">
        <v>587</v>
      </c>
      <c r="M972" s="1">
        <f t="shared" si="78"/>
        <v>180</v>
      </c>
      <c r="N972" s="1">
        <v>180</v>
      </c>
      <c r="O972" s="1">
        <f t="shared" si="79"/>
        <v>1</v>
      </c>
      <c r="P972" s="1">
        <v>1</v>
      </c>
      <c r="Q972" s="1" t="s">
        <v>41</v>
      </c>
      <c r="R972" s="1" t="s">
        <v>26</v>
      </c>
    </row>
    <row r="973" spans="1:18" x14ac:dyDescent="0.35">
      <c r="A973" s="1" t="s">
        <v>1004</v>
      </c>
      <c r="B973" s="1" t="str">
        <f t="shared" si="75"/>
        <v>Unknown</v>
      </c>
      <c r="C973" s="1"/>
      <c r="D973" s="1" t="str">
        <f t="shared" si="76"/>
        <v>No</v>
      </c>
      <c r="E973" s="1"/>
      <c r="F973" s="1" t="s">
        <v>16</v>
      </c>
      <c r="G973" s="1" t="s">
        <v>25</v>
      </c>
      <c r="H973" s="1" t="str">
        <f t="shared" si="77"/>
        <v>No</v>
      </c>
      <c r="I973" s="1"/>
      <c r="J973" s="1">
        <v>14383</v>
      </c>
      <c r="K973" s="1">
        <v>6253</v>
      </c>
      <c r="L973" s="1">
        <v>205</v>
      </c>
      <c r="M973" s="1">
        <f t="shared" si="78"/>
        <v>180</v>
      </c>
      <c r="N973" s="1">
        <v>180</v>
      </c>
      <c r="O973" s="1">
        <f t="shared" si="79"/>
        <v>0</v>
      </c>
      <c r="P973" s="1">
        <v>0</v>
      </c>
      <c r="Q973" s="1" t="s">
        <v>30</v>
      </c>
      <c r="R973" s="1" t="s">
        <v>26</v>
      </c>
    </row>
    <row r="974" spans="1:18" x14ac:dyDescent="0.35">
      <c r="A974" s="1" t="s">
        <v>1005</v>
      </c>
      <c r="B974" s="1" t="str">
        <f t="shared" si="75"/>
        <v>Male</v>
      </c>
      <c r="C974" s="1" t="s">
        <v>52</v>
      </c>
      <c r="D974" s="1" t="str">
        <f t="shared" si="76"/>
        <v>Yes</v>
      </c>
      <c r="E974" s="1" t="s">
        <v>24</v>
      </c>
      <c r="F974" s="1">
        <v>1</v>
      </c>
      <c r="G974" s="1" t="s">
        <v>17</v>
      </c>
      <c r="H974" s="1" t="str">
        <f t="shared" si="77"/>
        <v>Yes</v>
      </c>
      <c r="I974" s="1" t="s">
        <v>29</v>
      </c>
      <c r="J974" s="1">
        <v>15802</v>
      </c>
      <c r="K974" s="1">
        <v>6847</v>
      </c>
      <c r="L974" s="1">
        <v>681</v>
      </c>
      <c r="M974" s="1">
        <f t="shared" si="78"/>
        <v>180</v>
      </c>
      <c r="N974" s="1">
        <v>180</v>
      </c>
      <c r="O974" s="1">
        <f t="shared" si="79"/>
        <v>1</v>
      </c>
      <c r="P974" s="1">
        <v>1</v>
      </c>
      <c r="Q974" s="1" t="s">
        <v>30</v>
      </c>
      <c r="R974" s="1" t="s">
        <v>26</v>
      </c>
    </row>
    <row r="975" spans="1:18" x14ac:dyDescent="0.35">
      <c r="A975" s="1" t="s">
        <v>1006</v>
      </c>
      <c r="B975" s="1" t="str">
        <f t="shared" si="75"/>
        <v>Unknown</v>
      </c>
      <c r="C975" s="1"/>
      <c r="D975" s="1" t="str">
        <f t="shared" si="76"/>
        <v>No</v>
      </c>
      <c r="E975" s="1"/>
      <c r="F975" s="1">
        <v>0</v>
      </c>
      <c r="G975" s="1" t="s">
        <v>17</v>
      </c>
      <c r="H975" s="1" t="str">
        <f t="shared" si="77"/>
        <v>No</v>
      </c>
      <c r="I975" s="1" t="s">
        <v>22</v>
      </c>
      <c r="J975" s="1">
        <v>5766</v>
      </c>
      <c r="K975" s="1">
        <v>8307</v>
      </c>
      <c r="L975" s="1">
        <v>608</v>
      </c>
      <c r="M975" s="1">
        <f t="shared" si="78"/>
        <v>180</v>
      </c>
      <c r="N975" s="1">
        <v>180</v>
      </c>
      <c r="O975" s="1">
        <f t="shared" si="79"/>
        <v>0</v>
      </c>
      <c r="P975" s="1">
        <v>0</v>
      </c>
      <c r="Q975" s="1" t="s">
        <v>19</v>
      </c>
      <c r="R975" s="1" t="s">
        <v>26</v>
      </c>
    </row>
    <row r="976" spans="1:18" x14ac:dyDescent="0.35">
      <c r="A976" s="1" t="s">
        <v>1007</v>
      </c>
      <c r="B976" s="1" t="str">
        <f t="shared" si="75"/>
        <v>Unknown</v>
      </c>
      <c r="C976" s="1"/>
      <c r="D976" s="1" t="str">
        <f t="shared" si="76"/>
        <v>Yes</v>
      </c>
      <c r="E976" s="1" t="s">
        <v>15</v>
      </c>
      <c r="F976" s="1">
        <v>0</v>
      </c>
      <c r="G976" s="1" t="s">
        <v>17</v>
      </c>
      <c r="H976" s="1" t="str">
        <f t="shared" si="77"/>
        <v>Yes</v>
      </c>
      <c r="I976" s="1" t="s">
        <v>15</v>
      </c>
      <c r="J976" s="1">
        <v>14141</v>
      </c>
      <c r="K976" s="1">
        <v>5844</v>
      </c>
      <c r="L976" s="1">
        <v>620</v>
      </c>
      <c r="M976" s="1">
        <f t="shared" si="78"/>
        <v>180</v>
      </c>
      <c r="N976" s="1">
        <v>180</v>
      </c>
      <c r="O976" s="1">
        <f t="shared" si="79"/>
        <v>1</v>
      </c>
      <c r="P976" s="1">
        <v>1</v>
      </c>
      <c r="Q976" s="1" t="s">
        <v>19</v>
      </c>
      <c r="R976" s="1" t="s">
        <v>26</v>
      </c>
    </row>
    <row r="977" spans="1:18" x14ac:dyDescent="0.35">
      <c r="A977" s="1" t="s">
        <v>1008</v>
      </c>
      <c r="B977" s="1" t="str">
        <f t="shared" si="75"/>
        <v>Unknown</v>
      </c>
      <c r="C977" s="1"/>
      <c r="D977" s="1" t="str">
        <f t="shared" si="76"/>
        <v>No</v>
      </c>
      <c r="E977" s="1" t="s">
        <v>18</v>
      </c>
      <c r="F977" s="1" t="s">
        <v>16</v>
      </c>
      <c r="G977" s="1" t="s">
        <v>17</v>
      </c>
      <c r="H977" s="1" t="str">
        <f t="shared" si="77"/>
        <v>Yes</v>
      </c>
      <c r="I977" s="1" t="s">
        <v>29</v>
      </c>
      <c r="J977" s="1">
        <v>9201</v>
      </c>
      <c r="K977" s="1">
        <v>1430</v>
      </c>
      <c r="L977" s="1">
        <v>552</v>
      </c>
      <c r="M977" s="1">
        <f t="shared" si="78"/>
        <v>120</v>
      </c>
      <c r="N977" s="1">
        <v>120</v>
      </c>
      <c r="O977" s="1">
        <f t="shared" si="79"/>
        <v>1</v>
      </c>
      <c r="P977" s="1">
        <v>1</v>
      </c>
      <c r="Q977" s="1" t="s">
        <v>41</v>
      </c>
      <c r="R977" s="1" t="s">
        <v>20</v>
      </c>
    </row>
    <row r="978" spans="1:18" x14ac:dyDescent="0.35">
      <c r="A978" s="1" t="s">
        <v>1009</v>
      </c>
      <c r="B978" s="1" t="str">
        <f t="shared" si="75"/>
        <v>Female</v>
      </c>
      <c r="C978" s="1" t="s">
        <v>61</v>
      </c>
      <c r="D978" s="1" t="str">
        <f t="shared" si="76"/>
        <v>No</v>
      </c>
      <c r="E978" s="1" t="s">
        <v>36</v>
      </c>
      <c r="F978" s="1">
        <v>1</v>
      </c>
      <c r="G978" s="1" t="s">
        <v>17</v>
      </c>
      <c r="H978" s="1" t="str">
        <f t="shared" si="77"/>
        <v>No</v>
      </c>
      <c r="I978" s="1" t="s">
        <v>18</v>
      </c>
      <c r="J978" s="1">
        <v>4016</v>
      </c>
      <c r="K978" s="1">
        <v>9506</v>
      </c>
      <c r="L978" s="1">
        <v>114</v>
      </c>
      <c r="M978" s="1">
        <f t="shared" si="78"/>
        <v>120</v>
      </c>
      <c r="N978" s="1">
        <v>120</v>
      </c>
      <c r="O978" s="1">
        <f t="shared" si="79"/>
        <v>1</v>
      </c>
      <c r="P978" s="1">
        <v>1</v>
      </c>
      <c r="Q978" s="1" t="s">
        <v>19</v>
      </c>
      <c r="R978" s="1" t="s">
        <v>20</v>
      </c>
    </row>
    <row r="979" spans="1:18" x14ac:dyDescent="0.35">
      <c r="A979" s="1" t="s">
        <v>1010</v>
      </c>
      <c r="B979" s="1" t="str">
        <f t="shared" si="75"/>
        <v>Female</v>
      </c>
      <c r="C979" s="1" t="s">
        <v>43</v>
      </c>
      <c r="D979" s="1" t="str">
        <f t="shared" si="76"/>
        <v>No</v>
      </c>
      <c r="E979" s="1" t="s">
        <v>22</v>
      </c>
      <c r="F979" s="1" t="s">
        <v>16</v>
      </c>
      <c r="G979" s="1" t="s">
        <v>25</v>
      </c>
      <c r="H979" s="1" t="str">
        <f t="shared" si="77"/>
        <v>No</v>
      </c>
      <c r="I979" s="1" t="s">
        <v>18</v>
      </c>
      <c r="J979" s="1">
        <v>12736</v>
      </c>
      <c r="K979" s="1">
        <v>5216</v>
      </c>
      <c r="L979" s="1">
        <v>575</v>
      </c>
      <c r="M979" s="1">
        <f t="shared" si="78"/>
        <v>360</v>
      </c>
      <c r="N979" s="1">
        <v>360</v>
      </c>
      <c r="O979" s="1">
        <f t="shared" si="79"/>
        <v>0</v>
      </c>
      <c r="P979" s="1"/>
      <c r="Q979" s="1" t="s">
        <v>19</v>
      </c>
      <c r="R979" s="1" t="s">
        <v>20</v>
      </c>
    </row>
    <row r="980" spans="1:18" x14ac:dyDescent="0.35">
      <c r="A980" s="1" t="s">
        <v>1011</v>
      </c>
      <c r="B980" s="1" t="str">
        <f t="shared" si="75"/>
        <v>Unknown</v>
      </c>
      <c r="C980" s="1"/>
      <c r="D980" s="1" t="str">
        <f t="shared" si="76"/>
        <v>No</v>
      </c>
      <c r="E980" s="1"/>
      <c r="F980" s="1">
        <v>1</v>
      </c>
      <c r="G980" s="1" t="s">
        <v>17</v>
      </c>
      <c r="H980" s="1" t="str">
        <f t="shared" si="77"/>
        <v>Yes</v>
      </c>
      <c r="I980" s="1" t="s">
        <v>29</v>
      </c>
      <c r="J980" s="1">
        <v>8001</v>
      </c>
      <c r="K980" s="1">
        <v>2669</v>
      </c>
      <c r="L980" s="1">
        <v>458</v>
      </c>
      <c r="M980" s="1">
        <f t="shared" si="78"/>
        <v>120</v>
      </c>
      <c r="N980" s="1">
        <v>120</v>
      </c>
      <c r="O980" s="1">
        <f t="shared" si="79"/>
        <v>0</v>
      </c>
      <c r="P980" s="1"/>
      <c r="Q980" s="1" t="s">
        <v>30</v>
      </c>
      <c r="R980" s="1" t="s">
        <v>26</v>
      </c>
    </row>
    <row r="981" spans="1:18" x14ac:dyDescent="0.35">
      <c r="A981" s="1" t="s">
        <v>1012</v>
      </c>
      <c r="B981" s="1" t="str">
        <f t="shared" si="75"/>
        <v>Unknown</v>
      </c>
      <c r="C981" s="1"/>
      <c r="D981" s="1" t="str">
        <f t="shared" si="76"/>
        <v>Yes</v>
      </c>
      <c r="E981" s="1" t="s">
        <v>15</v>
      </c>
      <c r="F981" s="1">
        <v>2</v>
      </c>
      <c r="G981" s="1" t="s">
        <v>25</v>
      </c>
      <c r="H981" s="1" t="str">
        <f t="shared" si="77"/>
        <v>Yes</v>
      </c>
      <c r="I981" s="1" t="s">
        <v>15</v>
      </c>
      <c r="J981" s="1">
        <v>4825</v>
      </c>
      <c r="K981" s="1">
        <v>7482</v>
      </c>
      <c r="L981" s="1">
        <v>77</v>
      </c>
      <c r="M981" s="1">
        <f t="shared" si="78"/>
        <v>120</v>
      </c>
      <c r="N981" s="1">
        <v>120</v>
      </c>
      <c r="O981" s="1">
        <f t="shared" si="79"/>
        <v>1</v>
      </c>
      <c r="P981" s="1">
        <v>1</v>
      </c>
      <c r="Q981" s="1" t="s">
        <v>41</v>
      </c>
      <c r="R981" s="1" t="s">
        <v>26</v>
      </c>
    </row>
    <row r="982" spans="1:18" x14ac:dyDescent="0.35">
      <c r="A982" s="1" t="s">
        <v>1013</v>
      </c>
      <c r="B982" s="1" t="str">
        <f t="shared" si="75"/>
        <v>Female</v>
      </c>
      <c r="C982" s="1" t="s">
        <v>28</v>
      </c>
      <c r="D982" s="1" t="str">
        <f t="shared" si="76"/>
        <v>No</v>
      </c>
      <c r="E982" s="1" t="s">
        <v>22</v>
      </c>
      <c r="F982" s="1" t="s">
        <v>16</v>
      </c>
      <c r="G982" s="1" t="s">
        <v>25</v>
      </c>
      <c r="H982" s="1" t="str">
        <f t="shared" si="77"/>
        <v>No</v>
      </c>
      <c r="I982" s="1"/>
      <c r="J982" s="1">
        <v>4245</v>
      </c>
      <c r="K982" s="1">
        <v>2637</v>
      </c>
      <c r="L982" s="1">
        <v>617</v>
      </c>
      <c r="M982" s="1">
        <f t="shared" si="78"/>
        <v>360</v>
      </c>
      <c r="N982" s="1">
        <v>360</v>
      </c>
      <c r="O982" s="1">
        <f t="shared" si="79"/>
        <v>1</v>
      </c>
      <c r="P982" s="1">
        <v>1</v>
      </c>
      <c r="Q982" s="1" t="s">
        <v>30</v>
      </c>
      <c r="R982" s="1" t="s">
        <v>26</v>
      </c>
    </row>
    <row r="983" spans="1:18" x14ac:dyDescent="0.35">
      <c r="A983" s="1" t="s">
        <v>1014</v>
      </c>
      <c r="B983" s="1" t="str">
        <f t="shared" si="75"/>
        <v>Male</v>
      </c>
      <c r="C983" s="1" t="s">
        <v>14</v>
      </c>
      <c r="D983" s="1" t="str">
        <f t="shared" si="76"/>
        <v>No</v>
      </c>
      <c r="E983" s="1"/>
      <c r="F983" s="1">
        <v>2</v>
      </c>
      <c r="G983" s="1" t="s">
        <v>17</v>
      </c>
      <c r="H983" s="1" t="str">
        <f t="shared" si="77"/>
        <v>No</v>
      </c>
      <c r="I983" s="1"/>
      <c r="J983" s="1">
        <v>13274</v>
      </c>
      <c r="K983" s="1">
        <v>1146</v>
      </c>
      <c r="L983" s="1">
        <v>571</v>
      </c>
      <c r="M983" s="1">
        <f t="shared" si="78"/>
        <v>360</v>
      </c>
      <c r="N983" s="1">
        <v>360</v>
      </c>
      <c r="O983" s="1">
        <f t="shared" si="79"/>
        <v>0</v>
      </c>
      <c r="P983" s="1"/>
      <c r="Q983" s="1" t="s">
        <v>30</v>
      </c>
      <c r="R983" s="1" t="s">
        <v>26</v>
      </c>
    </row>
    <row r="984" spans="1:18" x14ac:dyDescent="0.35">
      <c r="A984" s="1" t="s">
        <v>1015</v>
      </c>
      <c r="B984" s="1" t="str">
        <f t="shared" si="75"/>
        <v>Male</v>
      </c>
      <c r="C984" s="1" t="s">
        <v>14</v>
      </c>
      <c r="D984" s="1" t="str">
        <f t="shared" si="76"/>
        <v>No</v>
      </c>
      <c r="E984" s="1" t="s">
        <v>36</v>
      </c>
      <c r="F984" s="1">
        <v>2</v>
      </c>
      <c r="G984" s="1" t="s">
        <v>25</v>
      </c>
      <c r="H984" s="1" t="str">
        <f t="shared" si="77"/>
        <v>No</v>
      </c>
      <c r="I984" s="1" t="s">
        <v>22</v>
      </c>
      <c r="J984" s="1">
        <v>4849</v>
      </c>
      <c r="K984" s="1">
        <v>3224</v>
      </c>
      <c r="L984" s="1">
        <v>648</v>
      </c>
      <c r="M984" s="1">
        <f t="shared" si="78"/>
        <v>180</v>
      </c>
      <c r="N984" s="1">
        <v>180</v>
      </c>
      <c r="O984" s="1">
        <f t="shared" si="79"/>
        <v>1</v>
      </c>
      <c r="P984" s="1">
        <v>1</v>
      </c>
      <c r="Q984" s="1" t="s">
        <v>19</v>
      </c>
      <c r="R984" s="1" t="s">
        <v>26</v>
      </c>
    </row>
    <row r="985" spans="1:18" x14ac:dyDescent="0.35">
      <c r="A985" s="1" t="s">
        <v>1016</v>
      </c>
      <c r="B985" s="1" t="str">
        <f t="shared" si="75"/>
        <v>Female</v>
      </c>
      <c r="C985" s="1" t="s">
        <v>28</v>
      </c>
      <c r="D985" s="1" t="str">
        <f t="shared" si="76"/>
        <v>No</v>
      </c>
      <c r="E985" s="1"/>
      <c r="F985" s="1">
        <v>2</v>
      </c>
      <c r="G985" s="1" t="s">
        <v>25</v>
      </c>
      <c r="H985" s="1" t="str">
        <f t="shared" si="77"/>
        <v>No</v>
      </c>
      <c r="I985" s="1" t="s">
        <v>22</v>
      </c>
      <c r="J985" s="1">
        <v>5520</v>
      </c>
      <c r="K985" s="1">
        <v>6749</v>
      </c>
      <c r="L985" s="1">
        <v>643</v>
      </c>
      <c r="M985" s="1">
        <f t="shared" si="78"/>
        <v>120</v>
      </c>
      <c r="N985" s="1">
        <v>120</v>
      </c>
      <c r="O985" s="1">
        <f t="shared" si="79"/>
        <v>0</v>
      </c>
      <c r="P985" s="1">
        <v>0</v>
      </c>
      <c r="Q985" s="1" t="s">
        <v>19</v>
      </c>
      <c r="R985" s="1" t="s">
        <v>20</v>
      </c>
    </row>
    <row r="986" spans="1:18" x14ac:dyDescent="0.35">
      <c r="A986" s="1" t="s">
        <v>1017</v>
      </c>
      <c r="B986" s="1" t="str">
        <f t="shared" si="75"/>
        <v>Female</v>
      </c>
      <c r="C986" s="1" t="s">
        <v>28</v>
      </c>
      <c r="D986" s="1" t="str">
        <f t="shared" si="76"/>
        <v>Yes</v>
      </c>
      <c r="E986" s="1" t="s">
        <v>29</v>
      </c>
      <c r="F986" s="1" t="s">
        <v>16</v>
      </c>
      <c r="G986" s="1" t="s">
        <v>25</v>
      </c>
      <c r="H986" s="1" t="str">
        <f t="shared" si="77"/>
        <v>No</v>
      </c>
      <c r="I986" s="1" t="s">
        <v>36</v>
      </c>
      <c r="J986" s="1">
        <v>17562</v>
      </c>
      <c r="K986" s="1">
        <v>832</v>
      </c>
      <c r="L986" s="1">
        <v>394</v>
      </c>
      <c r="M986" s="1">
        <f t="shared" si="78"/>
        <v>180</v>
      </c>
      <c r="N986" s="1">
        <v>180</v>
      </c>
      <c r="O986" s="1">
        <f t="shared" si="79"/>
        <v>0</v>
      </c>
      <c r="P986" s="1">
        <v>0</v>
      </c>
      <c r="Q986" s="1" t="s">
        <v>19</v>
      </c>
      <c r="R986" s="1" t="s">
        <v>26</v>
      </c>
    </row>
    <row r="987" spans="1:18" x14ac:dyDescent="0.35">
      <c r="A987" s="1" t="s">
        <v>1018</v>
      </c>
      <c r="B987" s="1" t="str">
        <f t="shared" si="75"/>
        <v>Male</v>
      </c>
      <c r="C987" s="1" t="s">
        <v>14</v>
      </c>
      <c r="D987" s="1" t="str">
        <f t="shared" si="76"/>
        <v>No</v>
      </c>
      <c r="E987" s="1" t="s">
        <v>36</v>
      </c>
      <c r="F987" s="1">
        <v>1</v>
      </c>
      <c r="G987" s="1" t="s">
        <v>17</v>
      </c>
      <c r="H987" s="1" t="str">
        <f t="shared" si="77"/>
        <v>No</v>
      </c>
      <c r="I987" s="1" t="s">
        <v>22</v>
      </c>
      <c r="J987" s="1">
        <v>7846</v>
      </c>
      <c r="K987" s="1">
        <v>5535</v>
      </c>
      <c r="L987" s="1">
        <v>73</v>
      </c>
      <c r="M987" s="1">
        <f t="shared" si="78"/>
        <v>360</v>
      </c>
      <c r="N987" s="1"/>
      <c r="O987" s="1">
        <f t="shared" si="79"/>
        <v>1</v>
      </c>
      <c r="P987" s="1">
        <v>1</v>
      </c>
      <c r="Q987" s="1" t="s">
        <v>19</v>
      </c>
      <c r="R987" s="1" t="s">
        <v>26</v>
      </c>
    </row>
    <row r="988" spans="1:18" x14ac:dyDescent="0.35">
      <c r="A988" s="1" t="s">
        <v>1019</v>
      </c>
      <c r="B988" s="1" t="str">
        <f t="shared" si="75"/>
        <v>Female</v>
      </c>
      <c r="C988" s="1" t="s">
        <v>43</v>
      </c>
      <c r="D988" s="1" t="str">
        <f t="shared" si="76"/>
        <v>Yes</v>
      </c>
      <c r="E988" s="1" t="s">
        <v>15</v>
      </c>
      <c r="F988" s="1">
        <v>0</v>
      </c>
      <c r="G988" s="1" t="s">
        <v>17</v>
      </c>
      <c r="H988" s="1" t="str">
        <f t="shared" si="77"/>
        <v>No</v>
      </c>
      <c r="I988" s="1"/>
      <c r="J988" s="1">
        <v>9291</v>
      </c>
      <c r="K988" s="1">
        <v>7268</v>
      </c>
      <c r="L988" s="1">
        <v>425</v>
      </c>
      <c r="M988" s="1">
        <f t="shared" si="78"/>
        <v>120</v>
      </c>
      <c r="N988" s="1">
        <v>120</v>
      </c>
      <c r="O988" s="1">
        <f t="shared" si="79"/>
        <v>0</v>
      </c>
      <c r="P988" s="1"/>
      <c r="Q988" s="1" t="s">
        <v>19</v>
      </c>
      <c r="R988" s="1" t="s">
        <v>26</v>
      </c>
    </row>
    <row r="989" spans="1:18" x14ac:dyDescent="0.35">
      <c r="A989" s="1" t="s">
        <v>1020</v>
      </c>
      <c r="B989" s="1" t="str">
        <f t="shared" si="75"/>
        <v>Female</v>
      </c>
      <c r="C989" s="1" t="s">
        <v>28</v>
      </c>
      <c r="D989" s="1" t="str">
        <f t="shared" si="76"/>
        <v>No</v>
      </c>
      <c r="E989" s="1" t="s">
        <v>22</v>
      </c>
      <c r="F989" s="1">
        <v>1</v>
      </c>
      <c r="G989" s="1" t="s">
        <v>25</v>
      </c>
      <c r="H989" s="1" t="str">
        <f t="shared" si="77"/>
        <v>No</v>
      </c>
      <c r="I989" s="1" t="s">
        <v>36</v>
      </c>
      <c r="J989" s="1">
        <v>8067</v>
      </c>
      <c r="K989" s="1">
        <v>9767</v>
      </c>
      <c r="L989" s="1">
        <v>474</v>
      </c>
      <c r="M989" s="1">
        <f t="shared" si="78"/>
        <v>120</v>
      </c>
      <c r="N989" s="1">
        <v>120</v>
      </c>
      <c r="O989" s="1">
        <f t="shared" si="79"/>
        <v>0</v>
      </c>
      <c r="P989" s="1">
        <v>0</v>
      </c>
      <c r="Q989" s="1" t="s">
        <v>41</v>
      </c>
      <c r="R989" s="1" t="s">
        <v>26</v>
      </c>
    </row>
    <row r="990" spans="1:18" x14ac:dyDescent="0.35">
      <c r="A990" s="1" t="s">
        <v>1021</v>
      </c>
      <c r="B990" s="1" t="str">
        <f t="shared" si="75"/>
        <v>Male</v>
      </c>
      <c r="C990" s="1" t="s">
        <v>14</v>
      </c>
      <c r="D990" s="1" t="str">
        <f t="shared" si="76"/>
        <v>No</v>
      </c>
      <c r="E990" s="1"/>
      <c r="F990" s="1">
        <v>1</v>
      </c>
      <c r="G990" s="1" t="s">
        <v>25</v>
      </c>
      <c r="H990" s="1" t="str">
        <f t="shared" si="77"/>
        <v>No</v>
      </c>
      <c r="I990" s="1"/>
      <c r="J990" s="1">
        <v>18222</v>
      </c>
      <c r="K990" s="1">
        <v>9152</v>
      </c>
      <c r="L990" s="1">
        <v>221</v>
      </c>
      <c r="M990" s="1">
        <f t="shared" si="78"/>
        <v>180</v>
      </c>
      <c r="N990" s="1">
        <v>180</v>
      </c>
      <c r="O990" s="1">
        <f t="shared" si="79"/>
        <v>1</v>
      </c>
      <c r="P990" s="1">
        <v>1</v>
      </c>
      <c r="Q990" s="1" t="s">
        <v>30</v>
      </c>
      <c r="R990" s="1" t="s">
        <v>20</v>
      </c>
    </row>
    <row r="991" spans="1:18" x14ac:dyDescent="0.35">
      <c r="A991" s="1" t="s">
        <v>1022</v>
      </c>
      <c r="B991" s="1" t="str">
        <f t="shared" si="75"/>
        <v>Unknown</v>
      </c>
      <c r="C991" s="1"/>
      <c r="D991" s="1" t="str">
        <f t="shared" si="76"/>
        <v>No</v>
      </c>
      <c r="E991" s="1" t="s">
        <v>18</v>
      </c>
      <c r="F991" s="1">
        <v>0</v>
      </c>
      <c r="G991" s="1" t="s">
        <v>25</v>
      </c>
      <c r="H991" s="1" t="str">
        <f t="shared" si="77"/>
        <v>No</v>
      </c>
      <c r="I991" s="1" t="s">
        <v>18</v>
      </c>
      <c r="J991" s="1">
        <v>4261</v>
      </c>
      <c r="K991" s="1">
        <v>8116</v>
      </c>
      <c r="L991" s="1">
        <v>138</v>
      </c>
      <c r="M991" s="1">
        <f t="shared" si="78"/>
        <v>120</v>
      </c>
      <c r="N991" s="1">
        <v>120</v>
      </c>
      <c r="O991" s="1">
        <f t="shared" si="79"/>
        <v>0</v>
      </c>
      <c r="P991" s="1"/>
      <c r="Q991" s="1" t="s">
        <v>19</v>
      </c>
      <c r="R991" s="1" t="s">
        <v>26</v>
      </c>
    </row>
    <row r="992" spans="1:18" x14ac:dyDescent="0.35">
      <c r="A992" s="1" t="s">
        <v>1023</v>
      </c>
      <c r="B992" s="1" t="str">
        <f t="shared" si="75"/>
        <v>Male</v>
      </c>
      <c r="C992" s="1" t="s">
        <v>33</v>
      </c>
      <c r="D992" s="1" t="str">
        <f t="shared" si="76"/>
        <v>No</v>
      </c>
      <c r="E992" s="1" t="s">
        <v>18</v>
      </c>
      <c r="F992" s="1">
        <v>0</v>
      </c>
      <c r="G992" s="1" t="s">
        <v>17</v>
      </c>
      <c r="H992" s="1" t="str">
        <f t="shared" si="77"/>
        <v>Yes</v>
      </c>
      <c r="I992" s="1" t="s">
        <v>15</v>
      </c>
      <c r="J992" s="1">
        <v>11469</v>
      </c>
      <c r="K992" s="1">
        <v>5618</v>
      </c>
      <c r="L992" s="1">
        <v>111</v>
      </c>
      <c r="M992" s="1">
        <f t="shared" si="78"/>
        <v>180</v>
      </c>
      <c r="N992" s="1">
        <v>180</v>
      </c>
      <c r="O992" s="1">
        <f t="shared" si="79"/>
        <v>0</v>
      </c>
      <c r="P992" s="1"/>
      <c r="Q992" s="1" t="s">
        <v>19</v>
      </c>
      <c r="R992" s="1" t="s">
        <v>26</v>
      </c>
    </row>
    <row r="993" spans="1:18" x14ac:dyDescent="0.35">
      <c r="A993" s="1" t="s">
        <v>1024</v>
      </c>
      <c r="B993" s="1" t="str">
        <f t="shared" si="75"/>
        <v>Female</v>
      </c>
      <c r="C993" s="1" t="s">
        <v>28</v>
      </c>
      <c r="D993" s="1" t="str">
        <f t="shared" si="76"/>
        <v>No</v>
      </c>
      <c r="E993" s="1"/>
      <c r="F993" s="1" t="s">
        <v>16</v>
      </c>
      <c r="G993" s="1" t="s">
        <v>25</v>
      </c>
      <c r="H993" s="1" t="str">
        <f t="shared" si="77"/>
        <v>Yes</v>
      </c>
      <c r="I993" s="1" t="s">
        <v>15</v>
      </c>
      <c r="J993" s="1">
        <v>14561</v>
      </c>
      <c r="K993" s="1">
        <v>5618</v>
      </c>
      <c r="L993" s="1">
        <v>420</v>
      </c>
      <c r="M993" s="1">
        <f t="shared" si="78"/>
        <v>180</v>
      </c>
      <c r="N993" s="1">
        <v>180</v>
      </c>
      <c r="O993" s="1">
        <f t="shared" si="79"/>
        <v>0</v>
      </c>
      <c r="P993" s="1"/>
      <c r="Q993" s="1" t="s">
        <v>30</v>
      </c>
      <c r="R993" s="1" t="s">
        <v>20</v>
      </c>
    </row>
    <row r="994" spans="1:18" x14ac:dyDescent="0.35">
      <c r="A994" s="1" t="s">
        <v>1025</v>
      </c>
      <c r="B994" s="1" t="str">
        <f t="shared" si="75"/>
        <v>Unknown</v>
      </c>
      <c r="C994" s="1"/>
      <c r="D994" s="1" t="str">
        <f t="shared" si="76"/>
        <v>No</v>
      </c>
      <c r="E994" s="1" t="s">
        <v>36</v>
      </c>
      <c r="F994" s="1" t="s">
        <v>16</v>
      </c>
      <c r="G994" s="1" t="s">
        <v>25</v>
      </c>
      <c r="H994" s="1" t="str">
        <f t="shared" si="77"/>
        <v>Yes</v>
      </c>
      <c r="I994" s="1" t="s">
        <v>24</v>
      </c>
      <c r="J994" s="1">
        <v>16778</v>
      </c>
      <c r="K994" s="1">
        <v>8409</v>
      </c>
      <c r="L994" s="1">
        <v>154</v>
      </c>
      <c r="M994" s="1">
        <f t="shared" si="78"/>
        <v>360</v>
      </c>
      <c r="N994" s="1"/>
      <c r="O994" s="1">
        <f t="shared" si="79"/>
        <v>0</v>
      </c>
      <c r="P994" s="1"/>
      <c r="Q994" s="1" t="s">
        <v>19</v>
      </c>
      <c r="R994" s="1" t="s">
        <v>26</v>
      </c>
    </row>
    <row r="995" spans="1:18" x14ac:dyDescent="0.35">
      <c r="A995" s="1" t="s">
        <v>1026</v>
      </c>
      <c r="B995" s="1" t="str">
        <f t="shared" si="75"/>
        <v>Unknown</v>
      </c>
      <c r="C995" s="1"/>
      <c r="D995" s="1" t="str">
        <f t="shared" si="76"/>
        <v>No</v>
      </c>
      <c r="E995" s="1" t="s">
        <v>18</v>
      </c>
      <c r="F995" s="1">
        <v>2</v>
      </c>
      <c r="G995" s="1" t="s">
        <v>17</v>
      </c>
      <c r="H995" s="1" t="str">
        <f t="shared" si="77"/>
        <v>No</v>
      </c>
      <c r="I995" s="1"/>
      <c r="J995" s="1">
        <v>1831</v>
      </c>
      <c r="K995" s="1">
        <v>5000</v>
      </c>
      <c r="L995" s="1">
        <v>556</v>
      </c>
      <c r="M995" s="1">
        <f t="shared" si="78"/>
        <v>360</v>
      </c>
      <c r="N995" s="1">
        <v>360</v>
      </c>
      <c r="O995" s="1">
        <f t="shared" si="79"/>
        <v>0</v>
      </c>
      <c r="P995" s="1"/>
      <c r="Q995" s="1" t="s">
        <v>19</v>
      </c>
      <c r="R995" s="1" t="s">
        <v>20</v>
      </c>
    </row>
    <row r="996" spans="1:18" x14ac:dyDescent="0.35">
      <c r="A996" s="1" t="s">
        <v>1027</v>
      </c>
      <c r="B996" s="1" t="str">
        <f t="shared" si="75"/>
        <v>Unknown</v>
      </c>
      <c r="C996" s="1"/>
      <c r="D996" s="1" t="str">
        <f t="shared" si="76"/>
        <v>Yes</v>
      </c>
      <c r="E996" s="1" t="s">
        <v>15</v>
      </c>
      <c r="F996" s="1">
        <v>0</v>
      </c>
      <c r="G996" s="1" t="s">
        <v>17</v>
      </c>
      <c r="H996" s="1" t="str">
        <f t="shared" si="77"/>
        <v>No</v>
      </c>
      <c r="I996" s="1" t="s">
        <v>22</v>
      </c>
      <c r="J996" s="1">
        <v>17200</v>
      </c>
      <c r="K996" s="1">
        <v>3386</v>
      </c>
      <c r="L996" s="1">
        <v>210</v>
      </c>
      <c r="M996" s="1">
        <f t="shared" si="78"/>
        <v>180</v>
      </c>
      <c r="N996" s="1">
        <v>180</v>
      </c>
      <c r="O996" s="1">
        <f t="shared" si="79"/>
        <v>1</v>
      </c>
      <c r="P996" s="1">
        <v>1</v>
      </c>
      <c r="Q996" s="1" t="s">
        <v>41</v>
      </c>
      <c r="R996" s="1" t="s">
        <v>26</v>
      </c>
    </row>
    <row r="997" spans="1:18" x14ac:dyDescent="0.35">
      <c r="A997" s="1" t="s">
        <v>1028</v>
      </c>
      <c r="B997" s="1" t="str">
        <f t="shared" si="75"/>
        <v>Male</v>
      </c>
      <c r="C997" s="1" t="s">
        <v>52</v>
      </c>
      <c r="D997" s="1" t="str">
        <f t="shared" si="76"/>
        <v>No</v>
      </c>
      <c r="E997" s="1" t="s">
        <v>18</v>
      </c>
      <c r="F997" s="1">
        <v>1</v>
      </c>
      <c r="G997" s="1" t="s">
        <v>25</v>
      </c>
      <c r="H997" s="1" t="str">
        <f t="shared" si="77"/>
        <v>Yes</v>
      </c>
      <c r="I997" s="1" t="s">
        <v>15</v>
      </c>
      <c r="J997" s="1">
        <v>3669</v>
      </c>
      <c r="K997" s="1">
        <v>5987</v>
      </c>
      <c r="L997" s="1">
        <v>477</v>
      </c>
      <c r="M997" s="1">
        <f t="shared" si="78"/>
        <v>120</v>
      </c>
      <c r="N997" s="1">
        <v>120</v>
      </c>
      <c r="O997" s="1">
        <f t="shared" si="79"/>
        <v>0</v>
      </c>
      <c r="P997" s="1">
        <v>0</v>
      </c>
      <c r="Q997" s="1" t="s">
        <v>41</v>
      </c>
      <c r="R997" s="1" t="s">
        <v>20</v>
      </c>
    </row>
    <row r="998" spans="1:18" x14ac:dyDescent="0.35">
      <c r="A998" s="1" t="s">
        <v>1029</v>
      </c>
      <c r="B998" s="1" t="str">
        <f t="shared" si="75"/>
        <v>Female</v>
      </c>
      <c r="C998" s="1" t="s">
        <v>61</v>
      </c>
      <c r="D998" s="1" t="str">
        <f t="shared" si="76"/>
        <v>No</v>
      </c>
      <c r="E998" s="1"/>
      <c r="F998" s="1">
        <v>2</v>
      </c>
      <c r="G998" s="1" t="s">
        <v>25</v>
      </c>
      <c r="H998" s="1" t="str">
        <f t="shared" si="77"/>
        <v>Yes</v>
      </c>
      <c r="I998" s="1" t="s">
        <v>24</v>
      </c>
      <c r="J998" s="1">
        <v>2080</v>
      </c>
      <c r="K998" s="1">
        <v>6231</v>
      </c>
      <c r="L998" s="1">
        <v>625</v>
      </c>
      <c r="M998" s="1">
        <f t="shared" si="78"/>
        <v>180</v>
      </c>
      <c r="N998" s="1">
        <v>180</v>
      </c>
      <c r="O998" s="1">
        <f t="shared" si="79"/>
        <v>0</v>
      </c>
      <c r="P998" s="1"/>
      <c r="Q998" s="1" t="s">
        <v>41</v>
      </c>
      <c r="R998" s="1" t="s">
        <v>26</v>
      </c>
    </row>
    <row r="999" spans="1:18" x14ac:dyDescent="0.35">
      <c r="A999" s="1" t="s">
        <v>1030</v>
      </c>
      <c r="B999" s="1" t="str">
        <f t="shared" si="75"/>
        <v>Male</v>
      </c>
      <c r="C999" s="1" t="s">
        <v>33</v>
      </c>
      <c r="D999" s="1" t="str">
        <f t="shared" si="76"/>
        <v>No</v>
      </c>
      <c r="E999" s="1"/>
      <c r="F999" s="1" t="s">
        <v>16</v>
      </c>
      <c r="G999" s="1" t="s">
        <v>17</v>
      </c>
      <c r="H999" s="1" t="str">
        <f t="shared" si="77"/>
        <v>No</v>
      </c>
      <c r="I999" s="1"/>
      <c r="J999" s="1">
        <v>11888</v>
      </c>
      <c r="K999" s="1">
        <v>3151</v>
      </c>
      <c r="L999" s="1">
        <v>182</v>
      </c>
      <c r="M999" s="1">
        <f t="shared" si="78"/>
        <v>360</v>
      </c>
      <c r="N999" s="1"/>
      <c r="O999" s="1">
        <f t="shared" si="79"/>
        <v>0</v>
      </c>
      <c r="P999" s="1"/>
      <c r="Q999" s="1" t="s">
        <v>30</v>
      </c>
      <c r="R999" s="1" t="s">
        <v>26</v>
      </c>
    </row>
    <row r="1000" spans="1:18" x14ac:dyDescent="0.35">
      <c r="A1000" s="1" t="s">
        <v>1031</v>
      </c>
      <c r="B1000" s="1" t="str">
        <f t="shared" si="75"/>
        <v>Male</v>
      </c>
      <c r="C1000" s="1" t="s">
        <v>52</v>
      </c>
      <c r="D1000" s="1" t="str">
        <f t="shared" si="76"/>
        <v>No</v>
      </c>
      <c r="E1000" s="1" t="s">
        <v>18</v>
      </c>
      <c r="F1000" s="1" t="s">
        <v>16</v>
      </c>
      <c r="G1000" s="1" t="s">
        <v>17</v>
      </c>
      <c r="H1000" s="1" t="str">
        <f t="shared" si="77"/>
        <v>No</v>
      </c>
      <c r="I1000" s="1"/>
      <c r="J1000" s="1">
        <v>14082</v>
      </c>
      <c r="K1000" s="1">
        <v>9356</v>
      </c>
      <c r="L1000" s="1">
        <v>209</v>
      </c>
      <c r="M1000" s="1">
        <f t="shared" si="78"/>
        <v>360</v>
      </c>
      <c r="N1000" s="1"/>
      <c r="O1000" s="1">
        <f t="shared" si="79"/>
        <v>0</v>
      </c>
      <c r="P1000" s="1">
        <v>0</v>
      </c>
      <c r="Q1000" s="1" t="s">
        <v>30</v>
      </c>
      <c r="R1000" s="1" t="s">
        <v>26</v>
      </c>
    </row>
    <row r="1001" spans="1:18" x14ac:dyDescent="0.35">
      <c r="A1001" s="1" t="s">
        <v>1032</v>
      </c>
      <c r="B1001" s="1" t="str">
        <f t="shared" si="75"/>
        <v>Unknown</v>
      </c>
      <c r="C1001" s="1"/>
      <c r="D1001" s="1" t="str">
        <f t="shared" si="76"/>
        <v>Yes</v>
      </c>
      <c r="E1001" s="1" t="s">
        <v>29</v>
      </c>
      <c r="F1001" s="1">
        <v>0</v>
      </c>
      <c r="G1001" s="1" t="s">
        <v>17</v>
      </c>
      <c r="H1001" s="1" t="str">
        <f t="shared" si="77"/>
        <v>Yes</v>
      </c>
      <c r="I1001" s="1" t="s">
        <v>24</v>
      </c>
      <c r="J1001" s="1">
        <v>15534</v>
      </c>
      <c r="K1001" s="1">
        <v>2607</v>
      </c>
      <c r="L1001" s="1">
        <v>494</v>
      </c>
      <c r="M1001" s="1">
        <f t="shared" si="78"/>
        <v>120</v>
      </c>
      <c r="N1001" s="1">
        <v>120</v>
      </c>
      <c r="O1001" s="1">
        <f t="shared" si="79"/>
        <v>0</v>
      </c>
      <c r="P1001" s="1">
        <v>0</v>
      </c>
      <c r="Q1001" s="1" t="s">
        <v>41</v>
      </c>
      <c r="R1001" s="1" t="s">
        <v>26</v>
      </c>
    </row>
    <row r="1002" spans="1:18" x14ac:dyDescent="0.35">
      <c r="A1002" s="1" t="s">
        <v>1033</v>
      </c>
      <c r="B1002" s="1" t="str">
        <f t="shared" si="75"/>
        <v>Male</v>
      </c>
      <c r="C1002" s="1" t="s">
        <v>33</v>
      </c>
      <c r="D1002" s="1" t="str">
        <f t="shared" si="76"/>
        <v>No</v>
      </c>
      <c r="E1002" s="1" t="s">
        <v>22</v>
      </c>
      <c r="F1002" s="1" t="s">
        <v>16</v>
      </c>
      <c r="G1002" s="1" t="s">
        <v>25</v>
      </c>
      <c r="H1002" s="1" t="str">
        <f t="shared" si="77"/>
        <v>No</v>
      </c>
      <c r="I1002" s="1"/>
      <c r="J1002" s="1">
        <v>1677</v>
      </c>
      <c r="K1002" s="1">
        <v>1826</v>
      </c>
      <c r="L1002" s="1">
        <v>671</v>
      </c>
      <c r="M1002" s="1">
        <f t="shared" si="78"/>
        <v>360</v>
      </c>
      <c r="N1002" s="1"/>
      <c r="O1002" s="1">
        <f t="shared" si="79"/>
        <v>0</v>
      </c>
      <c r="P1002" s="1">
        <v>0</v>
      </c>
      <c r="Q1002" s="1" t="s">
        <v>19</v>
      </c>
      <c r="R1002" s="1" t="s">
        <v>20</v>
      </c>
    </row>
    <row r="1003" spans="1:18" x14ac:dyDescent="0.35">
      <c r="A1003" s="1" t="s">
        <v>1034</v>
      </c>
      <c r="B1003" s="1" t="str">
        <f t="shared" si="75"/>
        <v>Female</v>
      </c>
      <c r="C1003" s="1" t="s">
        <v>61</v>
      </c>
      <c r="D1003" s="1" t="str">
        <f t="shared" si="76"/>
        <v>No</v>
      </c>
      <c r="E1003" s="1" t="s">
        <v>36</v>
      </c>
      <c r="F1003" s="1">
        <v>1</v>
      </c>
      <c r="G1003" s="1" t="s">
        <v>17</v>
      </c>
      <c r="H1003" s="1" t="str">
        <f t="shared" si="77"/>
        <v>Yes</v>
      </c>
      <c r="I1003" s="1" t="s">
        <v>29</v>
      </c>
      <c r="J1003" s="1">
        <v>10743</v>
      </c>
      <c r="K1003" s="1">
        <v>5378</v>
      </c>
      <c r="L1003" s="1">
        <v>217</v>
      </c>
      <c r="M1003" s="1">
        <f t="shared" si="78"/>
        <v>180</v>
      </c>
      <c r="N1003" s="1">
        <v>180</v>
      </c>
      <c r="O1003" s="1">
        <f t="shared" si="79"/>
        <v>0</v>
      </c>
      <c r="P1003" s="1"/>
      <c r="Q1003" s="1" t="s">
        <v>30</v>
      </c>
      <c r="R1003" s="1" t="s">
        <v>20</v>
      </c>
    </row>
    <row r="1004" spans="1:18" x14ac:dyDescent="0.35">
      <c r="A1004" s="1" t="s">
        <v>1035</v>
      </c>
      <c r="B1004" s="1" t="str">
        <f t="shared" si="75"/>
        <v>Male</v>
      </c>
      <c r="C1004" s="1" t="s">
        <v>52</v>
      </c>
      <c r="D1004" s="1" t="str">
        <f t="shared" si="76"/>
        <v>No</v>
      </c>
      <c r="E1004" s="1"/>
      <c r="F1004" s="1">
        <v>2</v>
      </c>
      <c r="G1004" s="1" t="s">
        <v>17</v>
      </c>
      <c r="H1004" s="1" t="str">
        <f t="shared" si="77"/>
        <v>No</v>
      </c>
      <c r="I1004" s="1" t="s">
        <v>22</v>
      </c>
      <c r="J1004" s="1">
        <v>17092</v>
      </c>
      <c r="K1004" s="1">
        <v>1461</v>
      </c>
      <c r="L1004" s="1">
        <v>168</v>
      </c>
      <c r="M1004" s="1">
        <f t="shared" si="78"/>
        <v>120</v>
      </c>
      <c r="N1004" s="1">
        <v>120</v>
      </c>
      <c r="O1004" s="1">
        <f t="shared" si="79"/>
        <v>0</v>
      </c>
      <c r="P1004" s="1"/>
      <c r="Q1004" s="1" t="s">
        <v>41</v>
      </c>
      <c r="R1004" s="1" t="s">
        <v>20</v>
      </c>
    </row>
    <row r="1005" spans="1:18" x14ac:dyDescent="0.35">
      <c r="A1005" s="1" t="s">
        <v>1036</v>
      </c>
      <c r="B1005" s="1" t="str">
        <f t="shared" si="75"/>
        <v>Unknown</v>
      </c>
      <c r="C1005" s="1"/>
      <c r="D1005" s="1" t="str">
        <f t="shared" si="76"/>
        <v>No</v>
      </c>
      <c r="E1005" s="1" t="s">
        <v>18</v>
      </c>
      <c r="F1005" s="1">
        <v>1</v>
      </c>
      <c r="G1005" s="1" t="s">
        <v>25</v>
      </c>
      <c r="H1005" s="1" t="str">
        <f t="shared" si="77"/>
        <v>No</v>
      </c>
      <c r="I1005" s="1"/>
      <c r="J1005" s="1">
        <v>12428</v>
      </c>
      <c r="K1005" s="1">
        <v>4801</v>
      </c>
      <c r="L1005" s="1">
        <v>567</v>
      </c>
      <c r="M1005" s="1">
        <f t="shared" si="78"/>
        <v>180</v>
      </c>
      <c r="N1005" s="1">
        <v>180</v>
      </c>
      <c r="O1005" s="1">
        <f t="shared" si="79"/>
        <v>1</v>
      </c>
      <c r="P1005" s="1">
        <v>1</v>
      </c>
      <c r="Q1005" s="1" t="s">
        <v>41</v>
      </c>
      <c r="R1005" s="1" t="s">
        <v>20</v>
      </c>
    </row>
    <row r="1006" spans="1:18" x14ac:dyDescent="0.35">
      <c r="A1006" s="1" t="s">
        <v>1037</v>
      </c>
      <c r="B1006" s="1" t="str">
        <f t="shared" si="75"/>
        <v>Male</v>
      </c>
      <c r="C1006" s="1" t="s">
        <v>33</v>
      </c>
      <c r="D1006" s="1" t="str">
        <f t="shared" si="76"/>
        <v>No</v>
      </c>
      <c r="E1006" s="1"/>
      <c r="F1006" s="1" t="s">
        <v>16</v>
      </c>
      <c r="G1006" s="1" t="s">
        <v>25</v>
      </c>
      <c r="H1006" s="1" t="str">
        <f t="shared" si="77"/>
        <v>No</v>
      </c>
      <c r="I1006" s="1"/>
      <c r="J1006" s="1">
        <v>11391</v>
      </c>
      <c r="K1006" s="1">
        <v>8541</v>
      </c>
      <c r="L1006" s="1">
        <v>529</v>
      </c>
      <c r="M1006" s="1">
        <f t="shared" si="78"/>
        <v>180</v>
      </c>
      <c r="N1006" s="1">
        <v>180</v>
      </c>
      <c r="O1006" s="1">
        <f t="shared" si="79"/>
        <v>0</v>
      </c>
      <c r="P1006" s="1"/>
      <c r="Q1006" s="1" t="s">
        <v>19</v>
      </c>
      <c r="R1006" s="1" t="s">
        <v>20</v>
      </c>
    </row>
    <row r="1007" spans="1:18" x14ac:dyDescent="0.35">
      <c r="A1007" s="1" t="s">
        <v>1038</v>
      </c>
      <c r="B1007" s="1" t="str">
        <f t="shared" si="75"/>
        <v>Male</v>
      </c>
      <c r="C1007" s="1" t="s">
        <v>33</v>
      </c>
      <c r="D1007" s="1" t="str">
        <f t="shared" si="76"/>
        <v>Yes</v>
      </c>
      <c r="E1007" s="1" t="s">
        <v>15</v>
      </c>
      <c r="F1007" s="1">
        <v>1</v>
      </c>
      <c r="G1007" s="1" t="s">
        <v>17</v>
      </c>
      <c r="H1007" s="1" t="str">
        <f t="shared" si="77"/>
        <v>Yes</v>
      </c>
      <c r="I1007" s="1" t="s">
        <v>15</v>
      </c>
      <c r="J1007" s="1">
        <v>15869</v>
      </c>
      <c r="K1007" s="1">
        <v>4545</v>
      </c>
      <c r="L1007" s="1">
        <v>359</v>
      </c>
      <c r="M1007" s="1">
        <f t="shared" si="78"/>
        <v>180</v>
      </c>
      <c r="N1007" s="1">
        <v>180</v>
      </c>
      <c r="O1007" s="1">
        <f t="shared" si="79"/>
        <v>0</v>
      </c>
      <c r="P1007" s="1"/>
      <c r="Q1007" s="1" t="s">
        <v>30</v>
      </c>
      <c r="R1007" s="1" t="s">
        <v>20</v>
      </c>
    </row>
    <row r="1008" spans="1:18" x14ac:dyDescent="0.35">
      <c r="A1008" s="1" t="s">
        <v>1039</v>
      </c>
      <c r="B1008" s="1" t="str">
        <f t="shared" si="75"/>
        <v>Male</v>
      </c>
      <c r="C1008" s="1" t="s">
        <v>14</v>
      </c>
      <c r="D1008" s="1" t="str">
        <f t="shared" si="76"/>
        <v>Yes</v>
      </c>
      <c r="E1008" s="1" t="s">
        <v>24</v>
      </c>
      <c r="F1008" s="1">
        <v>0</v>
      </c>
      <c r="G1008" s="1" t="s">
        <v>25</v>
      </c>
      <c r="H1008" s="1" t="str">
        <f t="shared" si="77"/>
        <v>No</v>
      </c>
      <c r="I1008" s="1" t="s">
        <v>18</v>
      </c>
      <c r="J1008" s="1">
        <v>13534</v>
      </c>
      <c r="K1008" s="1">
        <v>4285</v>
      </c>
      <c r="L1008" s="1">
        <v>561</v>
      </c>
      <c r="M1008" s="1">
        <f t="shared" si="78"/>
        <v>120</v>
      </c>
      <c r="N1008" s="1">
        <v>120</v>
      </c>
      <c r="O1008" s="1">
        <f t="shared" si="79"/>
        <v>1</v>
      </c>
      <c r="P1008" s="1">
        <v>1</v>
      </c>
      <c r="Q1008" s="1" t="s">
        <v>41</v>
      </c>
      <c r="R1008" s="1" t="s">
        <v>26</v>
      </c>
    </row>
    <row r="1009" spans="1:18" x14ac:dyDescent="0.35">
      <c r="A1009" s="1" t="s">
        <v>1040</v>
      </c>
      <c r="B1009" s="1" t="str">
        <f t="shared" si="75"/>
        <v>Unknown</v>
      </c>
      <c r="C1009" s="1"/>
      <c r="D1009" s="1" t="str">
        <f t="shared" si="76"/>
        <v>No</v>
      </c>
      <c r="E1009" s="1"/>
      <c r="F1009" s="1">
        <v>0</v>
      </c>
      <c r="G1009" s="1" t="s">
        <v>25</v>
      </c>
      <c r="H1009" s="1" t="str">
        <f t="shared" si="77"/>
        <v>Yes</v>
      </c>
      <c r="I1009" s="1" t="s">
        <v>24</v>
      </c>
      <c r="J1009" s="1">
        <v>19410</v>
      </c>
      <c r="K1009" s="1">
        <v>4417</v>
      </c>
      <c r="L1009" s="1">
        <v>265</v>
      </c>
      <c r="M1009" s="1">
        <f t="shared" si="78"/>
        <v>120</v>
      </c>
      <c r="N1009" s="1">
        <v>120</v>
      </c>
      <c r="O1009" s="1">
        <f t="shared" si="79"/>
        <v>0</v>
      </c>
      <c r="P1009" s="1">
        <v>0</v>
      </c>
      <c r="Q1009" s="1" t="s">
        <v>19</v>
      </c>
      <c r="R1009" s="1" t="s">
        <v>20</v>
      </c>
    </row>
    <row r="1010" spans="1:18" x14ac:dyDescent="0.35">
      <c r="A1010" s="1" t="s">
        <v>1041</v>
      </c>
      <c r="B1010" s="1" t="str">
        <f t="shared" si="75"/>
        <v>Male</v>
      </c>
      <c r="C1010" s="1" t="s">
        <v>52</v>
      </c>
      <c r="D1010" s="1" t="str">
        <f t="shared" si="76"/>
        <v>No</v>
      </c>
      <c r="E1010" s="1" t="s">
        <v>36</v>
      </c>
      <c r="F1010" s="1" t="s">
        <v>16</v>
      </c>
      <c r="G1010" s="1" t="s">
        <v>17</v>
      </c>
      <c r="H1010" s="1" t="str">
        <f t="shared" si="77"/>
        <v>Yes</v>
      </c>
      <c r="I1010" s="1" t="s">
        <v>29</v>
      </c>
      <c r="J1010" s="1">
        <v>13957</v>
      </c>
      <c r="K1010" s="1">
        <v>7280</v>
      </c>
      <c r="L1010" s="1">
        <v>81</v>
      </c>
      <c r="M1010" s="1">
        <f t="shared" si="78"/>
        <v>360</v>
      </c>
      <c r="N1010" s="1">
        <v>360</v>
      </c>
      <c r="O1010" s="1">
        <f t="shared" si="79"/>
        <v>0</v>
      </c>
      <c r="P1010" s="1">
        <v>0</v>
      </c>
      <c r="Q1010" s="1" t="s">
        <v>30</v>
      </c>
      <c r="R1010" s="1" t="s">
        <v>26</v>
      </c>
    </row>
    <row r="1011" spans="1:18" x14ac:dyDescent="0.35">
      <c r="A1011" s="1" t="s">
        <v>1042</v>
      </c>
      <c r="B1011" s="1" t="str">
        <f t="shared" si="75"/>
        <v>Male</v>
      </c>
      <c r="C1011" s="1" t="s">
        <v>52</v>
      </c>
      <c r="D1011" s="1" t="str">
        <f t="shared" si="76"/>
        <v>No</v>
      </c>
      <c r="E1011" s="1"/>
      <c r="F1011" s="1" t="s">
        <v>16</v>
      </c>
      <c r="G1011" s="1" t="s">
        <v>25</v>
      </c>
      <c r="H1011" s="1" t="str">
        <f t="shared" si="77"/>
        <v>Yes</v>
      </c>
      <c r="I1011" s="1" t="s">
        <v>15</v>
      </c>
      <c r="J1011" s="1">
        <v>19415</v>
      </c>
      <c r="K1011" s="1">
        <v>9616</v>
      </c>
      <c r="L1011" s="1">
        <v>664</v>
      </c>
      <c r="M1011" s="1">
        <f t="shared" si="78"/>
        <v>180</v>
      </c>
      <c r="N1011" s="1">
        <v>180</v>
      </c>
      <c r="O1011" s="1">
        <f t="shared" si="79"/>
        <v>1</v>
      </c>
      <c r="P1011" s="1">
        <v>1</v>
      </c>
      <c r="Q1011" s="1" t="s">
        <v>19</v>
      </c>
      <c r="R1011" s="1" t="s">
        <v>26</v>
      </c>
    </row>
    <row r="1012" spans="1:18" x14ac:dyDescent="0.35">
      <c r="A1012" s="1" t="s">
        <v>1043</v>
      </c>
      <c r="B1012" s="1" t="str">
        <f t="shared" si="75"/>
        <v>Female</v>
      </c>
      <c r="C1012" s="1" t="s">
        <v>43</v>
      </c>
      <c r="D1012" s="1" t="str">
        <f t="shared" si="76"/>
        <v>No</v>
      </c>
      <c r="E1012" s="1"/>
      <c r="F1012" s="1" t="s">
        <v>16</v>
      </c>
      <c r="G1012" s="1" t="s">
        <v>17</v>
      </c>
      <c r="H1012" s="1" t="str">
        <f t="shared" si="77"/>
        <v>Yes</v>
      </c>
      <c r="I1012" s="1" t="s">
        <v>15</v>
      </c>
      <c r="J1012" s="1">
        <v>5146</v>
      </c>
      <c r="K1012" s="1">
        <v>381</v>
      </c>
      <c r="L1012" s="1">
        <v>165</v>
      </c>
      <c r="M1012" s="1">
        <f t="shared" si="78"/>
        <v>360</v>
      </c>
      <c r="N1012" s="1"/>
      <c r="O1012" s="1">
        <f t="shared" si="79"/>
        <v>0</v>
      </c>
      <c r="P1012" s="1">
        <v>0</v>
      </c>
      <c r="Q1012" s="1" t="s">
        <v>30</v>
      </c>
      <c r="R1012" s="1" t="s">
        <v>20</v>
      </c>
    </row>
    <row r="1013" spans="1:18" x14ac:dyDescent="0.35">
      <c r="A1013" s="1" t="s">
        <v>1044</v>
      </c>
      <c r="B1013" s="1" t="str">
        <f t="shared" si="75"/>
        <v>Unknown</v>
      </c>
      <c r="C1013" s="1"/>
      <c r="D1013" s="1" t="str">
        <f t="shared" si="76"/>
        <v>No</v>
      </c>
      <c r="E1013" s="1"/>
      <c r="F1013" s="1">
        <v>0</v>
      </c>
      <c r="G1013" s="1" t="s">
        <v>25</v>
      </c>
      <c r="H1013" s="1" t="str">
        <f t="shared" si="77"/>
        <v>No</v>
      </c>
      <c r="I1013" s="1"/>
      <c r="J1013" s="1">
        <v>1711</v>
      </c>
      <c r="K1013" s="1">
        <v>242</v>
      </c>
      <c r="L1013" s="1">
        <v>488</v>
      </c>
      <c r="M1013" s="1">
        <f t="shared" si="78"/>
        <v>120</v>
      </c>
      <c r="N1013" s="1">
        <v>120</v>
      </c>
      <c r="O1013" s="1">
        <f t="shared" si="79"/>
        <v>0</v>
      </c>
      <c r="P1013" s="1"/>
      <c r="Q1013" s="1" t="s">
        <v>41</v>
      </c>
      <c r="R1013" s="1" t="s">
        <v>20</v>
      </c>
    </row>
    <row r="1014" spans="1:18" x14ac:dyDescent="0.35">
      <c r="A1014" s="1" t="s">
        <v>1045</v>
      </c>
      <c r="B1014" s="1" t="str">
        <f t="shared" si="75"/>
        <v>Unknown</v>
      </c>
      <c r="C1014" s="1"/>
      <c r="D1014" s="1" t="str">
        <f t="shared" si="76"/>
        <v>Yes</v>
      </c>
      <c r="E1014" s="1" t="s">
        <v>15</v>
      </c>
      <c r="F1014" s="1" t="s">
        <v>16</v>
      </c>
      <c r="G1014" s="1" t="s">
        <v>17</v>
      </c>
      <c r="H1014" s="1" t="str">
        <f t="shared" si="77"/>
        <v>No</v>
      </c>
      <c r="I1014" s="1" t="s">
        <v>18</v>
      </c>
      <c r="J1014" s="1">
        <v>12284</v>
      </c>
      <c r="K1014" s="1">
        <v>5781</v>
      </c>
      <c r="L1014" s="1">
        <v>82</v>
      </c>
      <c r="M1014" s="1">
        <f t="shared" si="78"/>
        <v>180</v>
      </c>
      <c r="N1014" s="1">
        <v>180</v>
      </c>
      <c r="O1014" s="1">
        <f t="shared" si="79"/>
        <v>0</v>
      </c>
      <c r="P1014" s="1"/>
      <c r="Q1014" s="1" t="s">
        <v>19</v>
      </c>
      <c r="R1014" s="1" t="s">
        <v>20</v>
      </c>
    </row>
    <row r="1015" spans="1:18" x14ac:dyDescent="0.35">
      <c r="A1015" s="1" t="s">
        <v>1046</v>
      </c>
      <c r="B1015" s="1" t="str">
        <f t="shared" si="75"/>
        <v>Female</v>
      </c>
      <c r="C1015" s="1" t="s">
        <v>43</v>
      </c>
      <c r="D1015" s="1" t="str">
        <f t="shared" si="76"/>
        <v>Yes</v>
      </c>
      <c r="E1015" s="1" t="s">
        <v>24</v>
      </c>
      <c r="F1015" s="1">
        <v>2</v>
      </c>
      <c r="G1015" s="1" t="s">
        <v>17</v>
      </c>
      <c r="H1015" s="1" t="str">
        <f t="shared" si="77"/>
        <v>No</v>
      </c>
      <c r="I1015" s="1"/>
      <c r="J1015" s="1">
        <v>15762</v>
      </c>
      <c r="K1015" s="1">
        <v>8891</v>
      </c>
      <c r="L1015" s="1">
        <v>503</v>
      </c>
      <c r="M1015" s="1">
        <f t="shared" si="78"/>
        <v>120</v>
      </c>
      <c r="N1015" s="1">
        <v>120</v>
      </c>
      <c r="O1015" s="1">
        <f t="shared" si="79"/>
        <v>1</v>
      </c>
      <c r="P1015" s="1">
        <v>1</v>
      </c>
      <c r="Q1015" s="1" t="s">
        <v>19</v>
      </c>
      <c r="R1015" s="1" t="s">
        <v>26</v>
      </c>
    </row>
    <row r="1016" spans="1:18" x14ac:dyDescent="0.35">
      <c r="A1016" s="1" t="s">
        <v>1047</v>
      </c>
      <c r="B1016" s="1" t="str">
        <f t="shared" si="75"/>
        <v>Unknown</v>
      </c>
      <c r="C1016" s="1"/>
      <c r="D1016" s="1" t="str">
        <f t="shared" si="76"/>
        <v>Yes</v>
      </c>
      <c r="E1016" s="1" t="s">
        <v>29</v>
      </c>
      <c r="F1016" s="1">
        <v>0</v>
      </c>
      <c r="G1016" s="1" t="s">
        <v>25</v>
      </c>
      <c r="H1016" s="1" t="str">
        <f t="shared" si="77"/>
        <v>Yes</v>
      </c>
      <c r="I1016" s="1" t="s">
        <v>24</v>
      </c>
      <c r="J1016" s="1">
        <v>17715</v>
      </c>
      <c r="K1016" s="1">
        <v>4820</v>
      </c>
      <c r="L1016" s="1">
        <v>362</v>
      </c>
      <c r="M1016" s="1">
        <f t="shared" si="78"/>
        <v>120</v>
      </c>
      <c r="N1016" s="1">
        <v>120</v>
      </c>
      <c r="O1016" s="1">
        <f t="shared" si="79"/>
        <v>1</v>
      </c>
      <c r="P1016" s="1">
        <v>1</v>
      </c>
      <c r="Q1016" s="1" t="s">
        <v>41</v>
      </c>
      <c r="R1016" s="1" t="s">
        <v>20</v>
      </c>
    </row>
    <row r="1017" spans="1:18" x14ac:dyDescent="0.35">
      <c r="A1017" s="1" t="s">
        <v>1048</v>
      </c>
      <c r="B1017" s="1" t="str">
        <f t="shared" si="75"/>
        <v>Unknown</v>
      </c>
      <c r="C1017" s="1"/>
      <c r="D1017" s="1" t="str">
        <f t="shared" si="76"/>
        <v>No</v>
      </c>
      <c r="E1017" s="1"/>
      <c r="F1017" s="1">
        <v>2</v>
      </c>
      <c r="G1017" s="1" t="s">
        <v>17</v>
      </c>
      <c r="H1017" s="1" t="str">
        <f t="shared" si="77"/>
        <v>No</v>
      </c>
      <c r="I1017" s="1"/>
      <c r="J1017" s="1">
        <v>9729</v>
      </c>
      <c r="K1017" s="1">
        <v>6981</v>
      </c>
      <c r="L1017" s="1">
        <v>194</v>
      </c>
      <c r="M1017" s="1">
        <f t="shared" si="78"/>
        <v>120</v>
      </c>
      <c r="N1017" s="1">
        <v>120</v>
      </c>
      <c r="O1017" s="1">
        <f t="shared" si="79"/>
        <v>0</v>
      </c>
      <c r="P1017" s="1"/>
      <c r="Q1017" s="1" t="s">
        <v>41</v>
      </c>
      <c r="R1017" s="1" t="s">
        <v>26</v>
      </c>
    </row>
    <row r="1018" spans="1:18" x14ac:dyDescent="0.35">
      <c r="A1018" s="1" t="s">
        <v>1049</v>
      </c>
      <c r="B1018" s="1" t="str">
        <f t="shared" si="75"/>
        <v>Female</v>
      </c>
      <c r="C1018" s="1" t="s">
        <v>61</v>
      </c>
      <c r="D1018" s="1" t="str">
        <f t="shared" si="76"/>
        <v>Yes</v>
      </c>
      <c r="E1018" s="1" t="s">
        <v>15</v>
      </c>
      <c r="F1018" s="1">
        <v>2</v>
      </c>
      <c r="G1018" s="1" t="s">
        <v>17</v>
      </c>
      <c r="H1018" s="1" t="str">
        <f t="shared" si="77"/>
        <v>Yes</v>
      </c>
      <c r="I1018" s="1" t="s">
        <v>24</v>
      </c>
      <c r="J1018" s="1">
        <v>18102</v>
      </c>
      <c r="K1018" s="1">
        <v>8017</v>
      </c>
      <c r="L1018" s="1">
        <v>57</v>
      </c>
      <c r="M1018" s="1">
        <f t="shared" si="78"/>
        <v>180</v>
      </c>
      <c r="N1018" s="1">
        <v>180</v>
      </c>
      <c r="O1018" s="1">
        <f t="shared" si="79"/>
        <v>0</v>
      </c>
      <c r="P1018" s="1"/>
      <c r="Q1018" s="1" t="s">
        <v>19</v>
      </c>
      <c r="R1018" s="1" t="s">
        <v>26</v>
      </c>
    </row>
    <row r="1019" spans="1:18" x14ac:dyDescent="0.35">
      <c r="A1019" s="1" t="s">
        <v>1050</v>
      </c>
      <c r="B1019" s="1" t="str">
        <f t="shared" si="75"/>
        <v>Male</v>
      </c>
      <c r="C1019" s="1" t="s">
        <v>52</v>
      </c>
      <c r="D1019" s="1" t="str">
        <f t="shared" si="76"/>
        <v>No</v>
      </c>
      <c r="E1019" s="1" t="s">
        <v>22</v>
      </c>
      <c r="F1019" s="1">
        <v>1</v>
      </c>
      <c r="G1019" s="1" t="s">
        <v>17</v>
      </c>
      <c r="H1019" s="1" t="str">
        <f t="shared" si="77"/>
        <v>No</v>
      </c>
      <c r="I1019" s="1" t="s">
        <v>36</v>
      </c>
      <c r="J1019" s="1">
        <v>4674</v>
      </c>
      <c r="K1019" s="1">
        <v>1961</v>
      </c>
      <c r="L1019" s="1">
        <v>134</v>
      </c>
      <c r="M1019" s="1">
        <f t="shared" si="78"/>
        <v>180</v>
      </c>
      <c r="N1019" s="1">
        <v>180</v>
      </c>
      <c r="O1019" s="1">
        <f t="shared" si="79"/>
        <v>0</v>
      </c>
      <c r="P1019" s="1"/>
      <c r="Q1019" s="1" t="s">
        <v>19</v>
      </c>
      <c r="R1019" s="1" t="s">
        <v>26</v>
      </c>
    </row>
    <row r="1020" spans="1:18" x14ac:dyDescent="0.35">
      <c r="A1020" s="1" t="s">
        <v>1051</v>
      </c>
      <c r="B1020" s="1" t="str">
        <f t="shared" si="75"/>
        <v>Unknown</v>
      </c>
      <c r="C1020" s="1"/>
      <c r="D1020" s="1" t="str">
        <f t="shared" si="76"/>
        <v>Yes</v>
      </c>
      <c r="E1020" s="1" t="s">
        <v>24</v>
      </c>
      <c r="F1020" s="1">
        <v>2</v>
      </c>
      <c r="G1020" s="1" t="s">
        <v>17</v>
      </c>
      <c r="H1020" s="1" t="str">
        <f t="shared" si="77"/>
        <v>No</v>
      </c>
      <c r="I1020" s="1"/>
      <c r="J1020" s="1">
        <v>13455</v>
      </c>
      <c r="K1020" s="1">
        <v>131</v>
      </c>
      <c r="L1020" s="1">
        <v>220</v>
      </c>
      <c r="M1020" s="1">
        <f t="shared" si="78"/>
        <v>360</v>
      </c>
      <c r="N1020" s="1">
        <v>360</v>
      </c>
      <c r="O1020" s="1">
        <f t="shared" si="79"/>
        <v>0</v>
      </c>
      <c r="P1020" s="1"/>
      <c r="Q1020" s="1" t="s">
        <v>41</v>
      </c>
      <c r="R1020" s="1" t="s">
        <v>26</v>
      </c>
    </row>
    <row r="1021" spans="1:18" x14ac:dyDescent="0.35">
      <c r="A1021" s="1" t="s">
        <v>1052</v>
      </c>
      <c r="B1021" s="1" t="str">
        <f t="shared" si="75"/>
        <v>Unknown</v>
      </c>
      <c r="C1021" s="1"/>
      <c r="D1021" s="1" t="str">
        <f t="shared" si="76"/>
        <v>No</v>
      </c>
      <c r="E1021" s="1" t="s">
        <v>22</v>
      </c>
      <c r="F1021" s="1" t="s">
        <v>16</v>
      </c>
      <c r="G1021" s="1" t="s">
        <v>25</v>
      </c>
      <c r="H1021" s="1" t="str">
        <f t="shared" si="77"/>
        <v>No</v>
      </c>
      <c r="I1021" s="1"/>
      <c r="J1021" s="1">
        <v>18149</v>
      </c>
      <c r="K1021" s="1">
        <v>9575</v>
      </c>
      <c r="L1021" s="1">
        <v>63</v>
      </c>
      <c r="M1021" s="1">
        <f t="shared" si="78"/>
        <v>360</v>
      </c>
      <c r="N1021" s="1">
        <v>360</v>
      </c>
      <c r="O1021" s="1">
        <f t="shared" si="79"/>
        <v>0</v>
      </c>
      <c r="P1021" s="1"/>
      <c r="Q1021" s="1" t="s">
        <v>30</v>
      </c>
      <c r="R1021" s="1" t="s">
        <v>26</v>
      </c>
    </row>
    <row r="1022" spans="1:18" x14ac:dyDescent="0.35">
      <c r="A1022" s="1" t="s">
        <v>1053</v>
      </c>
      <c r="B1022" s="1" t="str">
        <f t="shared" si="75"/>
        <v>Unknown</v>
      </c>
      <c r="C1022" s="1"/>
      <c r="D1022" s="1" t="str">
        <f t="shared" si="76"/>
        <v>No</v>
      </c>
      <c r="E1022" s="1"/>
      <c r="F1022" s="1">
        <v>0</v>
      </c>
      <c r="G1022" s="1" t="s">
        <v>25</v>
      </c>
      <c r="H1022" s="1" t="str">
        <f t="shared" si="77"/>
        <v>No</v>
      </c>
      <c r="I1022" s="1" t="s">
        <v>22</v>
      </c>
      <c r="J1022" s="1">
        <v>1649</v>
      </c>
      <c r="K1022" s="1">
        <v>1438</v>
      </c>
      <c r="L1022" s="1">
        <v>321</v>
      </c>
      <c r="M1022" s="1">
        <f t="shared" si="78"/>
        <v>180</v>
      </c>
      <c r="N1022" s="1">
        <v>180</v>
      </c>
      <c r="O1022" s="1">
        <f t="shared" si="79"/>
        <v>1</v>
      </c>
      <c r="P1022" s="1">
        <v>1</v>
      </c>
      <c r="Q1022" s="1" t="s">
        <v>19</v>
      </c>
      <c r="R1022" s="1" t="s">
        <v>26</v>
      </c>
    </row>
    <row r="1023" spans="1:18" x14ac:dyDescent="0.35">
      <c r="A1023" s="1" t="s">
        <v>1054</v>
      </c>
      <c r="B1023" s="1" t="str">
        <f t="shared" si="75"/>
        <v>Female</v>
      </c>
      <c r="C1023" s="1" t="s">
        <v>28</v>
      </c>
      <c r="D1023" s="1" t="str">
        <f t="shared" si="76"/>
        <v>Yes</v>
      </c>
      <c r="E1023" s="1" t="s">
        <v>29</v>
      </c>
      <c r="F1023" s="1">
        <v>2</v>
      </c>
      <c r="G1023" s="1" t="s">
        <v>17</v>
      </c>
      <c r="H1023" s="1" t="str">
        <f t="shared" si="77"/>
        <v>No</v>
      </c>
      <c r="I1023" s="1"/>
      <c r="J1023" s="1">
        <v>4893</v>
      </c>
      <c r="K1023" s="1">
        <v>8562</v>
      </c>
      <c r="L1023" s="1">
        <v>529</v>
      </c>
      <c r="M1023" s="1">
        <f t="shared" si="78"/>
        <v>180</v>
      </c>
      <c r="N1023" s="1">
        <v>180</v>
      </c>
      <c r="O1023" s="1">
        <f t="shared" si="79"/>
        <v>0</v>
      </c>
      <c r="P1023" s="1"/>
      <c r="Q1023" s="1" t="s">
        <v>30</v>
      </c>
      <c r="R1023" s="1" t="s">
        <v>26</v>
      </c>
    </row>
    <row r="1024" spans="1:18" x14ac:dyDescent="0.35">
      <c r="A1024" s="1" t="s">
        <v>1055</v>
      </c>
      <c r="B1024" s="1" t="str">
        <f t="shared" si="75"/>
        <v>Male</v>
      </c>
      <c r="C1024" s="1" t="s">
        <v>52</v>
      </c>
      <c r="D1024" s="1" t="str">
        <f t="shared" si="76"/>
        <v>No</v>
      </c>
      <c r="E1024" s="1" t="s">
        <v>18</v>
      </c>
      <c r="F1024" s="1">
        <v>0</v>
      </c>
      <c r="G1024" s="1" t="s">
        <v>25</v>
      </c>
      <c r="H1024" s="1" t="str">
        <f t="shared" si="77"/>
        <v>Yes</v>
      </c>
      <c r="I1024" s="1" t="s">
        <v>24</v>
      </c>
      <c r="J1024" s="1">
        <v>15545</v>
      </c>
      <c r="K1024" s="1">
        <v>2812</v>
      </c>
      <c r="L1024" s="1">
        <v>248</v>
      </c>
      <c r="M1024" s="1">
        <f t="shared" si="78"/>
        <v>360</v>
      </c>
      <c r="N1024" s="1"/>
      <c r="O1024" s="1">
        <f t="shared" si="79"/>
        <v>0</v>
      </c>
      <c r="P1024" s="1"/>
      <c r="Q1024" s="1" t="s">
        <v>19</v>
      </c>
      <c r="R1024" s="1" t="s">
        <v>26</v>
      </c>
    </row>
    <row r="1025" spans="1:18" x14ac:dyDescent="0.35">
      <c r="A1025" s="1" t="s">
        <v>1056</v>
      </c>
      <c r="B1025" s="1" t="str">
        <f t="shared" si="75"/>
        <v>Female</v>
      </c>
      <c r="C1025" s="1" t="s">
        <v>43</v>
      </c>
      <c r="D1025" s="1" t="str">
        <f t="shared" si="76"/>
        <v>Yes</v>
      </c>
      <c r="E1025" s="1" t="s">
        <v>15</v>
      </c>
      <c r="F1025" s="1" t="s">
        <v>16</v>
      </c>
      <c r="G1025" s="1" t="s">
        <v>17</v>
      </c>
      <c r="H1025" s="1" t="str">
        <f t="shared" si="77"/>
        <v>No</v>
      </c>
      <c r="I1025" s="1"/>
      <c r="J1025" s="1">
        <v>4321</v>
      </c>
      <c r="K1025" s="1">
        <v>2706</v>
      </c>
      <c r="L1025" s="1">
        <v>645</v>
      </c>
      <c r="M1025" s="1">
        <f t="shared" si="78"/>
        <v>360</v>
      </c>
      <c r="N1025" s="1"/>
      <c r="O1025" s="1">
        <f t="shared" si="79"/>
        <v>1</v>
      </c>
      <c r="P1025" s="1">
        <v>1</v>
      </c>
      <c r="Q1025" s="1" t="s">
        <v>19</v>
      </c>
      <c r="R1025" s="1" t="s">
        <v>26</v>
      </c>
    </row>
    <row r="1026" spans="1:18" x14ac:dyDescent="0.35">
      <c r="A1026" s="1" t="s">
        <v>1057</v>
      </c>
      <c r="B1026" s="1" t="str">
        <f t="shared" ref="B1026:B1089" si="80">IF(ISBLANK(C1026),"Unknown", IF(LOWER(TRIM(C1026))="male","Male","Female"))</f>
        <v>Male</v>
      </c>
      <c r="C1026" s="1" t="s">
        <v>14</v>
      </c>
      <c r="D1026" s="1" t="str">
        <f t="shared" ref="D1026:D1089" si="81">IF(ISBLANK(E1026),"No",PROPER(TRIM(E1026)))</f>
        <v>Yes</v>
      </c>
      <c r="E1026" s="1" t="s">
        <v>15</v>
      </c>
      <c r="F1026" s="1">
        <v>1</v>
      </c>
      <c r="G1026" s="1" t="s">
        <v>17</v>
      </c>
      <c r="H1026" s="1" t="str">
        <f t="shared" ref="H1026:H1089" si="82">IF(ISBLANK(I1026),"No",PROPER(TRIM(I1026)))</f>
        <v>No</v>
      </c>
      <c r="I1026" s="1" t="s">
        <v>18</v>
      </c>
      <c r="J1026" s="1">
        <v>14609</v>
      </c>
      <c r="K1026" s="1">
        <v>8740</v>
      </c>
      <c r="L1026" s="1">
        <v>138</v>
      </c>
      <c r="M1026" s="1">
        <f t="shared" ref="M1026:M1089" si="83">IF(ISBLANK(N1026),360,N1026)</f>
        <v>360</v>
      </c>
      <c r="N1026" s="1"/>
      <c r="O1026" s="1">
        <f t="shared" ref="O1026:O1089" si="84">IF(ISBLANK(P1026),0,P1026)</f>
        <v>0</v>
      </c>
      <c r="P1026" s="1">
        <v>0</v>
      </c>
      <c r="Q1026" s="1" t="s">
        <v>19</v>
      </c>
      <c r="R1026" s="1" t="s">
        <v>20</v>
      </c>
    </row>
    <row r="1027" spans="1:18" x14ac:dyDescent="0.35">
      <c r="A1027" s="1" t="s">
        <v>1058</v>
      </c>
      <c r="B1027" s="1" t="str">
        <f t="shared" si="80"/>
        <v>Unknown</v>
      </c>
      <c r="C1027" s="1"/>
      <c r="D1027" s="1" t="str">
        <f t="shared" si="81"/>
        <v>Yes</v>
      </c>
      <c r="E1027" s="1" t="s">
        <v>15</v>
      </c>
      <c r="F1027" s="1">
        <v>1</v>
      </c>
      <c r="G1027" s="1" t="s">
        <v>25</v>
      </c>
      <c r="H1027" s="1" t="str">
        <f t="shared" si="82"/>
        <v>Yes</v>
      </c>
      <c r="I1027" s="1" t="s">
        <v>29</v>
      </c>
      <c r="J1027" s="1">
        <v>7048</v>
      </c>
      <c r="K1027" s="1">
        <v>4350</v>
      </c>
      <c r="L1027" s="1">
        <v>205</v>
      </c>
      <c r="M1027" s="1">
        <f t="shared" si="83"/>
        <v>360</v>
      </c>
      <c r="N1027" s="1"/>
      <c r="O1027" s="1">
        <f t="shared" si="84"/>
        <v>0</v>
      </c>
      <c r="P1027" s="1">
        <v>0</v>
      </c>
      <c r="Q1027" s="1" t="s">
        <v>19</v>
      </c>
      <c r="R1027" s="1" t="s">
        <v>20</v>
      </c>
    </row>
    <row r="1028" spans="1:18" x14ac:dyDescent="0.35">
      <c r="A1028" s="1" t="s">
        <v>1059</v>
      </c>
      <c r="B1028" s="1" t="str">
        <f t="shared" si="80"/>
        <v>Male</v>
      </c>
      <c r="C1028" s="1" t="s">
        <v>14</v>
      </c>
      <c r="D1028" s="1" t="str">
        <f t="shared" si="81"/>
        <v>No</v>
      </c>
      <c r="E1028" s="1" t="s">
        <v>36</v>
      </c>
      <c r="F1028" s="1">
        <v>1</v>
      </c>
      <c r="G1028" s="1" t="s">
        <v>17</v>
      </c>
      <c r="H1028" s="1" t="str">
        <f t="shared" si="82"/>
        <v>No</v>
      </c>
      <c r="I1028" s="1"/>
      <c r="J1028" s="1">
        <v>9850</v>
      </c>
      <c r="K1028" s="1">
        <v>5962</v>
      </c>
      <c r="L1028" s="1">
        <v>494</v>
      </c>
      <c r="M1028" s="1">
        <f t="shared" si="83"/>
        <v>360</v>
      </c>
      <c r="N1028" s="1"/>
      <c r="O1028" s="1">
        <f t="shared" si="84"/>
        <v>0</v>
      </c>
      <c r="P1028" s="1"/>
      <c r="Q1028" s="1" t="s">
        <v>30</v>
      </c>
      <c r="R1028" s="1" t="s">
        <v>26</v>
      </c>
    </row>
    <row r="1029" spans="1:18" x14ac:dyDescent="0.35">
      <c r="A1029" s="1" t="s">
        <v>1060</v>
      </c>
      <c r="B1029" s="1" t="str">
        <f t="shared" si="80"/>
        <v>Unknown</v>
      </c>
      <c r="C1029" s="1"/>
      <c r="D1029" s="1" t="str">
        <f t="shared" si="81"/>
        <v>No</v>
      </c>
      <c r="E1029" s="1"/>
      <c r="F1029" s="1" t="s">
        <v>16</v>
      </c>
      <c r="G1029" s="1" t="s">
        <v>25</v>
      </c>
      <c r="H1029" s="1" t="str">
        <f t="shared" si="82"/>
        <v>Yes</v>
      </c>
      <c r="I1029" s="1" t="s">
        <v>24</v>
      </c>
      <c r="J1029" s="1">
        <v>12402</v>
      </c>
      <c r="K1029" s="1">
        <v>5746</v>
      </c>
      <c r="L1029" s="1">
        <v>601</v>
      </c>
      <c r="M1029" s="1">
        <f t="shared" si="83"/>
        <v>360</v>
      </c>
      <c r="N1029" s="1"/>
      <c r="O1029" s="1">
        <f t="shared" si="84"/>
        <v>0</v>
      </c>
      <c r="P1029" s="1">
        <v>0</v>
      </c>
      <c r="Q1029" s="1" t="s">
        <v>19</v>
      </c>
      <c r="R1029" s="1" t="s">
        <v>20</v>
      </c>
    </row>
    <row r="1030" spans="1:18" x14ac:dyDescent="0.35">
      <c r="A1030" s="1" t="s">
        <v>1061</v>
      </c>
      <c r="B1030" s="1" t="str">
        <f t="shared" si="80"/>
        <v>Male</v>
      </c>
      <c r="C1030" s="1" t="s">
        <v>33</v>
      </c>
      <c r="D1030" s="1" t="str">
        <f t="shared" si="81"/>
        <v>No</v>
      </c>
      <c r="E1030" s="1" t="s">
        <v>22</v>
      </c>
      <c r="F1030" s="1">
        <v>0</v>
      </c>
      <c r="G1030" s="1" t="s">
        <v>17</v>
      </c>
      <c r="H1030" s="1" t="str">
        <f t="shared" si="82"/>
        <v>Yes</v>
      </c>
      <c r="I1030" s="1" t="s">
        <v>29</v>
      </c>
      <c r="J1030" s="1">
        <v>16454</v>
      </c>
      <c r="K1030" s="1">
        <v>6299</v>
      </c>
      <c r="L1030" s="1">
        <v>121</v>
      </c>
      <c r="M1030" s="1">
        <f t="shared" si="83"/>
        <v>120</v>
      </c>
      <c r="N1030" s="1">
        <v>120</v>
      </c>
      <c r="O1030" s="1">
        <f t="shared" si="84"/>
        <v>0</v>
      </c>
      <c r="P1030" s="1"/>
      <c r="Q1030" s="1" t="s">
        <v>19</v>
      </c>
      <c r="R1030" s="1" t="s">
        <v>20</v>
      </c>
    </row>
    <row r="1031" spans="1:18" x14ac:dyDescent="0.35">
      <c r="A1031" s="1" t="s">
        <v>1062</v>
      </c>
      <c r="B1031" s="1" t="str">
        <f t="shared" si="80"/>
        <v>Female</v>
      </c>
      <c r="C1031" s="1" t="s">
        <v>28</v>
      </c>
      <c r="D1031" s="1" t="str">
        <f t="shared" si="81"/>
        <v>No</v>
      </c>
      <c r="E1031" s="1" t="s">
        <v>22</v>
      </c>
      <c r="F1031" s="1">
        <v>2</v>
      </c>
      <c r="G1031" s="1" t="s">
        <v>17</v>
      </c>
      <c r="H1031" s="1" t="str">
        <f t="shared" si="82"/>
        <v>Yes</v>
      </c>
      <c r="I1031" s="1" t="s">
        <v>29</v>
      </c>
      <c r="J1031" s="1">
        <v>17746</v>
      </c>
      <c r="K1031" s="1">
        <v>75</v>
      </c>
      <c r="L1031" s="1">
        <v>71</v>
      </c>
      <c r="M1031" s="1">
        <f t="shared" si="83"/>
        <v>360</v>
      </c>
      <c r="N1031" s="1">
        <v>360</v>
      </c>
      <c r="O1031" s="1">
        <f t="shared" si="84"/>
        <v>0</v>
      </c>
      <c r="P1031" s="1"/>
      <c r="Q1031" s="1" t="s">
        <v>19</v>
      </c>
      <c r="R1031" s="1" t="s">
        <v>20</v>
      </c>
    </row>
    <row r="1032" spans="1:18" x14ac:dyDescent="0.35">
      <c r="A1032" s="1" t="s">
        <v>1063</v>
      </c>
      <c r="B1032" s="1" t="str">
        <f t="shared" si="80"/>
        <v>Male</v>
      </c>
      <c r="C1032" s="1" t="s">
        <v>33</v>
      </c>
      <c r="D1032" s="1" t="str">
        <f t="shared" si="81"/>
        <v>Yes</v>
      </c>
      <c r="E1032" s="1" t="s">
        <v>29</v>
      </c>
      <c r="F1032" s="1">
        <v>2</v>
      </c>
      <c r="G1032" s="1" t="s">
        <v>17</v>
      </c>
      <c r="H1032" s="1" t="str">
        <f t="shared" si="82"/>
        <v>No</v>
      </c>
      <c r="I1032" s="1"/>
      <c r="J1032" s="1">
        <v>6457</v>
      </c>
      <c r="K1032" s="1">
        <v>8642</v>
      </c>
      <c r="L1032" s="1">
        <v>237</v>
      </c>
      <c r="M1032" s="1">
        <f t="shared" si="83"/>
        <v>360</v>
      </c>
      <c r="N1032" s="1"/>
      <c r="O1032" s="1">
        <f t="shared" si="84"/>
        <v>0</v>
      </c>
      <c r="P1032" s="1"/>
      <c r="Q1032" s="1" t="s">
        <v>19</v>
      </c>
      <c r="R1032" s="1" t="s">
        <v>20</v>
      </c>
    </row>
    <row r="1033" spans="1:18" x14ac:dyDescent="0.35">
      <c r="A1033" s="1" t="s">
        <v>1064</v>
      </c>
      <c r="B1033" s="1" t="str">
        <f t="shared" si="80"/>
        <v>Unknown</v>
      </c>
      <c r="C1033" s="1"/>
      <c r="D1033" s="1" t="str">
        <f t="shared" si="81"/>
        <v>No</v>
      </c>
      <c r="E1033" s="1"/>
      <c r="F1033" s="1">
        <v>0</v>
      </c>
      <c r="G1033" s="1" t="s">
        <v>25</v>
      </c>
      <c r="H1033" s="1" t="str">
        <f t="shared" si="82"/>
        <v>Yes</v>
      </c>
      <c r="I1033" s="1" t="s">
        <v>29</v>
      </c>
      <c r="J1033" s="1">
        <v>8541</v>
      </c>
      <c r="K1033" s="1">
        <v>7254</v>
      </c>
      <c r="L1033" s="1">
        <v>642</v>
      </c>
      <c r="M1033" s="1">
        <f t="shared" si="83"/>
        <v>360</v>
      </c>
      <c r="N1033" s="1">
        <v>360</v>
      </c>
      <c r="O1033" s="1">
        <f t="shared" si="84"/>
        <v>0</v>
      </c>
      <c r="P1033" s="1"/>
      <c r="Q1033" s="1" t="s">
        <v>41</v>
      </c>
      <c r="R1033" s="1" t="s">
        <v>26</v>
      </c>
    </row>
    <row r="1034" spans="1:18" x14ac:dyDescent="0.35">
      <c r="A1034" s="1" t="s">
        <v>1065</v>
      </c>
      <c r="B1034" s="1" t="str">
        <f t="shared" si="80"/>
        <v>Male</v>
      </c>
      <c r="C1034" s="1" t="s">
        <v>52</v>
      </c>
      <c r="D1034" s="1" t="str">
        <f t="shared" si="81"/>
        <v>Yes</v>
      </c>
      <c r="E1034" s="1" t="s">
        <v>24</v>
      </c>
      <c r="F1034" s="1" t="s">
        <v>16</v>
      </c>
      <c r="G1034" s="1" t="s">
        <v>17</v>
      </c>
      <c r="H1034" s="1" t="str">
        <f t="shared" si="82"/>
        <v>No</v>
      </c>
      <c r="I1034" s="1"/>
      <c r="J1034" s="1">
        <v>2778</v>
      </c>
      <c r="K1034" s="1">
        <v>7953</v>
      </c>
      <c r="L1034" s="1">
        <v>246</v>
      </c>
      <c r="M1034" s="1">
        <f t="shared" si="83"/>
        <v>360</v>
      </c>
      <c r="N1034" s="1">
        <v>360</v>
      </c>
      <c r="O1034" s="1">
        <f t="shared" si="84"/>
        <v>0</v>
      </c>
      <c r="P1034" s="1">
        <v>0</v>
      </c>
      <c r="Q1034" s="1" t="s">
        <v>30</v>
      </c>
      <c r="R1034" s="1" t="s">
        <v>20</v>
      </c>
    </row>
    <row r="1035" spans="1:18" x14ac:dyDescent="0.35">
      <c r="A1035" s="1" t="s">
        <v>1066</v>
      </c>
      <c r="B1035" s="1" t="str">
        <f t="shared" si="80"/>
        <v>Female</v>
      </c>
      <c r="C1035" s="1" t="s">
        <v>43</v>
      </c>
      <c r="D1035" s="1" t="str">
        <f t="shared" si="81"/>
        <v>Yes</v>
      </c>
      <c r="E1035" s="1" t="s">
        <v>15</v>
      </c>
      <c r="F1035" s="1">
        <v>1</v>
      </c>
      <c r="G1035" s="1" t="s">
        <v>17</v>
      </c>
      <c r="H1035" s="1" t="str">
        <f t="shared" si="82"/>
        <v>Yes</v>
      </c>
      <c r="I1035" s="1" t="s">
        <v>15</v>
      </c>
      <c r="J1035" s="1">
        <v>5232</v>
      </c>
      <c r="K1035" s="1">
        <v>8059</v>
      </c>
      <c r="L1035" s="1">
        <v>409</v>
      </c>
      <c r="M1035" s="1">
        <f t="shared" si="83"/>
        <v>360</v>
      </c>
      <c r="N1035" s="1"/>
      <c r="O1035" s="1">
        <f t="shared" si="84"/>
        <v>1</v>
      </c>
      <c r="P1035" s="1">
        <v>1</v>
      </c>
      <c r="Q1035" s="1" t="s">
        <v>19</v>
      </c>
      <c r="R1035" s="1" t="s">
        <v>26</v>
      </c>
    </row>
    <row r="1036" spans="1:18" x14ac:dyDescent="0.35">
      <c r="A1036" s="1" t="s">
        <v>1067</v>
      </c>
      <c r="B1036" s="1" t="str">
        <f t="shared" si="80"/>
        <v>Male</v>
      </c>
      <c r="C1036" s="1" t="s">
        <v>33</v>
      </c>
      <c r="D1036" s="1" t="str">
        <f t="shared" si="81"/>
        <v>Yes</v>
      </c>
      <c r="E1036" s="1" t="s">
        <v>15</v>
      </c>
      <c r="F1036" s="1">
        <v>0</v>
      </c>
      <c r="G1036" s="1" t="s">
        <v>25</v>
      </c>
      <c r="H1036" s="1" t="str">
        <f t="shared" si="82"/>
        <v>No</v>
      </c>
      <c r="I1036" s="1" t="s">
        <v>18</v>
      </c>
      <c r="J1036" s="1">
        <v>13725</v>
      </c>
      <c r="K1036" s="1">
        <v>630</v>
      </c>
      <c r="L1036" s="1">
        <v>411</v>
      </c>
      <c r="M1036" s="1">
        <f t="shared" si="83"/>
        <v>360</v>
      </c>
      <c r="N1036" s="1"/>
      <c r="O1036" s="1">
        <f t="shared" si="84"/>
        <v>0</v>
      </c>
      <c r="P1036" s="1"/>
      <c r="Q1036" s="1" t="s">
        <v>41</v>
      </c>
      <c r="R1036" s="1" t="s">
        <v>20</v>
      </c>
    </row>
    <row r="1037" spans="1:18" x14ac:dyDescent="0.35">
      <c r="A1037" s="1" t="s">
        <v>1068</v>
      </c>
      <c r="B1037" s="1" t="str">
        <f t="shared" si="80"/>
        <v>Male</v>
      </c>
      <c r="C1037" s="1" t="s">
        <v>33</v>
      </c>
      <c r="D1037" s="1" t="str">
        <f t="shared" si="81"/>
        <v>Yes</v>
      </c>
      <c r="E1037" s="1" t="s">
        <v>29</v>
      </c>
      <c r="F1037" s="1">
        <v>0</v>
      </c>
      <c r="G1037" s="1" t="s">
        <v>17</v>
      </c>
      <c r="H1037" s="1" t="str">
        <f t="shared" si="82"/>
        <v>No</v>
      </c>
      <c r="I1037" s="1"/>
      <c r="J1037" s="1">
        <v>6911</v>
      </c>
      <c r="K1037" s="1">
        <v>9735</v>
      </c>
      <c r="L1037" s="1">
        <v>341</v>
      </c>
      <c r="M1037" s="1">
        <f t="shared" si="83"/>
        <v>180</v>
      </c>
      <c r="N1037" s="1">
        <v>180</v>
      </c>
      <c r="O1037" s="1">
        <f t="shared" si="84"/>
        <v>1</v>
      </c>
      <c r="P1037" s="1">
        <v>1</v>
      </c>
      <c r="Q1037" s="1" t="s">
        <v>30</v>
      </c>
      <c r="R1037" s="1" t="s">
        <v>26</v>
      </c>
    </row>
    <row r="1038" spans="1:18" x14ac:dyDescent="0.35">
      <c r="A1038" s="1" t="s">
        <v>1069</v>
      </c>
      <c r="B1038" s="1" t="str">
        <f t="shared" si="80"/>
        <v>Unknown</v>
      </c>
      <c r="C1038" s="1"/>
      <c r="D1038" s="1" t="str">
        <f t="shared" si="81"/>
        <v>No</v>
      </c>
      <c r="E1038" s="1" t="s">
        <v>18</v>
      </c>
      <c r="F1038" s="1">
        <v>0</v>
      </c>
      <c r="G1038" s="1" t="s">
        <v>17</v>
      </c>
      <c r="H1038" s="1" t="str">
        <f t="shared" si="82"/>
        <v>No</v>
      </c>
      <c r="I1038" s="1" t="s">
        <v>22</v>
      </c>
      <c r="J1038" s="1">
        <v>5554</v>
      </c>
      <c r="K1038" s="1">
        <v>8676</v>
      </c>
      <c r="L1038" s="1">
        <v>466</v>
      </c>
      <c r="M1038" s="1">
        <f t="shared" si="83"/>
        <v>360</v>
      </c>
      <c r="N1038" s="1"/>
      <c r="O1038" s="1">
        <f t="shared" si="84"/>
        <v>1</v>
      </c>
      <c r="P1038" s="1">
        <v>1</v>
      </c>
      <c r="Q1038" s="1" t="s">
        <v>30</v>
      </c>
      <c r="R1038" s="1" t="s">
        <v>20</v>
      </c>
    </row>
    <row r="1039" spans="1:18" x14ac:dyDescent="0.35">
      <c r="A1039" s="1" t="s">
        <v>1070</v>
      </c>
      <c r="B1039" s="1" t="str">
        <f t="shared" si="80"/>
        <v>Male</v>
      </c>
      <c r="C1039" s="1" t="s">
        <v>14</v>
      </c>
      <c r="D1039" s="1" t="str">
        <f t="shared" si="81"/>
        <v>Yes</v>
      </c>
      <c r="E1039" s="1" t="s">
        <v>15</v>
      </c>
      <c r="F1039" s="1" t="s">
        <v>16</v>
      </c>
      <c r="G1039" s="1" t="s">
        <v>17</v>
      </c>
      <c r="H1039" s="1" t="str">
        <f t="shared" si="82"/>
        <v>No</v>
      </c>
      <c r="I1039" s="1"/>
      <c r="J1039" s="1">
        <v>16391</v>
      </c>
      <c r="K1039" s="1">
        <v>1445</v>
      </c>
      <c r="L1039" s="1">
        <v>79</v>
      </c>
      <c r="M1039" s="1">
        <f t="shared" si="83"/>
        <v>180</v>
      </c>
      <c r="N1039" s="1">
        <v>180</v>
      </c>
      <c r="O1039" s="1">
        <f t="shared" si="84"/>
        <v>0</v>
      </c>
      <c r="P1039" s="1"/>
      <c r="Q1039" s="1" t="s">
        <v>30</v>
      </c>
      <c r="R1039" s="1" t="s">
        <v>20</v>
      </c>
    </row>
    <row r="1040" spans="1:18" x14ac:dyDescent="0.35">
      <c r="A1040" s="1" t="s">
        <v>1071</v>
      </c>
      <c r="B1040" s="1" t="str">
        <f t="shared" si="80"/>
        <v>Male</v>
      </c>
      <c r="C1040" s="1" t="s">
        <v>52</v>
      </c>
      <c r="D1040" s="1" t="str">
        <f t="shared" si="81"/>
        <v>No</v>
      </c>
      <c r="E1040" s="1"/>
      <c r="F1040" s="1" t="s">
        <v>16</v>
      </c>
      <c r="G1040" s="1" t="s">
        <v>17</v>
      </c>
      <c r="H1040" s="1" t="str">
        <f t="shared" si="82"/>
        <v>No</v>
      </c>
      <c r="I1040" s="1" t="s">
        <v>18</v>
      </c>
      <c r="J1040" s="1">
        <v>5900</v>
      </c>
      <c r="K1040" s="1">
        <v>3366</v>
      </c>
      <c r="L1040" s="1">
        <v>292</v>
      </c>
      <c r="M1040" s="1">
        <f t="shared" si="83"/>
        <v>180</v>
      </c>
      <c r="N1040" s="1">
        <v>180</v>
      </c>
      <c r="O1040" s="1">
        <f t="shared" si="84"/>
        <v>1</v>
      </c>
      <c r="P1040" s="1">
        <v>1</v>
      </c>
      <c r="Q1040" s="1" t="s">
        <v>19</v>
      </c>
      <c r="R1040" s="1" t="s">
        <v>26</v>
      </c>
    </row>
    <row r="1041" spans="1:18" x14ac:dyDescent="0.35">
      <c r="A1041" s="1" t="s">
        <v>1072</v>
      </c>
      <c r="B1041" s="1" t="str">
        <f t="shared" si="80"/>
        <v>Unknown</v>
      </c>
      <c r="C1041" s="1"/>
      <c r="D1041" s="1" t="str">
        <f t="shared" si="81"/>
        <v>No</v>
      </c>
      <c r="E1041" s="1" t="s">
        <v>22</v>
      </c>
      <c r="F1041" s="1">
        <v>2</v>
      </c>
      <c r="G1041" s="1" t="s">
        <v>25</v>
      </c>
      <c r="H1041" s="1" t="str">
        <f t="shared" si="82"/>
        <v>No</v>
      </c>
      <c r="I1041" s="1"/>
      <c r="J1041" s="1">
        <v>9209</v>
      </c>
      <c r="K1041" s="1">
        <v>3823</v>
      </c>
      <c r="L1041" s="1">
        <v>120</v>
      </c>
      <c r="M1041" s="1">
        <f t="shared" si="83"/>
        <v>360</v>
      </c>
      <c r="N1041" s="1">
        <v>360</v>
      </c>
      <c r="O1041" s="1">
        <f t="shared" si="84"/>
        <v>1</v>
      </c>
      <c r="P1041" s="1">
        <v>1</v>
      </c>
      <c r="Q1041" s="1" t="s">
        <v>30</v>
      </c>
      <c r="R1041" s="1" t="s">
        <v>26</v>
      </c>
    </row>
    <row r="1042" spans="1:18" x14ac:dyDescent="0.35">
      <c r="A1042" s="1" t="s">
        <v>1073</v>
      </c>
      <c r="B1042" s="1" t="str">
        <f t="shared" si="80"/>
        <v>Male</v>
      </c>
      <c r="C1042" s="1" t="s">
        <v>14</v>
      </c>
      <c r="D1042" s="1" t="str">
        <f t="shared" si="81"/>
        <v>Yes</v>
      </c>
      <c r="E1042" s="1" t="s">
        <v>24</v>
      </c>
      <c r="F1042" s="1" t="s">
        <v>16</v>
      </c>
      <c r="G1042" s="1" t="s">
        <v>17</v>
      </c>
      <c r="H1042" s="1" t="str">
        <f t="shared" si="82"/>
        <v>Yes</v>
      </c>
      <c r="I1042" s="1" t="s">
        <v>24</v>
      </c>
      <c r="J1042" s="1">
        <v>5657</v>
      </c>
      <c r="K1042" s="1">
        <v>2381</v>
      </c>
      <c r="L1042" s="1">
        <v>339</v>
      </c>
      <c r="M1042" s="1">
        <f t="shared" si="83"/>
        <v>360</v>
      </c>
      <c r="N1042" s="1"/>
      <c r="O1042" s="1">
        <f t="shared" si="84"/>
        <v>0</v>
      </c>
      <c r="P1042" s="1"/>
      <c r="Q1042" s="1" t="s">
        <v>41</v>
      </c>
      <c r="R1042" s="1" t="s">
        <v>26</v>
      </c>
    </row>
    <row r="1043" spans="1:18" x14ac:dyDescent="0.35">
      <c r="A1043" s="1" t="s">
        <v>1074</v>
      </c>
      <c r="B1043" s="1" t="str">
        <f t="shared" si="80"/>
        <v>Unknown</v>
      </c>
      <c r="C1043" s="1"/>
      <c r="D1043" s="1" t="str">
        <f t="shared" si="81"/>
        <v>Yes</v>
      </c>
      <c r="E1043" s="1" t="s">
        <v>24</v>
      </c>
      <c r="F1043" s="1" t="s">
        <v>16</v>
      </c>
      <c r="G1043" s="1" t="s">
        <v>17</v>
      </c>
      <c r="H1043" s="1" t="str">
        <f t="shared" si="82"/>
        <v>No</v>
      </c>
      <c r="I1043" s="1"/>
      <c r="J1043" s="1">
        <v>2589</v>
      </c>
      <c r="K1043" s="1">
        <v>150</v>
      </c>
      <c r="L1043" s="1">
        <v>190</v>
      </c>
      <c r="M1043" s="1">
        <f t="shared" si="83"/>
        <v>180</v>
      </c>
      <c r="N1043" s="1">
        <v>180</v>
      </c>
      <c r="O1043" s="1">
        <f t="shared" si="84"/>
        <v>1</v>
      </c>
      <c r="P1043" s="1">
        <v>1</v>
      </c>
      <c r="Q1043" s="1" t="s">
        <v>30</v>
      </c>
      <c r="R1043" s="1" t="s">
        <v>26</v>
      </c>
    </row>
    <row r="1044" spans="1:18" x14ac:dyDescent="0.35">
      <c r="A1044" s="1" t="s">
        <v>1075</v>
      </c>
      <c r="B1044" s="1" t="str">
        <f t="shared" si="80"/>
        <v>Female</v>
      </c>
      <c r="C1044" s="1" t="s">
        <v>43</v>
      </c>
      <c r="D1044" s="1" t="str">
        <f t="shared" si="81"/>
        <v>Yes</v>
      </c>
      <c r="E1044" s="1" t="s">
        <v>24</v>
      </c>
      <c r="F1044" s="1">
        <v>1</v>
      </c>
      <c r="G1044" s="1" t="s">
        <v>17</v>
      </c>
      <c r="H1044" s="1" t="str">
        <f t="shared" si="82"/>
        <v>No</v>
      </c>
      <c r="I1044" s="1"/>
      <c r="J1044" s="1">
        <v>11977</v>
      </c>
      <c r="K1044" s="1">
        <v>9885</v>
      </c>
      <c r="L1044" s="1">
        <v>667</v>
      </c>
      <c r="M1044" s="1">
        <f t="shared" si="83"/>
        <v>120</v>
      </c>
      <c r="N1044" s="1">
        <v>120</v>
      </c>
      <c r="O1044" s="1">
        <f t="shared" si="84"/>
        <v>0</v>
      </c>
      <c r="P1044" s="1"/>
      <c r="Q1044" s="1" t="s">
        <v>19</v>
      </c>
      <c r="R1044" s="1" t="s">
        <v>26</v>
      </c>
    </row>
    <row r="1045" spans="1:18" x14ac:dyDescent="0.35">
      <c r="A1045" s="1" t="s">
        <v>1076</v>
      </c>
      <c r="B1045" s="1" t="str">
        <f t="shared" si="80"/>
        <v>Unknown</v>
      </c>
      <c r="C1045" s="1"/>
      <c r="D1045" s="1" t="str">
        <f t="shared" si="81"/>
        <v>No</v>
      </c>
      <c r="E1045" s="1"/>
      <c r="F1045" s="1">
        <v>2</v>
      </c>
      <c r="G1045" s="1" t="s">
        <v>17</v>
      </c>
      <c r="H1045" s="1" t="str">
        <f t="shared" si="82"/>
        <v>No</v>
      </c>
      <c r="I1045" s="1" t="s">
        <v>18</v>
      </c>
      <c r="J1045" s="1">
        <v>12304</v>
      </c>
      <c r="K1045" s="1">
        <v>3104</v>
      </c>
      <c r="L1045" s="1">
        <v>448</v>
      </c>
      <c r="M1045" s="1">
        <f t="shared" si="83"/>
        <v>360</v>
      </c>
      <c r="N1045" s="1">
        <v>360</v>
      </c>
      <c r="O1045" s="1">
        <f t="shared" si="84"/>
        <v>1</v>
      </c>
      <c r="P1045" s="1">
        <v>1</v>
      </c>
      <c r="Q1045" s="1" t="s">
        <v>30</v>
      </c>
      <c r="R1045" s="1" t="s">
        <v>20</v>
      </c>
    </row>
    <row r="1046" spans="1:18" x14ac:dyDescent="0.35">
      <c r="A1046" s="1" t="s">
        <v>1077</v>
      </c>
      <c r="B1046" s="1" t="str">
        <f t="shared" si="80"/>
        <v>Male</v>
      </c>
      <c r="C1046" s="1" t="s">
        <v>14</v>
      </c>
      <c r="D1046" s="1" t="str">
        <f t="shared" si="81"/>
        <v>Yes</v>
      </c>
      <c r="E1046" s="1" t="s">
        <v>24</v>
      </c>
      <c r="F1046" s="1">
        <v>0</v>
      </c>
      <c r="G1046" s="1" t="s">
        <v>25</v>
      </c>
      <c r="H1046" s="1" t="str">
        <f t="shared" si="82"/>
        <v>Yes</v>
      </c>
      <c r="I1046" s="1" t="s">
        <v>15</v>
      </c>
      <c r="J1046" s="1">
        <v>9182</v>
      </c>
      <c r="K1046" s="1">
        <v>7079</v>
      </c>
      <c r="L1046" s="1">
        <v>271</v>
      </c>
      <c r="M1046" s="1">
        <f t="shared" si="83"/>
        <v>180</v>
      </c>
      <c r="N1046" s="1">
        <v>180</v>
      </c>
      <c r="O1046" s="1">
        <f t="shared" si="84"/>
        <v>1</v>
      </c>
      <c r="P1046" s="1">
        <v>1</v>
      </c>
      <c r="Q1046" s="1" t="s">
        <v>19</v>
      </c>
      <c r="R1046" s="1" t="s">
        <v>26</v>
      </c>
    </row>
    <row r="1047" spans="1:18" x14ac:dyDescent="0.35">
      <c r="A1047" s="1" t="s">
        <v>1078</v>
      </c>
      <c r="B1047" s="1" t="str">
        <f t="shared" si="80"/>
        <v>Unknown</v>
      </c>
      <c r="C1047" s="1"/>
      <c r="D1047" s="1" t="str">
        <f t="shared" si="81"/>
        <v>No</v>
      </c>
      <c r="E1047" s="1" t="s">
        <v>18</v>
      </c>
      <c r="F1047" s="1">
        <v>2</v>
      </c>
      <c r="G1047" s="1" t="s">
        <v>25</v>
      </c>
      <c r="H1047" s="1" t="str">
        <f t="shared" si="82"/>
        <v>No</v>
      </c>
      <c r="I1047" s="1" t="s">
        <v>36</v>
      </c>
      <c r="J1047" s="1">
        <v>15973</v>
      </c>
      <c r="K1047" s="1">
        <v>8771</v>
      </c>
      <c r="L1047" s="1">
        <v>640</v>
      </c>
      <c r="M1047" s="1">
        <f t="shared" si="83"/>
        <v>360</v>
      </c>
      <c r="N1047" s="1"/>
      <c r="O1047" s="1">
        <f t="shared" si="84"/>
        <v>0</v>
      </c>
      <c r="P1047" s="1"/>
      <c r="Q1047" s="1" t="s">
        <v>19</v>
      </c>
      <c r="R1047" s="1" t="s">
        <v>26</v>
      </c>
    </row>
    <row r="1048" spans="1:18" x14ac:dyDescent="0.35">
      <c r="A1048" s="1" t="s">
        <v>1079</v>
      </c>
      <c r="B1048" s="1" t="str">
        <f t="shared" si="80"/>
        <v>Unknown</v>
      </c>
      <c r="C1048" s="1"/>
      <c r="D1048" s="1" t="str">
        <f t="shared" si="81"/>
        <v>Yes</v>
      </c>
      <c r="E1048" s="1" t="s">
        <v>29</v>
      </c>
      <c r="F1048" s="1" t="s">
        <v>16</v>
      </c>
      <c r="G1048" s="1" t="s">
        <v>17</v>
      </c>
      <c r="H1048" s="1" t="str">
        <f t="shared" si="82"/>
        <v>No</v>
      </c>
      <c r="I1048" s="1" t="s">
        <v>22</v>
      </c>
      <c r="J1048" s="1">
        <v>13674</v>
      </c>
      <c r="K1048" s="1">
        <v>2140</v>
      </c>
      <c r="L1048" s="1">
        <v>583</v>
      </c>
      <c r="M1048" s="1">
        <f t="shared" si="83"/>
        <v>120</v>
      </c>
      <c r="N1048" s="1">
        <v>120</v>
      </c>
      <c r="O1048" s="1">
        <f t="shared" si="84"/>
        <v>0</v>
      </c>
      <c r="P1048" s="1"/>
      <c r="Q1048" s="1" t="s">
        <v>41</v>
      </c>
      <c r="R1048" s="1" t="s">
        <v>26</v>
      </c>
    </row>
    <row r="1049" spans="1:18" x14ac:dyDescent="0.35">
      <c r="A1049" s="1" t="s">
        <v>1080</v>
      </c>
      <c r="B1049" s="1" t="str">
        <f t="shared" si="80"/>
        <v>Female</v>
      </c>
      <c r="C1049" s="1" t="s">
        <v>28</v>
      </c>
      <c r="D1049" s="1" t="str">
        <f t="shared" si="81"/>
        <v>No</v>
      </c>
      <c r="E1049" s="1"/>
      <c r="F1049" s="1" t="s">
        <v>16</v>
      </c>
      <c r="G1049" s="1" t="s">
        <v>25</v>
      </c>
      <c r="H1049" s="1" t="str">
        <f t="shared" si="82"/>
        <v>No</v>
      </c>
      <c r="I1049" s="1"/>
      <c r="J1049" s="1">
        <v>7948</v>
      </c>
      <c r="K1049" s="1">
        <v>7791</v>
      </c>
      <c r="L1049" s="1">
        <v>192</v>
      </c>
      <c r="M1049" s="1">
        <f t="shared" si="83"/>
        <v>180</v>
      </c>
      <c r="N1049" s="1">
        <v>180</v>
      </c>
      <c r="O1049" s="1">
        <f t="shared" si="84"/>
        <v>0</v>
      </c>
      <c r="P1049" s="1">
        <v>0</v>
      </c>
      <c r="Q1049" s="1" t="s">
        <v>41</v>
      </c>
      <c r="R1049" s="1" t="s">
        <v>20</v>
      </c>
    </row>
    <row r="1050" spans="1:18" x14ac:dyDescent="0.35">
      <c r="A1050" s="1" t="s">
        <v>1081</v>
      </c>
      <c r="B1050" s="1" t="str">
        <f t="shared" si="80"/>
        <v>Unknown</v>
      </c>
      <c r="C1050" s="1"/>
      <c r="D1050" s="1" t="str">
        <f t="shared" si="81"/>
        <v>No</v>
      </c>
      <c r="E1050" s="1" t="s">
        <v>22</v>
      </c>
      <c r="F1050" s="1">
        <v>2</v>
      </c>
      <c r="G1050" s="1" t="s">
        <v>17</v>
      </c>
      <c r="H1050" s="1" t="str">
        <f t="shared" si="82"/>
        <v>No</v>
      </c>
      <c r="I1050" s="1" t="s">
        <v>22</v>
      </c>
      <c r="J1050" s="1">
        <v>2259</v>
      </c>
      <c r="K1050" s="1">
        <v>3381</v>
      </c>
      <c r="L1050" s="1">
        <v>477</v>
      </c>
      <c r="M1050" s="1">
        <f t="shared" si="83"/>
        <v>360</v>
      </c>
      <c r="N1050" s="1">
        <v>360</v>
      </c>
      <c r="O1050" s="1">
        <f t="shared" si="84"/>
        <v>0</v>
      </c>
      <c r="P1050" s="1">
        <v>0</v>
      </c>
      <c r="Q1050" s="1" t="s">
        <v>19</v>
      </c>
      <c r="R1050" s="1" t="s">
        <v>20</v>
      </c>
    </row>
    <row r="1051" spans="1:18" x14ac:dyDescent="0.35">
      <c r="A1051" s="1" t="s">
        <v>1082</v>
      </c>
      <c r="B1051" s="1" t="str">
        <f t="shared" si="80"/>
        <v>Unknown</v>
      </c>
      <c r="C1051" s="1"/>
      <c r="D1051" s="1" t="str">
        <f t="shared" si="81"/>
        <v>No</v>
      </c>
      <c r="E1051" s="1" t="s">
        <v>18</v>
      </c>
      <c r="F1051" s="1">
        <v>1</v>
      </c>
      <c r="G1051" s="1" t="s">
        <v>17</v>
      </c>
      <c r="H1051" s="1" t="str">
        <f t="shared" si="82"/>
        <v>No</v>
      </c>
      <c r="I1051" s="1"/>
      <c r="J1051" s="1">
        <v>3421</v>
      </c>
      <c r="K1051" s="1">
        <v>7507</v>
      </c>
      <c r="L1051" s="1">
        <v>118</v>
      </c>
      <c r="M1051" s="1">
        <f t="shared" si="83"/>
        <v>360</v>
      </c>
      <c r="N1051" s="1">
        <v>360</v>
      </c>
      <c r="O1051" s="1">
        <f t="shared" si="84"/>
        <v>0</v>
      </c>
      <c r="P1051" s="1"/>
      <c r="Q1051" s="1" t="s">
        <v>30</v>
      </c>
      <c r="R1051" s="1" t="s">
        <v>26</v>
      </c>
    </row>
    <row r="1052" spans="1:18" x14ac:dyDescent="0.35">
      <c r="A1052" s="1" t="s">
        <v>1083</v>
      </c>
      <c r="B1052" s="1" t="str">
        <f t="shared" si="80"/>
        <v>Male</v>
      </c>
      <c r="C1052" s="1" t="s">
        <v>52</v>
      </c>
      <c r="D1052" s="1" t="str">
        <f t="shared" si="81"/>
        <v>No</v>
      </c>
      <c r="E1052" s="1"/>
      <c r="F1052" s="1">
        <v>0</v>
      </c>
      <c r="G1052" s="1" t="s">
        <v>25</v>
      </c>
      <c r="H1052" s="1" t="str">
        <f t="shared" si="82"/>
        <v>No</v>
      </c>
      <c r="I1052" s="1"/>
      <c r="J1052" s="1">
        <v>19864</v>
      </c>
      <c r="K1052" s="1">
        <v>8091</v>
      </c>
      <c r="L1052" s="1">
        <v>680</v>
      </c>
      <c r="M1052" s="1">
        <f t="shared" si="83"/>
        <v>360</v>
      </c>
      <c r="N1052" s="1">
        <v>360</v>
      </c>
      <c r="O1052" s="1">
        <f t="shared" si="84"/>
        <v>0</v>
      </c>
      <c r="P1052" s="1"/>
      <c r="Q1052" s="1" t="s">
        <v>41</v>
      </c>
      <c r="R1052" s="1" t="s">
        <v>20</v>
      </c>
    </row>
    <row r="1053" spans="1:18" x14ac:dyDescent="0.35">
      <c r="A1053" s="1" t="s">
        <v>1084</v>
      </c>
      <c r="B1053" s="1" t="str">
        <f t="shared" si="80"/>
        <v>Male</v>
      </c>
      <c r="C1053" s="1" t="s">
        <v>33</v>
      </c>
      <c r="D1053" s="1" t="str">
        <f t="shared" si="81"/>
        <v>No</v>
      </c>
      <c r="E1053" s="1"/>
      <c r="F1053" s="1">
        <v>1</v>
      </c>
      <c r="G1053" s="1" t="s">
        <v>25</v>
      </c>
      <c r="H1053" s="1" t="str">
        <f t="shared" si="82"/>
        <v>No</v>
      </c>
      <c r="I1053" s="1" t="s">
        <v>18</v>
      </c>
      <c r="J1053" s="1">
        <v>18716</v>
      </c>
      <c r="K1053" s="1">
        <v>7679</v>
      </c>
      <c r="L1053" s="1">
        <v>435</v>
      </c>
      <c r="M1053" s="1">
        <f t="shared" si="83"/>
        <v>360</v>
      </c>
      <c r="N1053" s="1">
        <v>360</v>
      </c>
      <c r="O1053" s="1">
        <f t="shared" si="84"/>
        <v>0</v>
      </c>
      <c r="P1053" s="1">
        <v>0</v>
      </c>
      <c r="Q1053" s="1" t="s">
        <v>41</v>
      </c>
      <c r="R1053" s="1" t="s">
        <v>20</v>
      </c>
    </row>
    <row r="1054" spans="1:18" x14ac:dyDescent="0.35">
      <c r="A1054" s="1" t="s">
        <v>1085</v>
      </c>
      <c r="B1054" s="1" t="str">
        <f t="shared" si="80"/>
        <v>Unknown</v>
      </c>
      <c r="C1054" s="1"/>
      <c r="D1054" s="1" t="str">
        <f t="shared" si="81"/>
        <v>No</v>
      </c>
      <c r="E1054" s="1" t="s">
        <v>36</v>
      </c>
      <c r="F1054" s="1">
        <v>2</v>
      </c>
      <c r="G1054" s="1" t="s">
        <v>25</v>
      </c>
      <c r="H1054" s="1" t="str">
        <f t="shared" si="82"/>
        <v>No</v>
      </c>
      <c r="I1054" s="1" t="s">
        <v>18</v>
      </c>
      <c r="J1054" s="1">
        <v>3350</v>
      </c>
      <c r="K1054" s="1">
        <v>5335</v>
      </c>
      <c r="L1054" s="1">
        <v>364</v>
      </c>
      <c r="M1054" s="1">
        <f t="shared" si="83"/>
        <v>360</v>
      </c>
      <c r="N1054" s="1">
        <v>360</v>
      </c>
      <c r="O1054" s="1">
        <f t="shared" si="84"/>
        <v>1</v>
      </c>
      <c r="P1054" s="1">
        <v>1</v>
      </c>
      <c r="Q1054" s="1" t="s">
        <v>19</v>
      </c>
      <c r="R1054" s="1" t="s">
        <v>20</v>
      </c>
    </row>
    <row r="1055" spans="1:18" x14ac:dyDescent="0.35">
      <c r="A1055" s="1" t="s">
        <v>1086</v>
      </c>
      <c r="B1055" s="1" t="str">
        <f t="shared" si="80"/>
        <v>Female</v>
      </c>
      <c r="C1055" s="1" t="s">
        <v>43</v>
      </c>
      <c r="D1055" s="1" t="str">
        <f t="shared" si="81"/>
        <v>No</v>
      </c>
      <c r="E1055" s="1"/>
      <c r="F1055" s="1">
        <v>1</v>
      </c>
      <c r="G1055" s="1" t="s">
        <v>25</v>
      </c>
      <c r="H1055" s="1" t="str">
        <f t="shared" si="82"/>
        <v>No</v>
      </c>
      <c r="I1055" s="1" t="s">
        <v>36</v>
      </c>
      <c r="J1055" s="1">
        <v>6899</v>
      </c>
      <c r="K1055" s="1">
        <v>7700</v>
      </c>
      <c r="L1055" s="1">
        <v>506</v>
      </c>
      <c r="M1055" s="1">
        <f t="shared" si="83"/>
        <v>180</v>
      </c>
      <c r="N1055" s="1">
        <v>180</v>
      </c>
      <c r="O1055" s="1">
        <f t="shared" si="84"/>
        <v>1</v>
      </c>
      <c r="P1055" s="1">
        <v>1</v>
      </c>
      <c r="Q1055" s="1" t="s">
        <v>19</v>
      </c>
      <c r="R1055" s="1" t="s">
        <v>26</v>
      </c>
    </row>
    <row r="1056" spans="1:18" x14ac:dyDescent="0.35">
      <c r="A1056" s="1" t="s">
        <v>1087</v>
      </c>
      <c r="B1056" s="1" t="str">
        <f t="shared" si="80"/>
        <v>Male</v>
      </c>
      <c r="C1056" s="1" t="s">
        <v>52</v>
      </c>
      <c r="D1056" s="1" t="str">
        <f t="shared" si="81"/>
        <v>No</v>
      </c>
      <c r="E1056" s="1"/>
      <c r="F1056" s="1">
        <v>1</v>
      </c>
      <c r="G1056" s="1" t="s">
        <v>25</v>
      </c>
      <c r="H1056" s="1" t="str">
        <f t="shared" si="82"/>
        <v>No</v>
      </c>
      <c r="I1056" s="1" t="s">
        <v>22</v>
      </c>
      <c r="J1056" s="1">
        <v>2723</v>
      </c>
      <c r="K1056" s="1">
        <v>6439</v>
      </c>
      <c r="L1056" s="1">
        <v>611</v>
      </c>
      <c r="M1056" s="1">
        <f t="shared" si="83"/>
        <v>360</v>
      </c>
      <c r="N1056" s="1"/>
      <c r="O1056" s="1">
        <f t="shared" si="84"/>
        <v>1</v>
      </c>
      <c r="P1056" s="1">
        <v>1</v>
      </c>
      <c r="Q1056" s="1" t="s">
        <v>41</v>
      </c>
      <c r="R1056" s="1" t="s">
        <v>26</v>
      </c>
    </row>
    <row r="1057" spans="1:18" x14ac:dyDescent="0.35">
      <c r="A1057" s="1" t="s">
        <v>1088</v>
      </c>
      <c r="B1057" s="1" t="str">
        <f t="shared" si="80"/>
        <v>Male</v>
      </c>
      <c r="C1057" s="1" t="s">
        <v>33</v>
      </c>
      <c r="D1057" s="1" t="str">
        <f t="shared" si="81"/>
        <v>No</v>
      </c>
      <c r="E1057" s="1"/>
      <c r="F1057" s="1" t="s">
        <v>16</v>
      </c>
      <c r="G1057" s="1" t="s">
        <v>17</v>
      </c>
      <c r="H1057" s="1" t="str">
        <f t="shared" si="82"/>
        <v>Yes</v>
      </c>
      <c r="I1057" s="1" t="s">
        <v>29</v>
      </c>
      <c r="J1057" s="1">
        <v>5076</v>
      </c>
      <c r="K1057" s="1">
        <v>1730</v>
      </c>
      <c r="L1057" s="1">
        <v>92</v>
      </c>
      <c r="M1057" s="1">
        <f t="shared" si="83"/>
        <v>120</v>
      </c>
      <c r="N1057" s="1">
        <v>120</v>
      </c>
      <c r="O1057" s="1">
        <f t="shared" si="84"/>
        <v>1</v>
      </c>
      <c r="P1057" s="1">
        <v>1</v>
      </c>
      <c r="Q1057" s="1" t="s">
        <v>41</v>
      </c>
      <c r="R1057" s="1" t="s">
        <v>20</v>
      </c>
    </row>
    <row r="1058" spans="1:18" x14ac:dyDescent="0.35">
      <c r="A1058" s="1" t="s">
        <v>1089</v>
      </c>
      <c r="B1058" s="1" t="str">
        <f t="shared" si="80"/>
        <v>Unknown</v>
      </c>
      <c r="C1058" s="1"/>
      <c r="D1058" s="1" t="str">
        <f t="shared" si="81"/>
        <v>Yes</v>
      </c>
      <c r="E1058" s="1" t="s">
        <v>29</v>
      </c>
      <c r="F1058" s="1">
        <v>0</v>
      </c>
      <c r="G1058" s="1" t="s">
        <v>25</v>
      </c>
      <c r="H1058" s="1" t="str">
        <f t="shared" si="82"/>
        <v>No</v>
      </c>
      <c r="I1058" s="1"/>
      <c r="J1058" s="1">
        <v>18008</v>
      </c>
      <c r="K1058" s="1">
        <v>3507</v>
      </c>
      <c r="L1058" s="1">
        <v>359</v>
      </c>
      <c r="M1058" s="1">
        <f t="shared" si="83"/>
        <v>120</v>
      </c>
      <c r="N1058" s="1">
        <v>120</v>
      </c>
      <c r="O1058" s="1">
        <f t="shared" si="84"/>
        <v>0</v>
      </c>
      <c r="P1058" s="1"/>
      <c r="Q1058" s="1" t="s">
        <v>41</v>
      </c>
      <c r="R1058" s="1" t="s">
        <v>20</v>
      </c>
    </row>
    <row r="1059" spans="1:18" x14ac:dyDescent="0.35">
      <c r="A1059" s="1" t="s">
        <v>1090</v>
      </c>
      <c r="B1059" s="1" t="str">
        <f t="shared" si="80"/>
        <v>Unknown</v>
      </c>
      <c r="C1059" s="1"/>
      <c r="D1059" s="1" t="str">
        <f t="shared" si="81"/>
        <v>Yes</v>
      </c>
      <c r="E1059" s="1" t="s">
        <v>29</v>
      </c>
      <c r="F1059" s="1">
        <v>0</v>
      </c>
      <c r="G1059" s="1" t="s">
        <v>17</v>
      </c>
      <c r="H1059" s="1" t="str">
        <f t="shared" si="82"/>
        <v>No</v>
      </c>
      <c r="I1059" s="1"/>
      <c r="J1059" s="1">
        <v>5798</v>
      </c>
      <c r="K1059" s="1">
        <v>3367</v>
      </c>
      <c r="L1059" s="1">
        <v>548</v>
      </c>
      <c r="M1059" s="1">
        <f t="shared" si="83"/>
        <v>360</v>
      </c>
      <c r="N1059" s="1">
        <v>360</v>
      </c>
      <c r="O1059" s="1">
        <f t="shared" si="84"/>
        <v>1</v>
      </c>
      <c r="P1059" s="1">
        <v>1</v>
      </c>
      <c r="Q1059" s="1" t="s">
        <v>41</v>
      </c>
      <c r="R1059" s="1" t="s">
        <v>20</v>
      </c>
    </row>
    <row r="1060" spans="1:18" x14ac:dyDescent="0.35">
      <c r="A1060" s="1" t="s">
        <v>1091</v>
      </c>
      <c r="B1060" s="1" t="str">
        <f t="shared" si="80"/>
        <v>Male</v>
      </c>
      <c r="C1060" s="1" t="s">
        <v>52</v>
      </c>
      <c r="D1060" s="1" t="str">
        <f t="shared" si="81"/>
        <v>No</v>
      </c>
      <c r="E1060" s="1" t="s">
        <v>18</v>
      </c>
      <c r="F1060" s="1" t="s">
        <v>16</v>
      </c>
      <c r="G1060" s="1" t="s">
        <v>25</v>
      </c>
      <c r="H1060" s="1" t="str">
        <f t="shared" si="82"/>
        <v>No</v>
      </c>
      <c r="I1060" s="1"/>
      <c r="J1060" s="1">
        <v>4501</v>
      </c>
      <c r="K1060" s="1">
        <v>3677</v>
      </c>
      <c r="L1060" s="1">
        <v>575</v>
      </c>
      <c r="M1060" s="1">
        <f t="shared" si="83"/>
        <v>360</v>
      </c>
      <c r="N1060" s="1"/>
      <c r="O1060" s="1">
        <f t="shared" si="84"/>
        <v>1</v>
      </c>
      <c r="P1060" s="1">
        <v>1</v>
      </c>
      <c r="Q1060" s="1" t="s">
        <v>19</v>
      </c>
      <c r="R1060" s="1" t="s">
        <v>20</v>
      </c>
    </row>
    <row r="1061" spans="1:18" x14ac:dyDescent="0.35">
      <c r="A1061" s="1" t="s">
        <v>1092</v>
      </c>
      <c r="B1061" s="1" t="str">
        <f t="shared" si="80"/>
        <v>Male</v>
      </c>
      <c r="C1061" s="1" t="s">
        <v>14</v>
      </c>
      <c r="D1061" s="1" t="str">
        <f t="shared" si="81"/>
        <v>No</v>
      </c>
      <c r="E1061" s="1"/>
      <c r="F1061" s="1">
        <v>1</v>
      </c>
      <c r="G1061" s="1" t="s">
        <v>17</v>
      </c>
      <c r="H1061" s="1" t="str">
        <f t="shared" si="82"/>
        <v>No</v>
      </c>
      <c r="I1061" s="1" t="s">
        <v>36</v>
      </c>
      <c r="J1061" s="1">
        <v>18986</v>
      </c>
      <c r="K1061" s="1">
        <v>6870</v>
      </c>
      <c r="L1061" s="1">
        <v>447</v>
      </c>
      <c r="M1061" s="1">
        <f t="shared" si="83"/>
        <v>120</v>
      </c>
      <c r="N1061" s="1">
        <v>120</v>
      </c>
      <c r="O1061" s="1">
        <f t="shared" si="84"/>
        <v>0</v>
      </c>
      <c r="P1061" s="1"/>
      <c r="Q1061" s="1" t="s">
        <v>19</v>
      </c>
      <c r="R1061" s="1" t="s">
        <v>26</v>
      </c>
    </row>
    <row r="1062" spans="1:18" x14ac:dyDescent="0.35">
      <c r="A1062" s="1" t="s">
        <v>1093</v>
      </c>
      <c r="B1062" s="1" t="str">
        <f t="shared" si="80"/>
        <v>Unknown</v>
      </c>
      <c r="C1062" s="1"/>
      <c r="D1062" s="1" t="str">
        <f t="shared" si="81"/>
        <v>No</v>
      </c>
      <c r="E1062" s="1"/>
      <c r="F1062" s="1">
        <v>2</v>
      </c>
      <c r="G1062" s="1" t="s">
        <v>17</v>
      </c>
      <c r="H1062" s="1" t="str">
        <f t="shared" si="82"/>
        <v>No</v>
      </c>
      <c r="I1062" s="1"/>
      <c r="J1062" s="1">
        <v>8695</v>
      </c>
      <c r="K1062" s="1">
        <v>5463</v>
      </c>
      <c r="L1062" s="1">
        <v>377</v>
      </c>
      <c r="M1062" s="1">
        <f t="shared" si="83"/>
        <v>360</v>
      </c>
      <c r="N1062" s="1"/>
      <c r="O1062" s="1">
        <f t="shared" si="84"/>
        <v>1</v>
      </c>
      <c r="P1062" s="1">
        <v>1</v>
      </c>
      <c r="Q1062" s="1" t="s">
        <v>30</v>
      </c>
      <c r="R1062" s="1" t="s">
        <v>26</v>
      </c>
    </row>
    <row r="1063" spans="1:18" x14ac:dyDescent="0.35">
      <c r="A1063" s="1" t="s">
        <v>1094</v>
      </c>
      <c r="B1063" s="1" t="str">
        <f t="shared" si="80"/>
        <v>Unknown</v>
      </c>
      <c r="C1063" s="1"/>
      <c r="D1063" s="1" t="str">
        <f t="shared" si="81"/>
        <v>No</v>
      </c>
      <c r="E1063" s="1" t="s">
        <v>36</v>
      </c>
      <c r="F1063" s="1">
        <v>2</v>
      </c>
      <c r="G1063" s="1" t="s">
        <v>25</v>
      </c>
      <c r="H1063" s="1" t="str">
        <f t="shared" si="82"/>
        <v>Yes</v>
      </c>
      <c r="I1063" s="1" t="s">
        <v>24</v>
      </c>
      <c r="J1063" s="1">
        <v>9850</v>
      </c>
      <c r="K1063" s="1">
        <v>5288</v>
      </c>
      <c r="L1063" s="1">
        <v>444</v>
      </c>
      <c r="M1063" s="1">
        <f t="shared" si="83"/>
        <v>120</v>
      </c>
      <c r="N1063" s="1">
        <v>120</v>
      </c>
      <c r="O1063" s="1">
        <f t="shared" si="84"/>
        <v>1</v>
      </c>
      <c r="P1063" s="1">
        <v>1</v>
      </c>
      <c r="Q1063" s="1" t="s">
        <v>19</v>
      </c>
      <c r="R1063" s="1" t="s">
        <v>26</v>
      </c>
    </row>
    <row r="1064" spans="1:18" x14ac:dyDescent="0.35">
      <c r="A1064" s="1" t="s">
        <v>1095</v>
      </c>
      <c r="B1064" s="1" t="str">
        <f t="shared" si="80"/>
        <v>Female</v>
      </c>
      <c r="C1064" s="1" t="s">
        <v>28</v>
      </c>
      <c r="D1064" s="1" t="str">
        <f t="shared" si="81"/>
        <v>Yes</v>
      </c>
      <c r="E1064" s="1" t="s">
        <v>29</v>
      </c>
      <c r="F1064" s="1">
        <v>2</v>
      </c>
      <c r="G1064" s="1" t="s">
        <v>25</v>
      </c>
      <c r="H1064" s="1" t="str">
        <f t="shared" si="82"/>
        <v>No</v>
      </c>
      <c r="I1064" s="1" t="s">
        <v>18</v>
      </c>
      <c r="J1064" s="1">
        <v>10428</v>
      </c>
      <c r="K1064" s="1">
        <v>3750</v>
      </c>
      <c r="L1064" s="1">
        <v>551</v>
      </c>
      <c r="M1064" s="1">
        <f t="shared" si="83"/>
        <v>180</v>
      </c>
      <c r="N1064" s="1">
        <v>180</v>
      </c>
      <c r="O1064" s="1">
        <f t="shared" si="84"/>
        <v>1</v>
      </c>
      <c r="P1064" s="1">
        <v>1</v>
      </c>
      <c r="Q1064" s="1" t="s">
        <v>30</v>
      </c>
      <c r="R1064" s="1" t="s">
        <v>26</v>
      </c>
    </row>
    <row r="1065" spans="1:18" x14ac:dyDescent="0.35">
      <c r="A1065" s="1" t="s">
        <v>1096</v>
      </c>
      <c r="B1065" s="1" t="str">
        <f t="shared" si="80"/>
        <v>Male</v>
      </c>
      <c r="C1065" s="1" t="s">
        <v>33</v>
      </c>
      <c r="D1065" s="1" t="str">
        <f t="shared" si="81"/>
        <v>Yes</v>
      </c>
      <c r="E1065" s="1" t="s">
        <v>29</v>
      </c>
      <c r="F1065" s="1">
        <v>1</v>
      </c>
      <c r="G1065" s="1" t="s">
        <v>25</v>
      </c>
      <c r="H1065" s="1" t="str">
        <f t="shared" si="82"/>
        <v>Yes</v>
      </c>
      <c r="I1065" s="1" t="s">
        <v>29</v>
      </c>
      <c r="J1065" s="1">
        <v>1891</v>
      </c>
      <c r="K1065" s="1">
        <v>4069</v>
      </c>
      <c r="L1065" s="1">
        <v>137</v>
      </c>
      <c r="M1065" s="1">
        <f t="shared" si="83"/>
        <v>360</v>
      </c>
      <c r="N1065" s="1">
        <v>360</v>
      </c>
      <c r="O1065" s="1">
        <f t="shared" si="84"/>
        <v>0</v>
      </c>
      <c r="P1065" s="1">
        <v>0</v>
      </c>
      <c r="Q1065" s="1" t="s">
        <v>19</v>
      </c>
      <c r="R1065" s="1" t="s">
        <v>20</v>
      </c>
    </row>
    <row r="1066" spans="1:18" x14ac:dyDescent="0.35">
      <c r="A1066" s="1" t="s">
        <v>1097</v>
      </c>
      <c r="B1066" s="1" t="str">
        <f t="shared" si="80"/>
        <v>Male</v>
      </c>
      <c r="C1066" s="1" t="s">
        <v>33</v>
      </c>
      <c r="D1066" s="1" t="str">
        <f t="shared" si="81"/>
        <v>Yes</v>
      </c>
      <c r="E1066" s="1" t="s">
        <v>15</v>
      </c>
      <c r="F1066" s="1">
        <v>2</v>
      </c>
      <c r="G1066" s="1" t="s">
        <v>17</v>
      </c>
      <c r="H1066" s="1" t="str">
        <f t="shared" si="82"/>
        <v>No</v>
      </c>
      <c r="I1066" s="1"/>
      <c r="J1066" s="1">
        <v>14817</v>
      </c>
      <c r="K1066" s="1">
        <v>4822</v>
      </c>
      <c r="L1066" s="1">
        <v>378</v>
      </c>
      <c r="M1066" s="1">
        <f t="shared" si="83"/>
        <v>360</v>
      </c>
      <c r="N1066" s="1">
        <v>360</v>
      </c>
      <c r="O1066" s="1">
        <f t="shared" si="84"/>
        <v>0</v>
      </c>
      <c r="P1066" s="1">
        <v>0</v>
      </c>
      <c r="Q1066" s="1" t="s">
        <v>41</v>
      </c>
      <c r="R1066" s="1" t="s">
        <v>26</v>
      </c>
    </row>
    <row r="1067" spans="1:18" x14ac:dyDescent="0.35">
      <c r="A1067" s="1" t="s">
        <v>1098</v>
      </c>
      <c r="B1067" s="1" t="str">
        <f t="shared" si="80"/>
        <v>Female</v>
      </c>
      <c r="C1067" s="1" t="s">
        <v>28</v>
      </c>
      <c r="D1067" s="1" t="str">
        <f t="shared" si="81"/>
        <v>Yes</v>
      </c>
      <c r="E1067" s="1" t="s">
        <v>15</v>
      </c>
      <c r="F1067" s="1">
        <v>2</v>
      </c>
      <c r="G1067" s="1" t="s">
        <v>17</v>
      </c>
      <c r="H1067" s="1" t="str">
        <f t="shared" si="82"/>
        <v>No</v>
      </c>
      <c r="I1067" s="1" t="s">
        <v>36</v>
      </c>
      <c r="J1067" s="1">
        <v>16565</v>
      </c>
      <c r="K1067" s="1">
        <v>3136</v>
      </c>
      <c r="L1067" s="1">
        <v>614</v>
      </c>
      <c r="M1067" s="1">
        <f t="shared" si="83"/>
        <v>360</v>
      </c>
      <c r="N1067" s="1">
        <v>360</v>
      </c>
      <c r="O1067" s="1">
        <f t="shared" si="84"/>
        <v>0</v>
      </c>
      <c r="P1067" s="1">
        <v>0</v>
      </c>
      <c r="Q1067" s="1" t="s">
        <v>30</v>
      </c>
      <c r="R1067" s="1" t="s">
        <v>26</v>
      </c>
    </row>
    <row r="1068" spans="1:18" x14ac:dyDescent="0.35">
      <c r="A1068" s="1" t="s">
        <v>1099</v>
      </c>
      <c r="B1068" s="1" t="str">
        <f t="shared" si="80"/>
        <v>Female</v>
      </c>
      <c r="C1068" s="1" t="s">
        <v>28</v>
      </c>
      <c r="D1068" s="1" t="str">
        <f t="shared" si="81"/>
        <v>No</v>
      </c>
      <c r="E1068" s="1" t="s">
        <v>18</v>
      </c>
      <c r="F1068" s="1" t="s">
        <v>16</v>
      </c>
      <c r="G1068" s="1" t="s">
        <v>17</v>
      </c>
      <c r="H1068" s="1" t="str">
        <f t="shared" si="82"/>
        <v>No</v>
      </c>
      <c r="I1068" s="1" t="s">
        <v>18</v>
      </c>
      <c r="J1068" s="1">
        <v>2072</v>
      </c>
      <c r="K1068" s="1">
        <v>6556</v>
      </c>
      <c r="L1068" s="1">
        <v>649</v>
      </c>
      <c r="M1068" s="1">
        <f t="shared" si="83"/>
        <v>180</v>
      </c>
      <c r="N1068" s="1">
        <v>180</v>
      </c>
      <c r="O1068" s="1">
        <f t="shared" si="84"/>
        <v>0</v>
      </c>
      <c r="P1068" s="1">
        <v>0</v>
      </c>
      <c r="Q1068" s="1" t="s">
        <v>30</v>
      </c>
      <c r="R1068" s="1" t="s">
        <v>20</v>
      </c>
    </row>
    <row r="1069" spans="1:18" x14ac:dyDescent="0.35">
      <c r="A1069" s="1" t="s">
        <v>1100</v>
      </c>
      <c r="B1069" s="1" t="str">
        <f t="shared" si="80"/>
        <v>Unknown</v>
      </c>
      <c r="C1069" s="1"/>
      <c r="D1069" s="1" t="str">
        <f t="shared" si="81"/>
        <v>No</v>
      </c>
      <c r="E1069" s="1" t="s">
        <v>18</v>
      </c>
      <c r="F1069" s="1">
        <v>2</v>
      </c>
      <c r="G1069" s="1" t="s">
        <v>17</v>
      </c>
      <c r="H1069" s="1" t="str">
        <f t="shared" si="82"/>
        <v>No</v>
      </c>
      <c r="I1069" s="1" t="s">
        <v>36</v>
      </c>
      <c r="J1069" s="1">
        <v>10987</v>
      </c>
      <c r="K1069" s="1">
        <v>8174</v>
      </c>
      <c r="L1069" s="1">
        <v>359</v>
      </c>
      <c r="M1069" s="1">
        <f t="shared" si="83"/>
        <v>360</v>
      </c>
      <c r="N1069" s="1">
        <v>360</v>
      </c>
      <c r="O1069" s="1">
        <f t="shared" si="84"/>
        <v>1</v>
      </c>
      <c r="P1069" s="1">
        <v>1</v>
      </c>
      <c r="Q1069" s="1" t="s">
        <v>19</v>
      </c>
      <c r="R1069" s="1" t="s">
        <v>20</v>
      </c>
    </row>
    <row r="1070" spans="1:18" x14ac:dyDescent="0.35">
      <c r="A1070" s="1" t="s">
        <v>1101</v>
      </c>
      <c r="B1070" s="1" t="str">
        <f t="shared" si="80"/>
        <v>Male</v>
      </c>
      <c r="C1070" s="1" t="s">
        <v>33</v>
      </c>
      <c r="D1070" s="1" t="str">
        <f t="shared" si="81"/>
        <v>No</v>
      </c>
      <c r="E1070" s="1"/>
      <c r="F1070" s="1" t="s">
        <v>16</v>
      </c>
      <c r="G1070" s="1" t="s">
        <v>25</v>
      </c>
      <c r="H1070" s="1" t="str">
        <f t="shared" si="82"/>
        <v>No</v>
      </c>
      <c r="I1070" s="1"/>
      <c r="J1070" s="1">
        <v>4004</v>
      </c>
      <c r="K1070" s="1">
        <v>9420</v>
      </c>
      <c r="L1070" s="1">
        <v>68</v>
      </c>
      <c r="M1070" s="1">
        <f t="shared" si="83"/>
        <v>120</v>
      </c>
      <c r="N1070" s="1">
        <v>120</v>
      </c>
      <c r="O1070" s="1">
        <f t="shared" si="84"/>
        <v>0</v>
      </c>
      <c r="P1070" s="1"/>
      <c r="Q1070" s="1" t="s">
        <v>41</v>
      </c>
      <c r="R1070" s="1" t="s">
        <v>26</v>
      </c>
    </row>
    <row r="1071" spans="1:18" x14ac:dyDescent="0.35">
      <c r="A1071" s="1" t="s">
        <v>1102</v>
      </c>
      <c r="B1071" s="1" t="str">
        <f t="shared" si="80"/>
        <v>Female</v>
      </c>
      <c r="C1071" s="1" t="s">
        <v>43</v>
      </c>
      <c r="D1071" s="1" t="str">
        <f t="shared" si="81"/>
        <v>Yes</v>
      </c>
      <c r="E1071" s="1" t="s">
        <v>29</v>
      </c>
      <c r="F1071" s="1">
        <v>0</v>
      </c>
      <c r="G1071" s="1" t="s">
        <v>17</v>
      </c>
      <c r="H1071" s="1" t="str">
        <f t="shared" si="82"/>
        <v>Yes</v>
      </c>
      <c r="I1071" s="1" t="s">
        <v>24</v>
      </c>
      <c r="J1071" s="1">
        <v>10581</v>
      </c>
      <c r="K1071" s="1">
        <v>9584</v>
      </c>
      <c r="L1071" s="1">
        <v>262</v>
      </c>
      <c r="M1071" s="1">
        <f t="shared" si="83"/>
        <v>180</v>
      </c>
      <c r="N1071" s="1">
        <v>180</v>
      </c>
      <c r="O1071" s="1">
        <f t="shared" si="84"/>
        <v>1</v>
      </c>
      <c r="P1071" s="1">
        <v>1</v>
      </c>
      <c r="Q1071" s="1" t="s">
        <v>30</v>
      </c>
      <c r="R1071" s="1" t="s">
        <v>20</v>
      </c>
    </row>
    <row r="1072" spans="1:18" x14ac:dyDescent="0.35">
      <c r="A1072" s="1" t="s">
        <v>1103</v>
      </c>
      <c r="B1072" s="1" t="str">
        <f t="shared" si="80"/>
        <v>Male</v>
      </c>
      <c r="C1072" s="1" t="s">
        <v>33</v>
      </c>
      <c r="D1072" s="1" t="str">
        <f t="shared" si="81"/>
        <v>No</v>
      </c>
      <c r="E1072" s="1"/>
      <c r="F1072" s="1">
        <v>1</v>
      </c>
      <c r="G1072" s="1" t="s">
        <v>25</v>
      </c>
      <c r="H1072" s="1" t="str">
        <f t="shared" si="82"/>
        <v>No</v>
      </c>
      <c r="I1072" s="1"/>
      <c r="J1072" s="1">
        <v>7235</v>
      </c>
      <c r="K1072" s="1">
        <v>7786</v>
      </c>
      <c r="L1072" s="1">
        <v>254</v>
      </c>
      <c r="M1072" s="1">
        <f t="shared" si="83"/>
        <v>360</v>
      </c>
      <c r="N1072" s="1"/>
      <c r="O1072" s="1">
        <f t="shared" si="84"/>
        <v>0</v>
      </c>
      <c r="P1072" s="1"/>
      <c r="Q1072" s="1" t="s">
        <v>19</v>
      </c>
      <c r="R1072" s="1" t="s">
        <v>20</v>
      </c>
    </row>
    <row r="1073" spans="1:18" x14ac:dyDescent="0.35">
      <c r="A1073" s="1" t="s">
        <v>1104</v>
      </c>
      <c r="B1073" s="1" t="str">
        <f t="shared" si="80"/>
        <v>Male</v>
      </c>
      <c r="C1073" s="1" t="s">
        <v>33</v>
      </c>
      <c r="D1073" s="1" t="str">
        <f t="shared" si="81"/>
        <v>No</v>
      </c>
      <c r="E1073" s="1" t="s">
        <v>18</v>
      </c>
      <c r="F1073" s="1">
        <v>0</v>
      </c>
      <c r="G1073" s="1" t="s">
        <v>17</v>
      </c>
      <c r="H1073" s="1" t="str">
        <f t="shared" si="82"/>
        <v>No</v>
      </c>
      <c r="I1073" s="1"/>
      <c r="J1073" s="1">
        <v>2348</v>
      </c>
      <c r="K1073" s="1">
        <v>9922</v>
      </c>
      <c r="L1073" s="1">
        <v>546</v>
      </c>
      <c r="M1073" s="1">
        <f t="shared" si="83"/>
        <v>360</v>
      </c>
      <c r="N1073" s="1"/>
      <c r="O1073" s="1">
        <f t="shared" si="84"/>
        <v>0</v>
      </c>
      <c r="P1073" s="1">
        <v>0</v>
      </c>
      <c r="Q1073" s="1" t="s">
        <v>19</v>
      </c>
      <c r="R1073" s="1" t="s">
        <v>26</v>
      </c>
    </row>
    <row r="1074" spans="1:18" x14ac:dyDescent="0.35">
      <c r="A1074" s="1" t="s">
        <v>1105</v>
      </c>
      <c r="B1074" s="1" t="str">
        <f t="shared" si="80"/>
        <v>Unknown</v>
      </c>
      <c r="C1074" s="1"/>
      <c r="D1074" s="1" t="str">
        <f t="shared" si="81"/>
        <v>No</v>
      </c>
      <c r="E1074" s="1" t="s">
        <v>18</v>
      </c>
      <c r="F1074" s="1" t="s">
        <v>16</v>
      </c>
      <c r="G1074" s="1" t="s">
        <v>17</v>
      </c>
      <c r="H1074" s="1" t="str">
        <f t="shared" si="82"/>
        <v>No</v>
      </c>
      <c r="I1074" s="1"/>
      <c r="J1074" s="1">
        <v>11892</v>
      </c>
      <c r="K1074" s="1">
        <v>5387</v>
      </c>
      <c r="L1074" s="1">
        <v>554</v>
      </c>
      <c r="M1074" s="1">
        <f t="shared" si="83"/>
        <v>180</v>
      </c>
      <c r="N1074" s="1">
        <v>180</v>
      </c>
      <c r="O1074" s="1">
        <f t="shared" si="84"/>
        <v>0</v>
      </c>
      <c r="P1074" s="1">
        <v>0</v>
      </c>
      <c r="Q1074" s="1" t="s">
        <v>41</v>
      </c>
      <c r="R1074" s="1" t="s">
        <v>26</v>
      </c>
    </row>
    <row r="1075" spans="1:18" x14ac:dyDescent="0.35">
      <c r="A1075" s="1" t="s">
        <v>1106</v>
      </c>
      <c r="B1075" s="1" t="str">
        <f t="shared" si="80"/>
        <v>Unknown</v>
      </c>
      <c r="C1075" s="1"/>
      <c r="D1075" s="1" t="str">
        <f t="shared" si="81"/>
        <v>Yes</v>
      </c>
      <c r="E1075" s="1" t="s">
        <v>24</v>
      </c>
      <c r="F1075" s="1">
        <v>0</v>
      </c>
      <c r="G1075" s="1" t="s">
        <v>17</v>
      </c>
      <c r="H1075" s="1" t="str">
        <f t="shared" si="82"/>
        <v>Yes</v>
      </c>
      <c r="I1075" s="1" t="s">
        <v>15</v>
      </c>
      <c r="J1075" s="1">
        <v>12844</v>
      </c>
      <c r="K1075" s="1">
        <v>6681</v>
      </c>
      <c r="L1075" s="1">
        <v>614</v>
      </c>
      <c r="M1075" s="1">
        <f t="shared" si="83"/>
        <v>120</v>
      </c>
      <c r="N1075" s="1">
        <v>120</v>
      </c>
      <c r="O1075" s="1">
        <f t="shared" si="84"/>
        <v>0</v>
      </c>
      <c r="P1075" s="1">
        <v>0</v>
      </c>
      <c r="Q1075" s="1" t="s">
        <v>41</v>
      </c>
      <c r="R1075" s="1" t="s">
        <v>26</v>
      </c>
    </row>
    <row r="1076" spans="1:18" x14ac:dyDescent="0.35">
      <c r="A1076" s="1" t="s">
        <v>1107</v>
      </c>
      <c r="B1076" s="1" t="str">
        <f t="shared" si="80"/>
        <v>Female</v>
      </c>
      <c r="C1076" s="1" t="s">
        <v>61</v>
      </c>
      <c r="D1076" s="1" t="str">
        <f t="shared" si="81"/>
        <v>No</v>
      </c>
      <c r="E1076" s="1" t="s">
        <v>22</v>
      </c>
      <c r="F1076" s="1">
        <v>2</v>
      </c>
      <c r="G1076" s="1" t="s">
        <v>25</v>
      </c>
      <c r="H1076" s="1" t="str">
        <f t="shared" si="82"/>
        <v>Yes</v>
      </c>
      <c r="I1076" s="1" t="s">
        <v>15</v>
      </c>
      <c r="J1076" s="1">
        <v>12488</v>
      </c>
      <c r="K1076" s="1">
        <v>9713</v>
      </c>
      <c r="L1076" s="1">
        <v>636</v>
      </c>
      <c r="M1076" s="1">
        <f t="shared" si="83"/>
        <v>360</v>
      </c>
      <c r="N1076" s="1"/>
      <c r="O1076" s="1">
        <f t="shared" si="84"/>
        <v>0</v>
      </c>
      <c r="P1076" s="1">
        <v>0</v>
      </c>
      <c r="Q1076" s="1" t="s">
        <v>19</v>
      </c>
      <c r="R1076" s="1" t="s">
        <v>20</v>
      </c>
    </row>
    <row r="1077" spans="1:18" x14ac:dyDescent="0.35">
      <c r="A1077" s="1" t="s">
        <v>1108</v>
      </c>
      <c r="B1077" s="1" t="str">
        <f t="shared" si="80"/>
        <v>Female</v>
      </c>
      <c r="C1077" s="1" t="s">
        <v>28</v>
      </c>
      <c r="D1077" s="1" t="str">
        <f t="shared" si="81"/>
        <v>Yes</v>
      </c>
      <c r="E1077" s="1" t="s">
        <v>29</v>
      </c>
      <c r="F1077" s="1">
        <v>1</v>
      </c>
      <c r="G1077" s="1" t="s">
        <v>17</v>
      </c>
      <c r="H1077" s="1" t="str">
        <f t="shared" si="82"/>
        <v>Yes</v>
      </c>
      <c r="I1077" s="1" t="s">
        <v>15</v>
      </c>
      <c r="J1077" s="1">
        <v>13916</v>
      </c>
      <c r="K1077" s="1">
        <v>3002</v>
      </c>
      <c r="L1077" s="1">
        <v>568</v>
      </c>
      <c r="M1077" s="1">
        <f t="shared" si="83"/>
        <v>120</v>
      </c>
      <c r="N1077" s="1">
        <v>120</v>
      </c>
      <c r="O1077" s="1">
        <f t="shared" si="84"/>
        <v>1</v>
      </c>
      <c r="P1077" s="1">
        <v>1</v>
      </c>
      <c r="Q1077" s="1" t="s">
        <v>19</v>
      </c>
      <c r="R1077" s="1" t="s">
        <v>26</v>
      </c>
    </row>
    <row r="1078" spans="1:18" x14ac:dyDescent="0.35">
      <c r="A1078" s="1" t="s">
        <v>1109</v>
      </c>
      <c r="B1078" s="1" t="str">
        <f t="shared" si="80"/>
        <v>Unknown</v>
      </c>
      <c r="C1078" s="1"/>
      <c r="D1078" s="1" t="str">
        <f t="shared" si="81"/>
        <v>No</v>
      </c>
      <c r="E1078" s="1" t="s">
        <v>18</v>
      </c>
      <c r="F1078" s="1">
        <v>1</v>
      </c>
      <c r="G1078" s="1" t="s">
        <v>25</v>
      </c>
      <c r="H1078" s="1" t="str">
        <f t="shared" si="82"/>
        <v>Yes</v>
      </c>
      <c r="I1078" s="1" t="s">
        <v>24</v>
      </c>
      <c r="J1078" s="1">
        <v>15346</v>
      </c>
      <c r="K1078" s="1">
        <v>3956</v>
      </c>
      <c r="L1078" s="1">
        <v>204</v>
      </c>
      <c r="M1078" s="1">
        <f t="shared" si="83"/>
        <v>120</v>
      </c>
      <c r="N1078" s="1">
        <v>120</v>
      </c>
      <c r="O1078" s="1">
        <f t="shared" si="84"/>
        <v>0</v>
      </c>
      <c r="P1078" s="1"/>
      <c r="Q1078" s="1" t="s">
        <v>30</v>
      </c>
      <c r="R1078" s="1" t="s">
        <v>20</v>
      </c>
    </row>
    <row r="1079" spans="1:18" x14ac:dyDescent="0.35">
      <c r="A1079" s="1" t="s">
        <v>1110</v>
      </c>
      <c r="B1079" s="1" t="str">
        <f t="shared" si="80"/>
        <v>Male</v>
      </c>
      <c r="C1079" s="1" t="s">
        <v>14</v>
      </c>
      <c r="D1079" s="1" t="str">
        <f t="shared" si="81"/>
        <v>No</v>
      </c>
      <c r="E1079" s="1"/>
      <c r="F1079" s="1">
        <v>1</v>
      </c>
      <c r="G1079" s="1" t="s">
        <v>25</v>
      </c>
      <c r="H1079" s="1" t="str">
        <f t="shared" si="82"/>
        <v>No</v>
      </c>
      <c r="I1079" s="1" t="s">
        <v>18</v>
      </c>
      <c r="J1079" s="1">
        <v>8229</v>
      </c>
      <c r="K1079" s="1">
        <v>9</v>
      </c>
      <c r="L1079" s="1">
        <v>232</v>
      </c>
      <c r="M1079" s="1">
        <f t="shared" si="83"/>
        <v>360</v>
      </c>
      <c r="N1079" s="1"/>
      <c r="O1079" s="1">
        <f t="shared" si="84"/>
        <v>1</v>
      </c>
      <c r="P1079" s="1">
        <v>1</v>
      </c>
      <c r="Q1079" s="1" t="s">
        <v>41</v>
      </c>
      <c r="R1079" s="1" t="s">
        <v>20</v>
      </c>
    </row>
    <row r="1080" spans="1:18" x14ac:dyDescent="0.35">
      <c r="A1080" s="1" t="s">
        <v>1111</v>
      </c>
      <c r="B1080" s="1" t="str">
        <f t="shared" si="80"/>
        <v>Male</v>
      </c>
      <c r="C1080" s="1" t="s">
        <v>52</v>
      </c>
      <c r="D1080" s="1" t="str">
        <f t="shared" si="81"/>
        <v>No</v>
      </c>
      <c r="E1080" s="1" t="s">
        <v>22</v>
      </c>
      <c r="F1080" s="1">
        <v>0</v>
      </c>
      <c r="G1080" s="1" t="s">
        <v>17</v>
      </c>
      <c r="H1080" s="1" t="str">
        <f t="shared" si="82"/>
        <v>No</v>
      </c>
      <c r="I1080" s="1" t="s">
        <v>36</v>
      </c>
      <c r="J1080" s="1">
        <v>13778</v>
      </c>
      <c r="K1080" s="1">
        <v>4386</v>
      </c>
      <c r="L1080" s="1">
        <v>279</v>
      </c>
      <c r="M1080" s="1">
        <f t="shared" si="83"/>
        <v>360</v>
      </c>
      <c r="N1080" s="1">
        <v>360</v>
      </c>
      <c r="O1080" s="1">
        <f t="shared" si="84"/>
        <v>0</v>
      </c>
      <c r="P1080" s="1"/>
      <c r="Q1080" s="1" t="s">
        <v>19</v>
      </c>
      <c r="R1080" s="1" t="s">
        <v>26</v>
      </c>
    </row>
    <row r="1081" spans="1:18" x14ac:dyDescent="0.35">
      <c r="A1081" s="1" t="s">
        <v>1112</v>
      </c>
      <c r="B1081" s="1" t="str">
        <f t="shared" si="80"/>
        <v>Male</v>
      </c>
      <c r="C1081" s="1" t="s">
        <v>33</v>
      </c>
      <c r="D1081" s="1" t="str">
        <f t="shared" si="81"/>
        <v>No</v>
      </c>
      <c r="E1081" s="1"/>
      <c r="F1081" s="1">
        <v>0</v>
      </c>
      <c r="G1081" s="1" t="s">
        <v>17</v>
      </c>
      <c r="H1081" s="1" t="str">
        <f t="shared" si="82"/>
        <v>No</v>
      </c>
      <c r="I1081" s="1"/>
      <c r="J1081" s="1">
        <v>6698</v>
      </c>
      <c r="K1081" s="1">
        <v>7580</v>
      </c>
      <c r="L1081" s="1">
        <v>554</v>
      </c>
      <c r="M1081" s="1">
        <f t="shared" si="83"/>
        <v>120</v>
      </c>
      <c r="N1081" s="1">
        <v>120</v>
      </c>
      <c r="O1081" s="1">
        <f t="shared" si="84"/>
        <v>1</v>
      </c>
      <c r="P1081" s="1">
        <v>1</v>
      </c>
      <c r="Q1081" s="1" t="s">
        <v>19</v>
      </c>
      <c r="R1081" s="1" t="s">
        <v>26</v>
      </c>
    </row>
    <row r="1082" spans="1:18" x14ac:dyDescent="0.35">
      <c r="A1082" s="1" t="s">
        <v>1113</v>
      </c>
      <c r="B1082" s="1" t="str">
        <f t="shared" si="80"/>
        <v>Male</v>
      </c>
      <c r="C1082" s="1" t="s">
        <v>14</v>
      </c>
      <c r="D1082" s="1" t="str">
        <f t="shared" si="81"/>
        <v>Yes</v>
      </c>
      <c r="E1082" s="1" t="s">
        <v>15</v>
      </c>
      <c r="F1082" s="1">
        <v>2</v>
      </c>
      <c r="G1082" s="1" t="s">
        <v>17</v>
      </c>
      <c r="H1082" s="1" t="str">
        <f t="shared" si="82"/>
        <v>No</v>
      </c>
      <c r="I1082" s="1" t="s">
        <v>18</v>
      </c>
      <c r="J1082" s="1">
        <v>19213</v>
      </c>
      <c r="K1082" s="1">
        <v>4337</v>
      </c>
      <c r="L1082" s="1">
        <v>76</v>
      </c>
      <c r="M1082" s="1">
        <f t="shared" si="83"/>
        <v>360</v>
      </c>
      <c r="N1082" s="1"/>
      <c r="O1082" s="1">
        <f t="shared" si="84"/>
        <v>0</v>
      </c>
      <c r="P1082" s="1"/>
      <c r="Q1082" s="1" t="s">
        <v>30</v>
      </c>
      <c r="R1082" s="1" t="s">
        <v>20</v>
      </c>
    </row>
    <row r="1083" spans="1:18" x14ac:dyDescent="0.35">
      <c r="A1083" s="1" t="s">
        <v>1114</v>
      </c>
      <c r="B1083" s="1" t="str">
        <f t="shared" si="80"/>
        <v>Male</v>
      </c>
      <c r="C1083" s="1" t="s">
        <v>33</v>
      </c>
      <c r="D1083" s="1" t="str">
        <f t="shared" si="81"/>
        <v>Yes</v>
      </c>
      <c r="E1083" s="1" t="s">
        <v>15</v>
      </c>
      <c r="F1083" s="1">
        <v>1</v>
      </c>
      <c r="G1083" s="1" t="s">
        <v>25</v>
      </c>
      <c r="H1083" s="1" t="str">
        <f t="shared" si="82"/>
        <v>Yes</v>
      </c>
      <c r="I1083" s="1" t="s">
        <v>15</v>
      </c>
      <c r="J1083" s="1">
        <v>11565</v>
      </c>
      <c r="K1083" s="1">
        <v>1173</v>
      </c>
      <c r="L1083" s="1">
        <v>138</v>
      </c>
      <c r="M1083" s="1">
        <f t="shared" si="83"/>
        <v>360</v>
      </c>
      <c r="N1083" s="1">
        <v>360</v>
      </c>
      <c r="O1083" s="1">
        <f t="shared" si="84"/>
        <v>0</v>
      </c>
      <c r="P1083" s="1"/>
      <c r="Q1083" s="1" t="s">
        <v>30</v>
      </c>
      <c r="R1083" s="1" t="s">
        <v>20</v>
      </c>
    </row>
    <row r="1084" spans="1:18" x14ac:dyDescent="0.35">
      <c r="A1084" s="1" t="s">
        <v>1115</v>
      </c>
      <c r="B1084" s="1" t="str">
        <f t="shared" si="80"/>
        <v>Male</v>
      </c>
      <c r="C1084" s="1" t="s">
        <v>33</v>
      </c>
      <c r="D1084" s="1" t="str">
        <f t="shared" si="81"/>
        <v>Yes</v>
      </c>
      <c r="E1084" s="1" t="s">
        <v>15</v>
      </c>
      <c r="F1084" s="1">
        <v>0</v>
      </c>
      <c r="G1084" s="1" t="s">
        <v>25</v>
      </c>
      <c r="H1084" s="1" t="str">
        <f t="shared" si="82"/>
        <v>No</v>
      </c>
      <c r="I1084" s="1" t="s">
        <v>22</v>
      </c>
      <c r="J1084" s="1">
        <v>17164</v>
      </c>
      <c r="K1084" s="1">
        <v>3501</v>
      </c>
      <c r="L1084" s="1">
        <v>253</v>
      </c>
      <c r="M1084" s="1">
        <f t="shared" si="83"/>
        <v>360</v>
      </c>
      <c r="N1084" s="1">
        <v>360</v>
      </c>
      <c r="O1084" s="1">
        <f t="shared" si="84"/>
        <v>1</v>
      </c>
      <c r="P1084" s="1">
        <v>1</v>
      </c>
      <c r="Q1084" s="1" t="s">
        <v>30</v>
      </c>
      <c r="R1084" s="1" t="s">
        <v>26</v>
      </c>
    </row>
    <row r="1085" spans="1:18" x14ac:dyDescent="0.35">
      <c r="A1085" s="1" t="s">
        <v>1116</v>
      </c>
      <c r="B1085" s="1" t="str">
        <f t="shared" si="80"/>
        <v>Female</v>
      </c>
      <c r="C1085" s="1" t="s">
        <v>43</v>
      </c>
      <c r="D1085" s="1" t="str">
        <f t="shared" si="81"/>
        <v>No</v>
      </c>
      <c r="E1085" s="1" t="s">
        <v>18</v>
      </c>
      <c r="F1085" s="1">
        <v>0</v>
      </c>
      <c r="G1085" s="1" t="s">
        <v>25</v>
      </c>
      <c r="H1085" s="1" t="str">
        <f t="shared" si="82"/>
        <v>Yes</v>
      </c>
      <c r="I1085" s="1" t="s">
        <v>29</v>
      </c>
      <c r="J1085" s="1">
        <v>10189</v>
      </c>
      <c r="K1085" s="1">
        <v>2181</v>
      </c>
      <c r="L1085" s="1">
        <v>444</v>
      </c>
      <c r="M1085" s="1">
        <f t="shared" si="83"/>
        <v>180</v>
      </c>
      <c r="N1085" s="1">
        <v>180</v>
      </c>
      <c r="O1085" s="1">
        <f t="shared" si="84"/>
        <v>1</v>
      </c>
      <c r="P1085" s="1">
        <v>1</v>
      </c>
      <c r="Q1085" s="1" t="s">
        <v>30</v>
      </c>
      <c r="R1085" s="1" t="s">
        <v>20</v>
      </c>
    </row>
    <row r="1086" spans="1:18" x14ac:dyDescent="0.35">
      <c r="A1086" s="1" t="s">
        <v>1117</v>
      </c>
      <c r="B1086" s="1" t="str">
        <f t="shared" si="80"/>
        <v>Female</v>
      </c>
      <c r="C1086" s="1" t="s">
        <v>28</v>
      </c>
      <c r="D1086" s="1" t="str">
        <f t="shared" si="81"/>
        <v>No</v>
      </c>
      <c r="E1086" s="1"/>
      <c r="F1086" s="1">
        <v>2</v>
      </c>
      <c r="G1086" s="1" t="s">
        <v>17</v>
      </c>
      <c r="H1086" s="1" t="str">
        <f t="shared" si="82"/>
        <v>No</v>
      </c>
      <c r="I1086" s="1"/>
      <c r="J1086" s="1">
        <v>13886</v>
      </c>
      <c r="K1086" s="1">
        <v>8734</v>
      </c>
      <c r="L1086" s="1">
        <v>660</v>
      </c>
      <c r="M1086" s="1">
        <f t="shared" si="83"/>
        <v>360</v>
      </c>
      <c r="N1086" s="1"/>
      <c r="O1086" s="1">
        <f t="shared" si="84"/>
        <v>1</v>
      </c>
      <c r="P1086" s="1">
        <v>1</v>
      </c>
      <c r="Q1086" s="1" t="s">
        <v>41</v>
      </c>
      <c r="R1086" s="1" t="s">
        <v>26</v>
      </c>
    </row>
    <row r="1087" spans="1:18" x14ac:dyDescent="0.35">
      <c r="A1087" s="1" t="s">
        <v>1118</v>
      </c>
      <c r="B1087" s="1" t="str">
        <f t="shared" si="80"/>
        <v>Unknown</v>
      </c>
      <c r="C1087" s="1"/>
      <c r="D1087" s="1" t="str">
        <f t="shared" si="81"/>
        <v>Yes</v>
      </c>
      <c r="E1087" s="1" t="s">
        <v>29</v>
      </c>
      <c r="F1087" s="1">
        <v>2</v>
      </c>
      <c r="G1087" s="1" t="s">
        <v>17</v>
      </c>
      <c r="H1087" s="1" t="str">
        <f t="shared" si="82"/>
        <v>No</v>
      </c>
      <c r="I1087" s="1"/>
      <c r="J1087" s="1">
        <v>3673</v>
      </c>
      <c r="K1087" s="1">
        <v>5899</v>
      </c>
      <c r="L1087" s="1">
        <v>260</v>
      </c>
      <c r="M1087" s="1">
        <f t="shared" si="83"/>
        <v>360</v>
      </c>
      <c r="N1087" s="1">
        <v>360</v>
      </c>
      <c r="O1087" s="1">
        <f t="shared" si="84"/>
        <v>0</v>
      </c>
      <c r="P1087" s="1">
        <v>0</v>
      </c>
      <c r="Q1087" s="1" t="s">
        <v>30</v>
      </c>
      <c r="R1087" s="1" t="s">
        <v>26</v>
      </c>
    </row>
    <row r="1088" spans="1:18" x14ac:dyDescent="0.35">
      <c r="A1088" s="1" t="s">
        <v>1119</v>
      </c>
      <c r="B1088" s="1" t="str">
        <f t="shared" si="80"/>
        <v>Female</v>
      </c>
      <c r="C1088" s="1" t="s">
        <v>61</v>
      </c>
      <c r="D1088" s="1" t="str">
        <f t="shared" si="81"/>
        <v>No</v>
      </c>
      <c r="E1088" s="1" t="s">
        <v>18</v>
      </c>
      <c r="F1088" s="1">
        <v>2</v>
      </c>
      <c r="G1088" s="1" t="s">
        <v>25</v>
      </c>
      <c r="H1088" s="1" t="str">
        <f t="shared" si="82"/>
        <v>Yes</v>
      </c>
      <c r="I1088" s="1" t="s">
        <v>15</v>
      </c>
      <c r="J1088" s="1">
        <v>14943</v>
      </c>
      <c r="K1088" s="1">
        <v>376</v>
      </c>
      <c r="L1088" s="1">
        <v>185</v>
      </c>
      <c r="M1088" s="1">
        <f t="shared" si="83"/>
        <v>360</v>
      </c>
      <c r="N1088" s="1">
        <v>360</v>
      </c>
      <c r="O1088" s="1">
        <f t="shared" si="84"/>
        <v>1</v>
      </c>
      <c r="P1088" s="1">
        <v>1</v>
      </c>
      <c r="Q1088" s="1" t="s">
        <v>19</v>
      </c>
      <c r="R1088" s="1" t="s">
        <v>26</v>
      </c>
    </row>
    <row r="1089" spans="1:18" x14ac:dyDescent="0.35">
      <c r="A1089" s="1" t="s">
        <v>1120</v>
      </c>
      <c r="B1089" s="1" t="str">
        <f t="shared" si="80"/>
        <v>Female</v>
      </c>
      <c r="C1089" s="1" t="s">
        <v>61</v>
      </c>
      <c r="D1089" s="1" t="str">
        <f t="shared" si="81"/>
        <v>Yes</v>
      </c>
      <c r="E1089" s="1" t="s">
        <v>29</v>
      </c>
      <c r="F1089" s="1">
        <v>2</v>
      </c>
      <c r="G1089" s="1" t="s">
        <v>17</v>
      </c>
      <c r="H1089" s="1" t="str">
        <f t="shared" si="82"/>
        <v>Yes</v>
      </c>
      <c r="I1089" s="1" t="s">
        <v>15</v>
      </c>
      <c r="J1089" s="1">
        <v>15641</v>
      </c>
      <c r="K1089" s="1">
        <v>7285</v>
      </c>
      <c r="L1089" s="1">
        <v>375</v>
      </c>
      <c r="M1089" s="1">
        <f t="shared" si="83"/>
        <v>120</v>
      </c>
      <c r="N1089" s="1">
        <v>120</v>
      </c>
      <c r="O1089" s="1">
        <f t="shared" si="84"/>
        <v>1</v>
      </c>
      <c r="P1089" s="1">
        <v>1</v>
      </c>
      <c r="Q1089" s="1" t="s">
        <v>30</v>
      </c>
      <c r="R1089" s="1" t="s">
        <v>20</v>
      </c>
    </row>
    <row r="1090" spans="1:18" x14ac:dyDescent="0.35">
      <c r="A1090" s="1" t="s">
        <v>1121</v>
      </c>
      <c r="B1090" s="1" t="str">
        <f t="shared" ref="B1090:B1153" si="85">IF(ISBLANK(C1090),"Unknown", IF(LOWER(TRIM(C1090))="male","Male","Female"))</f>
        <v>Male</v>
      </c>
      <c r="C1090" s="1" t="s">
        <v>33</v>
      </c>
      <c r="D1090" s="1" t="str">
        <f t="shared" ref="D1090:D1153" si="86">IF(ISBLANK(E1090),"No",PROPER(TRIM(E1090)))</f>
        <v>No</v>
      </c>
      <c r="E1090" s="1" t="s">
        <v>18</v>
      </c>
      <c r="F1090" s="1" t="s">
        <v>16</v>
      </c>
      <c r="G1090" s="1" t="s">
        <v>25</v>
      </c>
      <c r="H1090" s="1" t="str">
        <f t="shared" ref="H1090:H1153" si="87">IF(ISBLANK(I1090),"No",PROPER(TRIM(I1090)))</f>
        <v>No</v>
      </c>
      <c r="I1090" s="1" t="s">
        <v>22</v>
      </c>
      <c r="J1090" s="1">
        <v>9305</v>
      </c>
      <c r="K1090" s="1">
        <v>5674</v>
      </c>
      <c r="L1090" s="1">
        <v>109</v>
      </c>
      <c r="M1090" s="1">
        <f t="shared" ref="M1090:M1153" si="88">IF(ISBLANK(N1090),360,N1090)</f>
        <v>360</v>
      </c>
      <c r="N1090" s="1"/>
      <c r="O1090" s="1">
        <f t="shared" ref="O1090:O1153" si="89">IF(ISBLANK(P1090),0,P1090)</f>
        <v>0</v>
      </c>
      <c r="P1090" s="1">
        <v>0</v>
      </c>
      <c r="Q1090" s="1" t="s">
        <v>30</v>
      </c>
      <c r="R1090" s="1" t="s">
        <v>26</v>
      </c>
    </row>
    <row r="1091" spans="1:18" x14ac:dyDescent="0.35">
      <c r="A1091" s="1" t="s">
        <v>1122</v>
      </c>
      <c r="B1091" s="1" t="str">
        <f t="shared" si="85"/>
        <v>Unknown</v>
      </c>
      <c r="C1091" s="1"/>
      <c r="D1091" s="1" t="str">
        <f t="shared" si="86"/>
        <v>Yes</v>
      </c>
      <c r="E1091" s="1" t="s">
        <v>29</v>
      </c>
      <c r="F1091" s="1" t="s">
        <v>16</v>
      </c>
      <c r="G1091" s="1" t="s">
        <v>25</v>
      </c>
      <c r="H1091" s="1" t="str">
        <f t="shared" si="87"/>
        <v>Yes</v>
      </c>
      <c r="I1091" s="1" t="s">
        <v>15</v>
      </c>
      <c r="J1091" s="1">
        <v>18017</v>
      </c>
      <c r="K1091" s="1">
        <v>2149</v>
      </c>
      <c r="L1091" s="1">
        <v>349</v>
      </c>
      <c r="M1091" s="1">
        <f t="shared" si="88"/>
        <v>360</v>
      </c>
      <c r="N1091" s="1"/>
      <c r="O1091" s="1">
        <f t="shared" si="89"/>
        <v>0</v>
      </c>
      <c r="P1091" s="1">
        <v>0</v>
      </c>
      <c r="Q1091" s="1" t="s">
        <v>30</v>
      </c>
      <c r="R1091" s="1" t="s">
        <v>26</v>
      </c>
    </row>
    <row r="1092" spans="1:18" x14ac:dyDescent="0.35">
      <c r="A1092" s="1" t="s">
        <v>1123</v>
      </c>
      <c r="B1092" s="1" t="str">
        <f t="shared" si="85"/>
        <v>Unknown</v>
      </c>
      <c r="C1092" s="1"/>
      <c r="D1092" s="1" t="str">
        <f t="shared" si="86"/>
        <v>No</v>
      </c>
      <c r="E1092" s="1" t="s">
        <v>18</v>
      </c>
      <c r="F1092" s="1" t="s">
        <v>16</v>
      </c>
      <c r="G1092" s="1" t="s">
        <v>17</v>
      </c>
      <c r="H1092" s="1" t="str">
        <f t="shared" si="87"/>
        <v>Yes</v>
      </c>
      <c r="I1092" s="1" t="s">
        <v>24</v>
      </c>
      <c r="J1092" s="1">
        <v>7721</v>
      </c>
      <c r="K1092" s="1">
        <v>4994</v>
      </c>
      <c r="L1092" s="1">
        <v>146</v>
      </c>
      <c r="M1092" s="1">
        <f t="shared" si="88"/>
        <v>360</v>
      </c>
      <c r="N1092" s="1">
        <v>360</v>
      </c>
      <c r="O1092" s="1">
        <f t="shared" si="89"/>
        <v>0</v>
      </c>
      <c r="P1092" s="1">
        <v>0</v>
      </c>
      <c r="Q1092" s="1" t="s">
        <v>41</v>
      </c>
      <c r="R1092" s="1" t="s">
        <v>26</v>
      </c>
    </row>
    <row r="1093" spans="1:18" x14ac:dyDescent="0.35">
      <c r="A1093" s="1" t="s">
        <v>1124</v>
      </c>
      <c r="B1093" s="1" t="str">
        <f t="shared" si="85"/>
        <v>Male</v>
      </c>
      <c r="C1093" s="1" t="s">
        <v>52</v>
      </c>
      <c r="D1093" s="1" t="str">
        <f t="shared" si="86"/>
        <v>Yes</v>
      </c>
      <c r="E1093" s="1" t="s">
        <v>15</v>
      </c>
      <c r="F1093" s="1">
        <v>0</v>
      </c>
      <c r="G1093" s="1" t="s">
        <v>25</v>
      </c>
      <c r="H1093" s="1" t="str">
        <f t="shared" si="87"/>
        <v>Yes</v>
      </c>
      <c r="I1093" s="1" t="s">
        <v>29</v>
      </c>
      <c r="J1093" s="1">
        <v>18543</v>
      </c>
      <c r="K1093" s="1">
        <v>3146</v>
      </c>
      <c r="L1093" s="1">
        <v>594</v>
      </c>
      <c r="M1093" s="1">
        <f t="shared" si="88"/>
        <v>360</v>
      </c>
      <c r="N1093" s="1">
        <v>360</v>
      </c>
      <c r="O1093" s="1">
        <f t="shared" si="89"/>
        <v>0</v>
      </c>
      <c r="P1093" s="1"/>
      <c r="Q1093" s="1" t="s">
        <v>19</v>
      </c>
      <c r="R1093" s="1" t="s">
        <v>26</v>
      </c>
    </row>
    <row r="1094" spans="1:18" x14ac:dyDescent="0.35">
      <c r="A1094" s="1" t="s">
        <v>1125</v>
      </c>
      <c r="B1094" s="1" t="str">
        <f t="shared" si="85"/>
        <v>Female</v>
      </c>
      <c r="C1094" s="1" t="s">
        <v>43</v>
      </c>
      <c r="D1094" s="1" t="str">
        <f t="shared" si="86"/>
        <v>Yes</v>
      </c>
      <c r="E1094" s="1" t="s">
        <v>24</v>
      </c>
      <c r="F1094" s="1" t="s">
        <v>16</v>
      </c>
      <c r="G1094" s="1" t="s">
        <v>25</v>
      </c>
      <c r="H1094" s="1" t="str">
        <f t="shared" si="87"/>
        <v>No</v>
      </c>
      <c r="I1094" s="1" t="s">
        <v>18</v>
      </c>
      <c r="J1094" s="1">
        <v>4611</v>
      </c>
      <c r="K1094" s="1">
        <v>3776</v>
      </c>
      <c r="L1094" s="1">
        <v>689</v>
      </c>
      <c r="M1094" s="1">
        <f t="shared" si="88"/>
        <v>360</v>
      </c>
      <c r="N1094" s="1"/>
      <c r="O1094" s="1">
        <f t="shared" si="89"/>
        <v>1</v>
      </c>
      <c r="P1094" s="1">
        <v>1</v>
      </c>
      <c r="Q1094" s="1" t="s">
        <v>30</v>
      </c>
      <c r="R1094" s="1" t="s">
        <v>20</v>
      </c>
    </row>
    <row r="1095" spans="1:18" x14ac:dyDescent="0.35">
      <c r="A1095" s="1" t="s">
        <v>1126</v>
      </c>
      <c r="B1095" s="1" t="str">
        <f t="shared" si="85"/>
        <v>Female</v>
      </c>
      <c r="C1095" s="1" t="s">
        <v>61</v>
      </c>
      <c r="D1095" s="1" t="str">
        <f t="shared" si="86"/>
        <v>Yes</v>
      </c>
      <c r="E1095" s="1" t="s">
        <v>24</v>
      </c>
      <c r="F1095" s="1" t="s">
        <v>16</v>
      </c>
      <c r="G1095" s="1" t="s">
        <v>25</v>
      </c>
      <c r="H1095" s="1" t="str">
        <f t="shared" si="87"/>
        <v>Yes</v>
      </c>
      <c r="I1095" s="1" t="s">
        <v>24</v>
      </c>
      <c r="J1095" s="1">
        <v>5411</v>
      </c>
      <c r="K1095" s="1">
        <v>6142</v>
      </c>
      <c r="L1095" s="1">
        <v>227</v>
      </c>
      <c r="M1095" s="1">
        <f t="shared" si="88"/>
        <v>180</v>
      </c>
      <c r="N1095" s="1">
        <v>180</v>
      </c>
      <c r="O1095" s="1">
        <f t="shared" si="89"/>
        <v>0</v>
      </c>
      <c r="P1095" s="1">
        <v>0</v>
      </c>
      <c r="Q1095" s="1" t="s">
        <v>30</v>
      </c>
      <c r="R1095" s="1" t="s">
        <v>20</v>
      </c>
    </row>
    <row r="1096" spans="1:18" x14ac:dyDescent="0.35">
      <c r="A1096" s="1" t="s">
        <v>1127</v>
      </c>
      <c r="B1096" s="1" t="str">
        <f t="shared" si="85"/>
        <v>Female</v>
      </c>
      <c r="C1096" s="1" t="s">
        <v>28</v>
      </c>
      <c r="D1096" s="1" t="str">
        <f t="shared" si="86"/>
        <v>Yes</v>
      </c>
      <c r="E1096" s="1" t="s">
        <v>24</v>
      </c>
      <c r="F1096" s="1">
        <v>1</v>
      </c>
      <c r="G1096" s="1" t="s">
        <v>17</v>
      </c>
      <c r="H1096" s="1" t="str">
        <f t="shared" si="87"/>
        <v>No</v>
      </c>
      <c r="I1096" s="1"/>
      <c r="J1096" s="1">
        <v>8176</v>
      </c>
      <c r="K1096" s="1">
        <v>360</v>
      </c>
      <c r="L1096" s="1">
        <v>143</v>
      </c>
      <c r="M1096" s="1">
        <f t="shared" si="88"/>
        <v>360</v>
      </c>
      <c r="N1096" s="1"/>
      <c r="O1096" s="1">
        <f t="shared" si="89"/>
        <v>0</v>
      </c>
      <c r="P1096" s="1"/>
      <c r="Q1096" s="1" t="s">
        <v>19</v>
      </c>
      <c r="R1096" s="1" t="s">
        <v>20</v>
      </c>
    </row>
    <row r="1097" spans="1:18" x14ac:dyDescent="0.35">
      <c r="A1097" s="1" t="s">
        <v>1128</v>
      </c>
      <c r="B1097" s="1" t="str">
        <f t="shared" si="85"/>
        <v>Female</v>
      </c>
      <c r="C1097" s="1" t="s">
        <v>61</v>
      </c>
      <c r="D1097" s="1" t="str">
        <f t="shared" si="86"/>
        <v>No</v>
      </c>
      <c r="E1097" s="1"/>
      <c r="F1097" s="1">
        <v>2</v>
      </c>
      <c r="G1097" s="1" t="s">
        <v>25</v>
      </c>
      <c r="H1097" s="1" t="str">
        <f t="shared" si="87"/>
        <v>No</v>
      </c>
      <c r="I1097" s="1" t="s">
        <v>22</v>
      </c>
      <c r="J1097" s="1">
        <v>12298</v>
      </c>
      <c r="K1097" s="1">
        <v>5865</v>
      </c>
      <c r="L1097" s="1">
        <v>289</v>
      </c>
      <c r="M1097" s="1">
        <f t="shared" si="88"/>
        <v>360</v>
      </c>
      <c r="N1097" s="1">
        <v>360</v>
      </c>
      <c r="O1097" s="1">
        <f t="shared" si="89"/>
        <v>0</v>
      </c>
      <c r="P1097" s="1">
        <v>0</v>
      </c>
      <c r="Q1097" s="1" t="s">
        <v>41</v>
      </c>
      <c r="R1097" s="1" t="s">
        <v>20</v>
      </c>
    </row>
    <row r="1098" spans="1:18" x14ac:dyDescent="0.35">
      <c r="A1098" s="1" t="s">
        <v>1129</v>
      </c>
      <c r="B1098" s="1" t="str">
        <f t="shared" si="85"/>
        <v>Unknown</v>
      </c>
      <c r="C1098" s="1"/>
      <c r="D1098" s="1" t="str">
        <f t="shared" si="86"/>
        <v>No</v>
      </c>
      <c r="E1098" s="1"/>
      <c r="F1098" s="1">
        <v>1</v>
      </c>
      <c r="G1098" s="1" t="s">
        <v>17</v>
      </c>
      <c r="H1098" s="1" t="str">
        <f t="shared" si="87"/>
        <v>Yes</v>
      </c>
      <c r="I1098" s="1" t="s">
        <v>24</v>
      </c>
      <c r="J1098" s="1">
        <v>10055</v>
      </c>
      <c r="K1098" s="1">
        <v>5725</v>
      </c>
      <c r="L1098" s="1">
        <v>499</v>
      </c>
      <c r="M1098" s="1">
        <f t="shared" si="88"/>
        <v>360</v>
      </c>
      <c r="N1098" s="1"/>
      <c r="O1098" s="1">
        <f t="shared" si="89"/>
        <v>0</v>
      </c>
      <c r="P1098" s="1"/>
      <c r="Q1098" s="1" t="s">
        <v>30</v>
      </c>
      <c r="R1098" s="1" t="s">
        <v>26</v>
      </c>
    </row>
    <row r="1099" spans="1:18" x14ac:dyDescent="0.35">
      <c r="A1099" s="1" t="s">
        <v>1130</v>
      </c>
      <c r="B1099" s="1" t="str">
        <f t="shared" si="85"/>
        <v>Female</v>
      </c>
      <c r="C1099" s="1" t="s">
        <v>43</v>
      </c>
      <c r="D1099" s="1" t="str">
        <f t="shared" si="86"/>
        <v>No</v>
      </c>
      <c r="E1099" s="1"/>
      <c r="F1099" s="1">
        <v>0</v>
      </c>
      <c r="G1099" s="1" t="s">
        <v>17</v>
      </c>
      <c r="H1099" s="1" t="str">
        <f t="shared" si="87"/>
        <v>No</v>
      </c>
      <c r="I1099" s="1"/>
      <c r="J1099" s="1">
        <v>17056</v>
      </c>
      <c r="K1099" s="1">
        <v>9142</v>
      </c>
      <c r="L1099" s="1">
        <v>584</v>
      </c>
      <c r="M1099" s="1">
        <f t="shared" si="88"/>
        <v>360</v>
      </c>
      <c r="N1099" s="1"/>
      <c r="O1099" s="1">
        <f t="shared" si="89"/>
        <v>0</v>
      </c>
      <c r="P1099" s="1">
        <v>0</v>
      </c>
      <c r="Q1099" s="1" t="s">
        <v>30</v>
      </c>
      <c r="R1099" s="1" t="s">
        <v>26</v>
      </c>
    </row>
    <row r="1100" spans="1:18" x14ac:dyDescent="0.35">
      <c r="A1100" s="1" t="s">
        <v>1131</v>
      </c>
      <c r="B1100" s="1" t="str">
        <f t="shared" si="85"/>
        <v>Female</v>
      </c>
      <c r="C1100" s="1" t="s">
        <v>28</v>
      </c>
      <c r="D1100" s="1" t="str">
        <f t="shared" si="86"/>
        <v>No</v>
      </c>
      <c r="E1100" s="1"/>
      <c r="F1100" s="1">
        <v>1</v>
      </c>
      <c r="G1100" s="1" t="s">
        <v>17</v>
      </c>
      <c r="H1100" s="1" t="str">
        <f t="shared" si="87"/>
        <v>No</v>
      </c>
      <c r="I1100" s="1" t="s">
        <v>22</v>
      </c>
      <c r="J1100" s="1">
        <v>12152</v>
      </c>
      <c r="K1100" s="1">
        <v>7162</v>
      </c>
      <c r="L1100" s="1">
        <v>364</v>
      </c>
      <c r="M1100" s="1">
        <f t="shared" si="88"/>
        <v>360</v>
      </c>
      <c r="N1100" s="1">
        <v>360</v>
      </c>
      <c r="O1100" s="1">
        <f t="shared" si="89"/>
        <v>0</v>
      </c>
      <c r="P1100" s="1">
        <v>0</v>
      </c>
      <c r="Q1100" s="1" t="s">
        <v>41</v>
      </c>
      <c r="R1100" s="1" t="s">
        <v>20</v>
      </c>
    </row>
    <row r="1101" spans="1:18" x14ac:dyDescent="0.35">
      <c r="A1101" s="1" t="s">
        <v>1132</v>
      </c>
      <c r="B1101" s="1" t="str">
        <f t="shared" si="85"/>
        <v>Unknown</v>
      </c>
      <c r="C1101" s="1"/>
      <c r="D1101" s="1" t="str">
        <f t="shared" si="86"/>
        <v>Yes</v>
      </c>
      <c r="E1101" s="1" t="s">
        <v>29</v>
      </c>
      <c r="F1101" s="1">
        <v>1</v>
      </c>
      <c r="G1101" s="1" t="s">
        <v>25</v>
      </c>
      <c r="H1101" s="1" t="str">
        <f t="shared" si="87"/>
        <v>No</v>
      </c>
      <c r="I1101" s="1" t="s">
        <v>22</v>
      </c>
      <c r="J1101" s="1">
        <v>17939</v>
      </c>
      <c r="K1101" s="1">
        <v>873</v>
      </c>
      <c r="L1101" s="1">
        <v>646</v>
      </c>
      <c r="M1101" s="1">
        <f t="shared" si="88"/>
        <v>180</v>
      </c>
      <c r="N1101" s="1">
        <v>180</v>
      </c>
      <c r="O1101" s="1">
        <f t="shared" si="89"/>
        <v>0</v>
      </c>
      <c r="P1101" s="1"/>
      <c r="Q1101" s="1" t="s">
        <v>19</v>
      </c>
      <c r="R1101" s="1" t="s">
        <v>26</v>
      </c>
    </row>
    <row r="1102" spans="1:18" x14ac:dyDescent="0.35">
      <c r="A1102" s="1" t="s">
        <v>1133</v>
      </c>
      <c r="B1102" s="1" t="str">
        <f t="shared" si="85"/>
        <v>Male</v>
      </c>
      <c r="C1102" s="1" t="s">
        <v>52</v>
      </c>
      <c r="D1102" s="1" t="str">
        <f t="shared" si="86"/>
        <v>Yes</v>
      </c>
      <c r="E1102" s="1" t="s">
        <v>29</v>
      </c>
      <c r="F1102" s="1" t="s">
        <v>16</v>
      </c>
      <c r="G1102" s="1" t="s">
        <v>25</v>
      </c>
      <c r="H1102" s="1" t="str">
        <f t="shared" si="87"/>
        <v>No</v>
      </c>
      <c r="I1102" s="1" t="s">
        <v>18</v>
      </c>
      <c r="J1102" s="1">
        <v>11730</v>
      </c>
      <c r="K1102" s="1">
        <v>5155</v>
      </c>
      <c r="L1102" s="1">
        <v>331</v>
      </c>
      <c r="M1102" s="1">
        <f t="shared" si="88"/>
        <v>120</v>
      </c>
      <c r="N1102" s="1">
        <v>120</v>
      </c>
      <c r="O1102" s="1">
        <f t="shared" si="89"/>
        <v>1</v>
      </c>
      <c r="P1102" s="1">
        <v>1</v>
      </c>
      <c r="Q1102" s="1" t="s">
        <v>30</v>
      </c>
      <c r="R1102" s="1" t="s">
        <v>20</v>
      </c>
    </row>
    <row r="1103" spans="1:18" x14ac:dyDescent="0.35">
      <c r="A1103" s="1" t="s">
        <v>1134</v>
      </c>
      <c r="B1103" s="1" t="str">
        <f t="shared" si="85"/>
        <v>Unknown</v>
      </c>
      <c r="C1103" s="1"/>
      <c r="D1103" s="1" t="str">
        <f t="shared" si="86"/>
        <v>Yes</v>
      </c>
      <c r="E1103" s="1" t="s">
        <v>24</v>
      </c>
      <c r="F1103" s="1">
        <v>1</v>
      </c>
      <c r="G1103" s="1" t="s">
        <v>17</v>
      </c>
      <c r="H1103" s="1" t="str">
        <f t="shared" si="87"/>
        <v>No</v>
      </c>
      <c r="I1103" s="1"/>
      <c r="J1103" s="1">
        <v>16675</v>
      </c>
      <c r="K1103" s="1">
        <v>5669</v>
      </c>
      <c r="L1103" s="1">
        <v>343</v>
      </c>
      <c r="M1103" s="1">
        <f t="shared" si="88"/>
        <v>360</v>
      </c>
      <c r="N1103" s="1">
        <v>360</v>
      </c>
      <c r="O1103" s="1">
        <f t="shared" si="89"/>
        <v>1</v>
      </c>
      <c r="P1103" s="1">
        <v>1</v>
      </c>
      <c r="Q1103" s="1" t="s">
        <v>41</v>
      </c>
      <c r="R1103" s="1" t="s">
        <v>20</v>
      </c>
    </row>
    <row r="1104" spans="1:18" x14ac:dyDescent="0.35">
      <c r="A1104" s="1" t="s">
        <v>1135</v>
      </c>
      <c r="B1104" s="1" t="str">
        <f t="shared" si="85"/>
        <v>Female</v>
      </c>
      <c r="C1104" s="1" t="s">
        <v>61</v>
      </c>
      <c r="D1104" s="1" t="str">
        <f t="shared" si="86"/>
        <v>Yes</v>
      </c>
      <c r="E1104" s="1" t="s">
        <v>24</v>
      </c>
      <c r="F1104" s="1" t="s">
        <v>16</v>
      </c>
      <c r="G1104" s="1" t="s">
        <v>17</v>
      </c>
      <c r="H1104" s="1" t="str">
        <f t="shared" si="87"/>
        <v>No</v>
      </c>
      <c r="I1104" s="1" t="s">
        <v>18</v>
      </c>
      <c r="J1104" s="1">
        <v>6041</v>
      </c>
      <c r="K1104" s="1">
        <v>9605</v>
      </c>
      <c r="L1104" s="1">
        <v>170</v>
      </c>
      <c r="M1104" s="1">
        <f t="shared" si="88"/>
        <v>120</v>
      </c>
      <c r="N1104" s="1">
        <v>120</v>
      </c>
      <c r="O1104" s="1">
        <f t="shared" si="89"/>
        <v>0</v>
      </c>
      <c r="P1104" s="1"/>
      <c r="Q1104" s="1" t="s">
        <v>41</v>
      </c>
      <c r="R1104" s="1" t="s">
        <v>26</v>
      </c>
    </row>
    <row r="1105" spans="1:18" x14ac:dyDescent="0.35">
      <c r="A1105" s="1" t="s">
        <v>1136</v>
      </c>
      <c r="B1105" s="1" t="str">
        <f t="shared" si="85"/>
        <v>Unknown</v>
      </c>
      <c r="C1105" s="1"/>
      <c r="D1105" s="1" t="str">
        <f t="shared" si="86"/>
        <v>No</v>
      </c>
      <c r="E1105" s="1" t="s">
        <v>18</v>
      </c>
      <c r="F1105" s="1" t="s">
        <v>16</v>
      </c>
      <c r="G1105" s="1" t="s">
        <v>17</v>
      </c>
      <c r="H1105" s="1" t="str">
        <f t="shared" si="87"/>
        <v>No</v>
      </c>
      <c r="I1105" s="1" t="s">
        <v>18</v>
      </c>
      <c r="J1105" s="1">
        <v>2534</v>
      </c>
      <c r="K1105" s="1">
        <v>3156</v>
      </c>
      <c r="L1105" s="1">
        <v>342</v>
      </c>
      <c r="M1105" s="1">
        <f t="shared" si="88"/>
        <v>180</v>
      </c>
      <c r="N1105" s="1">
        <v>180</v>
      </c>
      <c r="O1105" s="1">
        <f t="shared" si="89"/>
        <v>0</v>
      </c>
      <c r="P1105" s="1">
        <v>0</v>
      </c>
      <c r="Q1105" s="1" t="s">
        <v>30</v>
      </c>
      <c r="R1105" s="1" t="s">
        <v>26</v>
      </c>
    </row>
    <row r="1106" spans="1:18" x14ac:dyDescent="0.35">
      <c r="A1106" s="1" t="s">
        <v>1137</v>
      </c>
      <c r="B1106" s="1" t="str">
        <f t="shared" si="85"/>
        <v>Female</v>
      </c>
      <c r="C1106" s="1" t="s">
        <v>61</v>
      </c>
      <c r="D1106" s="1" t="str">
        <f t="shared" si="86"/>
        <v>No</v>
      </c>
      <c r="E1106" s="1"/>
      <c r="F1106" s="1" t="s">
        <v>16</v>
      </c>
      <c r="G1106" s="1" t="s">
        <v>17</v>
      </c>
      <c r="H1106" s="1" t="str">
        <f t="shared" si="87"/>
        <v>Yes</v>
      </c>
      <c r="I1106" s="1" t="s">
        <v>24</v>
      </c>
      <c r="J1106" s="1">
        <v>12466</v>
      </c>
      <c r="K1106" s="1">
        <v>1050</v>
      </c>
      <c r="L1106" s="1">
        <v>408</v>
      </c>
      <c r="M1106" s="1">
        <f t="shared" si="88"/>
        <v>120</v>
      </c>
      <c r="N1106" s="1">
        <v>120</v>
      </c>
      <c r="O1106" s="1">
        <f t="shared" si="89"/>
        <v>0</v>
      </c>
      <c r="P1106" s="1"/>
      <c r="Q1106" s="1" t="s">
        <v>19</v>
      </c>
      <c r="R1106" s="1" t="s">
        <v>26</v>
      </c>
    </row>
    <row r="1107" spans="1:18" x14ac:dyDescent="0.35">
      <c r="A1107" s="1" t="s">
        <v>1138</v>
      </c>
      <c r="B1107" s="1" t="str">
        <f t="shared" si="85"/>
        <v>Unknown</v>
      </c>
      <c r="C1107" s="1"/>
      <c r="D1107" s="1" t="str">
        <f t="shared" si="86"/>
        <v>No</v>
      </c>
      <c r="E1107" s="1" t="s">
        <v>22</v>
      </c>
      <c r="F1107" s="1" t="s">
        <v>16</v>
      </c>
      <c r="G1107" s="1" t="s">
        <v>25</v>
      </c>
      <c r="H1107" s="1" t="str">
        <f t="shared" si="87"/>
        <v>No</v>
      </c>
      <c r="I1107" s="1" t="s">
        <v>22</v>
      </c>
      <c r="J1107" s="1">
        <v>11271</v>
      </c>
      <c r="K1107" s="1">
        <v>8714</v>
      </c>
      <c r="L1107" s="1">
        <v>515</v>
      </c>
      <c r="M1107" s="1">
        <f t="shared" si="88"/>
        <v>360</v>
      </c>
      <c r="N1107" s="1">
        <v>360</v>
      </c>
      <c r="O1107" s="1">
        <f t="shared" si="89"/>
        <v>0</v>
      </c>
      <c r="P1107" s="1"/>
      <c r="Q1107" s="1" t="s">
        <v>41</v>
      </c>
      <c r="R1107" s="1" t="s">
        <v>26</v>
      </c>
    </row>
    <row r="1108" spans="1:18" x14ac:dyDescent="0.35">
      <c r="A1108" s="1" t="s">
        <v>1139</v>
      </c>
      <c r="B1108" s="1" t="str">
        <f t="shared" si="85"/>
        <v>Male</v>
      </c>
      <c r="C1108" s="1" t="s">
        <v>52</v>
      </c>
      <c r="D1108" s="1" t="str">
        <f t="shared" si="86"/>
        <v>No</v>
      </c>
      <c r="E1108" s="1" t="s">
        <v>18</v>
      </c>
      <c r="F1108" s="1">
        <v>0</v>
      </c>
      <c r="G1108" s="1" t="s">
        <v>17</v>
      </c>
      <c r="H1108" s="1" t="str">
        <f t="shared" si="87"/>
        <v>No</v>
      </c>
      <c r="I1108" s="1" t="s">
        <v>22</v>
      </c>
      <c r="J1108" s="1">
        <v>19887</v>
      </c>
      <c r="K1108" s="1">
        <v>8930</v>
      </c>
      <c r="L1108" s="1">
        <v>237</v>
      </c>
      <c r="M1108" s="1">
        <f t="shared" si="88"/>
        <v>120</v>
      </c>
      <c r="N1108" s="1">
        <v>120</v>
      </c>
      <c r="O1108" s="1">
        <f t="shared" si="89"/>
        <v>0</v>
      </c>
      <c r="P1108" s="1"/>
      <c r="Q1108" s="1" t="s">
        <v>41</v>
      </c>
      <c r="R1108" s="1" t="s">
        <v>20</v>
      </c>
    </row>
    <row r="1109" spans="1:18" x14ac:dyDescent="0.35">
      <c r="A1109" s="1" t="s">
        <v>1140</v>
      </c>
      <c r="B1109" s="1" t="str">
        <f t="shared" si="85"/>
        <v>Unknown</v>
      </c>
      <c r="C1109" s="1"/>
      <c r="D1109" s="1" t="str">
        <f t="shared" si="86"/>
        <v>Yes</v>
      </c>
      <c r="E1109" s="1" t="s">
        <v>29</v>
      </c>
      <c r="F1109" s="1" t="s">
        <v>16</v>
      </c>
      <c r="G1109" s="1" t="s">
        <v>25</v>
      </c>
      <c r="H1109" s="1" t="str">
        <f t="shared" si="87"/>
        <v>No</v>
      </c>
      <c r="I1109" s="1" t="s">
        <v>22</v>
      </c>
      <c r="J1109" s="1">
        <v>2016</v>
      </c>
      <c r="K1109" s="1">
        <v>5574</v>
      </c>
      <c r="L1109" s="1">
        <v>369</v>
      </c>
      <c r="M1109" s="1">
        <f t="shared" si="88"/>
        <v>360</v>
      </c>
      <c r="N1109" s="1"/>
      <c r="O1109" s="1">
        <f t="shared" si="89"/>
        <v>1</v>
      </c>
      <c r="P1109" s="1">
        <v>1</v>
      </c>
      <c r="Q1109" s="1" t="s">
        <v>30</v>
      </c>
      <c r="R1109" s="1" t="s">
        <v>26</v>
      </c>
    </row>
    <row r="1110" spans="1:18" x14ac:dyDescent="0.35">
      <c r="A1110" s="1" t="s">
        <v>1141</v>
      </c>
      <c r="B1110" s="1" t="str">
        <f t="shared" si="85"/>
        <v>Male</v>
      </c>
      <c r="C1110" s="1" t="s">
        <v>52</v>
      </c>
      <c r="D1110" s="1" t="str">
        <f t="shared" si="86"/>
        <v>Yes</v>
      </c>
      <c r="E1110" s="1" t="s">
        <v>24</v>
      </c>
      <c r="F1110" s="1">
        <v>2</v>
      </c>
      <c r="G1110" s="1" t="s">
        <v>17</v>
      </c>
      <c r="H1110" s="1" t="str">
        <f t="shared" si="87"/>
        <v>No</v>
      </c>
      <c r="I1110" s="1" t="s">
        <v>18</v>
      </c>
      <c r="J1110" s="1">
        <v>15588</v>
      </c>
      <c r="K1110" s="1">
        <v>3002</v>
      </c>
      <c r="L1110" s="1">
        <v>292</v>
      </c>
      <c r="M1110" s="1">
        <f t="shared" si="88"/>
        <v>360</v>
      </c>
      <c r="N1110" s="1"/>
      <c r="O1110" s="1">
        <f t="shared" si="89"/>
        <v>1</v>
      </c>
      <c r="P1110" s="1">
        <v>1</v>
      </c>
      <c r="Q1110" s="1" t="s">
        <v>19</v>
      </c>
      <c r="R1110" s="1" t="s">
        <v>20</v>
      </c>
    </row>
    <row r="1111" spans="1:18" x14ac:dyDescent="0.35">
      <c r="A1111" s="1" t="s">
        <v>1142</v>
      </c>
      <c r="B1111" s="1" t="str">
        <f t="shared" si="85"/>
        <v>Female</v>
      </c>
      <c r="C1111" s="1" t="s">
        <v>43</v>
      </c>
      <c r="D1111" s="1" t="str">
        <f t="shared" si="86"/>
        <v>No</v>
      </c>
      <c r="E1111" s="1" t="s">
        <v>18</v>
      </c>
      <c r="F1111" s="1" t="s">
        <v>16</v>
      </c>
      <c r="G1111" s="1" t="s">
        <v>17</v>
      </c>
      <c r="H1111" s="1" t="str">
        <f t="shared" si="87"/>
        <v>Yes</v>
      </c>
      <c r="I1111" s="1" t="s">
        <v>29</v>
      </c>
      <c r="J1111" s="1">
        <v>5262</v>
      </c>
      <c r="K1111" s="1">
        <v>1716</v>
      </c>
      <c r="L1111" s="1">
        <v>227</v>
      </c>
      <c r="M1111" s="1">
        <f t="shared" si="88"/>
        <v>360</v>
      </c>
      <c r="N1111" s="1">
        <v>360</v>
      </c>
      <c r="O1111" s="1">
        <f t="shared" si="89"/>
        <v>0</v>
      </c>
      <c r="P1111" s="1">
        <v>0</v>
      </c>
      <c r="Q1111" s="1" t="s">
        <v>19</v>
      </c>
      <c r="R1111" s="1" t="s">
        <v>26</v>
      </c>
    </row>
    <row r="1112" spans="1:18" x14ac:dyDescent="0.35">
      <c r="A1112" s="1" t="s">
        <v>1143</v>
      </c>
      <c r="B1112" s="1" t="str">
        <f t="shared" si="85"/>
        <v>Female</v>
      </c>
      <c r="C1112" s="1" t="s">
        <v>28</v>
      </c>
      <c r="D1112" s="1" t="str">
        <f t="shared" si="86"/>
        <v>No</v>
      </c>
      <c r="E1112" s="1"/>
      <c r="F1112" s="1">
        <v>0</v>
      </c>
      <c r="G1112" s="1" t="s">
        <v>25</v>
      </c>
      <c r="H1112" s="1" t="str">
        <f t="shared" si="87"/>
        <v>Yes</v>
      </c>
      <c r="I1112" s="1" t="s">
        <v>24</v>
      </c>
      <c r="J1112" s="1">
        <v>3678</v>
      </c>
      <c r="K1112" s="1">
        <v>6950</v>
      </c>
      <c r="L1112" s="1">
        <v>115</v>
      </c>
      <c r="M1112" s="1">
        <f t="shared" si="88"/>
        <v>180</v>
      </c>
      <c r="N1112" s="1">
        <v>180</v>
      </c>
      <c r="O1112" s="1">
        <f t="shared" si="89"/>
        <v>1</v>
      </c>
      <c r="P1112" s="1">
        <v>1</v>
      </c>
      <c r="Q1112" s="1" t="s">
        <v>19</v>
      </c>
      <c r="R1112" s="1" t="s">
        <v>20</v>
      </c>
    </row>
    <row r="1113" spans="1:18" x14ac:dyDescent="0.35">
      <c r="A1113" s="1" t="s">
        <v>1144</v>
      </c>
      <c r="B1113" s="1" t="str">
        <f t="shared" si="85"/>
        <v>Female</v>
      </c>
      <c r="C1113" s="1" t="s">
        <v>43</v>
      </c>
      <c r="D1113" s="1" t="str">
        <f t="shared" si="86"/>
        <v>Yes</v>
      </c>
      <c r="E1113" s="1" t="s">
        <v>15</v>
      </c>
      <c r="F1113" s="1">
        <v>1</v>
      </c>
      <c r="G1113" s="1" t="s">
        <v>17</v>
      </c>
      <c r="H1113" s="1" t="str">
        <f t="shared" si="87"/>
        <v>No</v>
      </c>
      <c r="I1113" s="1" t="s">
        <v>36</v>
      </c>
      <c r="J1113" s="1">
        <v>9161</v>
      </c>
      <c r="K1113" s="1">
        <v>8714</v>
      </c>
      <c r="L1113" s="1">
        <v>196</v>
      </c>
      <c r="M1113" s="1">
        <f t="shared" si="88"/>
        <v>180</v>
      </c>
      <c r="N1113" s="1">
        <v>180</v>
      </c>
      <c r="O1113" s="1">
        <f t="shared" si="89"/>
        <v>0</v>
      </c>
      <c r="P1113" s="1"/>
      <c r="Q1113" s="1" t="s">
        <v>19</v>
      </c>
      <c r="R1113" s="1" t="s">
        <v>26</v>
      </c>
    </row>
    <row r="1114" spans="1:18" x14ac:dyDescent="0.35">
      <c r="A1114" s="1" t="s">
        <v>1145</v>
      </c>
      <c r="B1114" s="1" t="str">
        <f t="shared" si="85"/>
        <v>Female</v>
      </c>
      <c r="C1114" s="1" t="s">
        <v>61</v>
      </c>
      <c r="D1114" s="1" t="str">
        <f t="shared" si="86"/>
        <v>No</v>
      </c>
      <c r="E1114" s="1"/>
      <c r="F1114" s="1">
        <v>2</v>
      </c>
      <c r="G1114" s="1" t="s">
        <v>25</v>
      </c>
      <c r="H1114" s="1" t="str">
        <f t="shared" si="87"/>
        <v>No</v>
      </c>
      <c r="I1114" s="1" t="s">
        <v>22</v>
      </c>
      <c r="J1114" s="1">
        <v>13470</v>
      </c>
      <c r="K1114" s="1">
        <v>7185</v>
      </c>
      <c r="L1114" s="1">
        <v>686</v>
      </c>
      <c r="M1114" s="1">
        <f t="shared" si="88"/>
        <v>180</v>
      </c>
      <c r="N1114" s="1">
        <v>180</v>
      </c>
      <c r="O1114" s="1">
        <f t="shared" si="89"/>
        <v>0</v>
      </c>
      <c r="P1114" s="1"/>
      <c r="Q1114" s="1" t="s">
        <v>19</v>
      </c>
      <c r="R1114" s="1" t="s">
        <v>20</v>
      </c>
    </row>
    <row r="1115" spans="1:18" x14ac:dyDescent="0.35">
      <c r="A1115" s="1" t="s">
        <v>1146</v>
      </c>
      <c r="B1115" s="1" t="str">
        <f t="shared" si="85"/>
        <v>Male</v>
      </c>
      <c r="C1115" s="1" t="s">
        <v>52</v>
      </c>
      <c r="D1115" s="1" t="str">
        <f t="shared" si="86"/>
        <v>No</v>
      </c>
      <c r="E1115" s="1" t="s">
        <v>22</v>
      </c>
      <c r="F1115" s="1">
        <v>1</v>
      </c>
      <c r="G1115" s="1" t="s">
        <v>17</v>
      </c>
      <c r="H1115" s="1" t="str">
        <f t="shared" si="87"/>
        <v>No</v>
      </c>
      <c r="I1115" s="1" t="s">
        <v>36</v>
      </c>
      <c r="J1115" s="1">
        <v>1687</v>
      </c>
      <c r="K1115" s="1">
        <v>8174</v>
      </c>
      <c r="L1115" s="1">
        <v>266</v>
      </c>
      <c r="M1115" s="1">
        <f t="shared" si="88"/>
        <v>360</v>
      </c>
      <c r="N1115" s="1">
        <v>360</v>
      </c>
      <c r="O1115" s="1">
        <f t="shared" si="89"/>
        <v>1</v>
      </c>
      <c r="P1115" s="1">
        <v>1</v>
      </c>
      <c r="Q1115" s="1" t="s">
        <v>19</v>
      </c>
      <c r="R1115" s="1" t="s">
        <v>26</v>
      </c>
    </row>
    <row r="1116" spans="1:18" x14ac:dyDescent="0.35">
      <c r="A1116" s="1" t="s">
        <v>1147</v>
      </c>
      <c r="B1116" s="1" t="str">
        <f t="shared" si="85"/>
        <v>Male</v>
      </c>
      <c r="C1116" s="1" t="s">
        <v>14</v>
      </c>
      <c r="D1116" s="1" t="str">
        <f t="shared" si="86"/>
        <v>Yes</v>
      </c>
      <c r="E1116" s="1" t="s">
        <v>29</v>
      </c>
      <c r="F1116" s="1">
        <v>2</v>
      </c>
      <c r="G1116" s="1" t="s">
        <v>17</v>
      </c>
      <c r="H1116" s="1" t="str">
        <f t="shared" si="87"/>
        <v>No</v>
      </c>
      <c r="I1116" s="1"/>
      <c r="J1116" s="1">
        <v>12895</v>
      </c>
      <c r="K1116" s="1">
        <v>8586</v>
      </c>
      <c r="L1116" s="1">
        <v>95</v>
      </c>
      <c r="M1116" s="1">
        <f t="shared" si="88"/>
        <v>360</v>
      </c>
      <c r="N1116" s="1"/>
      <c r="O1116" s="1">
        <f t="shared" si="89"/>
        <v>0</v>
      </c>
      <c r="P1116" s="1"/>
      <c r="Q1116" s="1" t="s">
        <v>30</v>
      </c>
      <c r="R1116" s="1" t="s">
        <v>26</v>
      </c>
    </row>
    <row r="1117" spans="1:18" x14ac:dyDescent="0.35">
      <c r="A1117" s="1" t="s">
        <v>1148</v>
      </c>
      <c r="B1117" s="1" t="str">
        <f t="shared" si="85"/>
        <v>Male</v>
      </c>
      <c r="C1117" s="1" t="s">
        <v>14</v>
      </c>
      <c r="D1117" s="1" t="str">
        <f t="shared" si="86"/>
        <v>No</v>
      </c>
      <c r="E1117" s="1"/>
      <c r="F1117" s="1">
        <v>0</v>
      </c>
      <c r="G1117" s="1" t="s">
        <v>25</v>
      </c>
      <c r="H1117" s="1" t="str">
        <f t="shared" si="87"/>
        <v>No</v>
      </c>
      <c r="I1117" s="1"/>
      <c r="J1117" s="1">
        <v>18021</v>
      </c>
      <c r="K1117" s="1">
        <v>9483</v>
      </c>
      <c r="L1117" s="1">
        <v>177</v>
      </c>
      <c r="M1117" s="1">
        <f t="shared" si="88"/>
        <v>360</v>
      </c>
      <c r="N1117" s="1"/>
      <c r="O1117" s="1">
        <f t="shared" si="89"/>
        <v>1</v>
      </c>
      <c r="P1117" s="1">
        <v>1</v>
      </c>
      <c r="Q1117" s="1" t="s">
        <v>30</v>
      </c>
      <c r="R1117" s="1" t="s">
        <v>26</v>
      </c>
    </row>
    <row r="1118" spans="1:18" x14ac:dyDescent="0.35">
      <c r="A1118" s="1" t="s">
        <v>1149</v>
      </c>
      <c r="B1118" s="1" t="str">
        <f t="shared" si="85"/>
        <v>Female</v>
      </c>
      <c r="C1118" s="1" t="s">
        <v>28</v>
      </c>
      <c r="D1118" s="1" t="str">
        <f t="shared" si="86"/>
        <v>No</v>
      </c>
      <c r="E1118" s="1" t="s">
        <v>22</v>
      </c>
      <c r="F1118" s="1" t="s">
        <v>16</v>
      </c>
      <c r="G1118" s="1" t="s">
        <v>17</v>
      </c>
      <c r="H1118" s="1" t="str">
        <f t="shared" si="87"/>
        <v>No</v>
      </c>
      <c r="I1118" s="1" t="s">
        <v>22</v>
      </c>
      <c r="J1118" s="1">
        <v>6529</v>
      </c>
      <c r="K1118" s="1">
        <v>3633</v>
      </c>
      <c r="L1118" s="1">
        <v>571</v>
      </c>
      <c r="M1118" s="1">
        <f t="shared" si="88"/>
        <v>120</v>
      </c>
      <c r="N1118" s="1">
        <v>120</v>
      </c>
      <c r="O1118" s="1">
        <f t="shared" si="89"/>
        <v>0</v>
      </c>
      <c r="P1118" s="1">
        <v>0</v>
      </c>
      <c r="Q1118" s="1" t="s">
        <v>30</v>
      </c>
      <c r="R1118" s="1" t="s">
        <v>26</v>
      </c>
    </row>
    <row r="1119" spans="1:18" x14ac:dyDescent="0.35">
      <c r="A1119" s="1" t="s">
        <v>1150</v>
      </c>
      <c r="B1119" s="1" t="str">
        <f t="shared" si="85"/>
        <v>Unknown</v>
      </c>
      <c r="C1119" s="1"/>
      <c r="D1119" s="1" t="str">
        <f t="shared" si="86"/>
        <v>Yes</v>
      </c>
      <c r="E1119" s="1" t="s">
        <v>29</v>
      </c>
      <c r="F1119" s="1">
        <v>1</v>
      </c>
      <c r="G1119" s="1" t="s">
        <v>17</v>
      </c>
      <c r="H1119" s="1" t="str">
        <f t="shared" si="87"/>
        <v>Yes</v>
      </c>
      <c r="I1119" s="1" t="s">
        <v>29</v>
      </c>
      <c r="J1119" s="1">
        <v>2962</v>
      </c>
      <c r="K1119" s="1">
        <v>4203</v>
      </c>
      <c r="L1119" s="1">
        <v>695</v>
      </c>
      <c r="M1119" s="1">
        <f t="shared" si="88"/>
        <v>360</v>
      </c>
      <c r="N1119" s="1"/>
      <c r="O1119" s="1">
        <f t="shared" si="89"/>
        <v>0</v>
      </c>
      <c r="P1119" s="1"/>
      <c r="Q1119" s="1" t="s">
        <v>19</v>
      </c>
      <c r="R1119" s="1" t="s">
        <v>20</v>
      </c>
    </row>
    <row r="1120" spans="1:18" x14ac:dyDescent="0.35">
      <c r="A1120" s="1" t="s">
        <v>1151</v>
      </c>
      <c r="B1120" s="1" t="str">
        <f t="shared" si="85"/>
        <v>Unknown</v>
      </c>
      <c r="C1120" s="1"/>
      <c r="D1120" s="1" t="str">
        <f t="shared" si="86"/>
        <v>No</v>
      </c>
      <c r="E1120" s="1" t="s">
        <v>22</v>
      </c>
      <c r="F1120" s="1">
        <v>0</v>
      </c>
      <c r="G1120" s="1" t="s">
        <v>25</v>
      </c>
      <c r="H1120" s="1" t="str">
        <f t="shared" si="87"/>
        <v>Yes</v>
      </c>
      <c r="I1120" s="1" t="s">
        <v>24</v>
      </c>
      <c r="J1120" s="1">
        <v>9910</v>
      </c>
      <c r="K1120" s="1">
        <v>1505</v>
      </c>
      <c r="L1120" s="1">
        <v>686</v>
      </c>
      <c r="M1120" s="1">
        <f t="shared" si="88"/>
        <v>120</v>
      </c>
      <c r="N1120" s="1">
        <v>120</v>
      </c>
      <c r="O1120" s="1">
        <f t="shared" si="89"/>
        <v>0</v>
      </c>
      <c r="P1120" s="1"/>
      <c r="Q1120" s="1" t="s">
        <v>30</v>
      </c>
      <c r="R1120" s="1" t="s">
        <v>20</v>
      </c>
    </row>
    <row r="1121" spans="1:18" x14ac:dyDescent="0.35">
      <c r="A1121" s="1" t="s">
        <v>1152</v>
      </c>
      <c r="B1121" s="1" t="str">
        <f t="shared" si="85"/>
        <v>Female</v>
      </c>
      <c r="C1121" s="1" t="s">
        <v>43</v>
      </c>
      <c r="D1121" s="1" t="str">
        <f t="shared" si="86"/>
        <v>Yes</v>
      </c>
      <c r="E1121" s="1" t="s">
        <v>29</v>
      </c>
      <c r="F1121" s="1">
        <v>1</v>
      </c>
      <c r="G1121" s="1" t="s">
        <v>17</v>
      </c>
      <c r="H1121" s="1" t="str">
        <f t="shared" si="87"/>
        <v>No</v>
      </c>
      <c r="I1121" s="1" t="s">
        <v>22</v>
      </c>
      <c r="J1121" s="1">
        <v>2384</v>
      </c>
      <c r="K1121" s="1">
        <v>7030</v>
      </c>
      <c r="L1121" s="1">
        <v>372</v>
      </c>
      <c r="M1121" s="1">
        <f t="shared" si="88"/>
        <v>180</v>
      </c>
      <c r="N1121" s="1">
        <v>180</v>
      </c>
      <c r="O1121" s="1">
        <f t="shared" si="89"/>
        <v>0</v>
      </c>
      <c r="P1121" s="1">
        <v>0</v>
      </c>
      <c r="Q1121" s="1" t="s">
        <v>41</v>
      </c>
      <c r="R1121" s="1" t="s">
        <v>20</v>
      </c>
    </row>
    <row r="1122" spans="1:18" x14ac:dyDescent="0.35">
      <c r="A1122" s="1" t="s">
        <v>1153</v>
      </c>
      <c r="B1122" s="1" t="str">
        <f t="shared" si="85"/>
        <v>Female</v>
      </c>
      <c r="C1122" s="1" t="s">
        <v>28</v>
      </c>
      <c r="D1122" s="1" t="str">
        <f t="shared" si="86"/>
        <v>No</v>
      </c>
      <c r="E1122" s="1" t="s">
        <v>18</v>
      </c>
      <c r="F1122" s="1">
        <v>0</v>
      </c>
      <c r="G1122" s="1" t="s">
        <v>25</v>
      </c>
      <c r="H1122" s="1" t="str">
        <f t="shared" si="87"/>
        <v>Yes</v>
      </c>
      <c r="I1122" s="1" t="s">
        <v>29</v>
      </c>
      <c r="J1122" s="1">
        <v>17404</v>
      </c>
      <c r="K1122" s="1">
        <v>4131</v>
      </c>
      <c r="L1122" s="1">
        <v>543</v>
      </c>
      <c r="M1122" s="1">
        <f t="shared" si="88"/>
        <v>120</v>
      </c>
      <c r="N1122" s="1">
        <v>120</v>
      </c>
      <c r="O1122" s="1">
        <f t="shared" si="89"/>
        <v>0</v>
      </c>
      <c r="P1122" s="1"/>
      <c r="Q1122" s="1" t="s">
        <v>41</v>
      </c>
      <c r="R1122" s="1" t="s">
        <v>20</v>
      </c>
    </row>
    <row r="1123" spans="1:18" x14ac:dyDescent="0.35">
      <c r="A1123" s="1" t="s">
        <v>1154</v>
      </c>
      <c r="B1123" s="1" t="str">
        <f t="shared" si="85"/>
        <v>Unknown</v>
      </c>
      <c r="C1123" s="1"/>
      <c r="D1123" s="1" t="str">
        <f t="shared" si="86"/>
        <v>No</v>
      </c>
      <c r="E1123" s="1" t="s">
        <v>36</v>
      </c>
      <c r="F1123" s="1" t="s">
        <v>16</v>
      </c>
      <c r="G1123" s="1" t="s">
        <v>17</v>
      </c>
      <c r="H1123" s="1" t="str">
        <f t="shared" si="87"/>
        <v>No</v>
      </c>
      <c r="I1123" s="1"/>
      <c r="J1123" s="1">
        <v>14371</v>
      </c>
      <c r="K1123" s="1">
        <v>2081</v>
      </c>
      <c r="L1123" s="1">
        <v>471</v>
      </c>
      <c r="M1123" s="1">
        <f t="shared" si="88"/>
        <v>360</v>
      </c>
      <c r="N1123" s="1"/>
      <c r="O1123" s="1">
        <f t="shared" si="89"/>
        <v>1</v>
      </c>
      <c r="P1123" s="1">
        <v>1</v>
      </c>
      <c r="Q1123" s="1" t="s">
        <v>19</v>
      </c>
      <c r="R1123" s="1" t="s">
        <v>26</v>
      </c>
    </row>
    <row r="1124" spans="1:18" x14ac:dyDescent="0.35">
      <c r="A1124" s="1" t="s">
        <v>1155</v>
      </c>
      <c r="B1124" s="1" t="str">
        <f t="shared" si="85"/>
        <v>Male</v>
      </c>
      <c r="C1124" s="1" t="s">
        <v>52</v>
      </c>
      <c r="D1124" s="1" t="str">
        <f t="shared" si="86"/>
        <v>Yes</v>
      </c>
      <c r="E1124" s="1" t="s">
        <v>15</v>
      </c>
      <c r="F1124" s="1" t="s">
        <v>16</v>
      </c>
      <c r="G1124" s="1" t="s">
        <v>17</v>
      </c>
      <c r="H1124" s="1" t="str">
        <f t="shared" si="87"/>
        <v>No</v>
      </c>
      <c r="I1124" s="1"/>
      <c r="J1124" s="1">
        <v>8645</v>
      </c>
      <c r="K1124" s="1">
        <v>5275</v>
      </c>
      <c r="L1124" s="1">
        <v>432</v>
      </c>
      <c r="M1124" s="1">
        <f t="shared" si="88"/>
        <v>180</v>
      </c>
      <c r="N1124" s="1">
        <v>180</v>
      </c>
      <c r="O1124" s="1">
        <f t="shared" si="89"/>
        <v>0</v>
      </c>
      <c r="P1124" s="1"/>
      <c r="Q1124" s="1" t="s">
        <v>30</v>
      </c>
      <c r="R1124" s="1" t="s">
        <v>20</v>
      </c>
    </row>
    <row r="1125" spans="1:18" x14ac:dyDescent="0.35">
      <c r="A1125" s="1" t="s">
        <v>1156</v>
      </c>
      <c r="B1125" s="1" t="str">
        <f t="shared" si="85"/>
        <v>Unknown</v>
      </c>
      <c r="C1125" s="1"/>
      <c r="D1125" s="1" t="str">
        <f t="shared" si="86"/>
        <v>No</v>
      </c>
      <c r="E1125" s="1" t="s">
        <v>36</v>
      </c>
      <c r="F1125" s="1" t="s">
        <v>16</v>
      </c>
      <c r="G1125" s="1" t="s">
        <v>25</v>
      </c>
      <c r="H1125" s="1" t="str">
        <f t="shared" si="87"/>
        <v>No</v>
      </c>
      <c r="I1125" s="1" t="s">
        <v>18</v>
      </c>
      <c r="J1125" s="1">
        <v>5800</v>
      </c>
      <c r="K1125" s="1">
        <v>7187</v>
      </c>
      <c r="L1125" s="1">
        <v>519</v>
      </c>
      <c r="M1125" s="1">
        <f t="shared" si="88"/>
        <v>180</v>
      </c>
      <c r="N1125" s="1">
        <v>180</v>
      </c>
      <c r="O1125" s="1">
        <f t="shared" si="89"/>
        <v>1</v>
      </c>
      <c r="P1125" s="1">
        <v>1</v>
      </c>
      <c r="Q1125" s="1" t="s">
        <v>30</v>
      </c>
      <c r="R1125" s="1" t="s">
        <v>20</v>
      </c>
    </row>
    <row r="1126" spans="1:18" x14ac:dyDescent="0.35">
      <c r="A1126" s="1" t="s">
        <v>1157</v>
      </c>
      <c r="B1126" s="1" t="str">
        <f t="shared" si="85"/>
        <v>Unknown</v>
      </c>
      <c r="C1126" s="1"/>
      <c r="D1126" s="1" t="str">
        <f t="shared" si="86"/>
        <v>No</v>
      </c>
      <c r="E1126" s="1"/>
      <c r="F1126" s="1">
        <v>0</v>
      </c>
      <c r="G1126" s="1" t="s">
        <v>17</v>
      </c>
      <c r="H1126" s="1" t="str">
        <f t="shared" si="87"/>
        <v>Yes</v>
      </c>
      <c r="I1126" s="1" t="s">
        <v>15</v>
      </c>
      <c r="J1126" s="1">
        <v>11720</v>
      </c>
      <c r="K1126" s="1">
        <v>3329</v>
      </c>
      <c r="L1126" s="1">
        <v>208</v>
      </c>
      <c r="M1126" s="1">
        <f t="shared" si="88"/>
        <v>120</v>
      </c>
      <c r="N1126" s="1">
        <v>120</v>
      </c>
      <c r="O1126" s="1">
        <f t="shared" si="89"/>
        <v>0</v>
      </c>
      <c r="P1126" s="1">
        <v>0</v>
      </c>
      <c r="Q1126" s="1" t="s">
        <v>30</v>
      </c>
      <c r="R1126" s="1" t="s">
        <v>26</v>
      </c>
    </row>
    <row r="1127" spans="1:18" x14ac:dyDescent="0.35">
      <c r="A1127" s="1" t="s">
        <v>1158</v>
      </c>
      <c r="B1127" s="1" t="str">
        <f t="shared" si="85"/>
        <v>Unknown</v>
      </c>
      <c r="C1127" s="1"/>
      <c r="D1127" s="1" t="str">
        <f t="shared" si="86"/>
        <v>Yes</v>
      </c>
      <c r="E1127" s="1" t="s">
        <v>29</v>
      </c>
      <c r="F1127" s="1">
        <v>2</v>
      </c>
      <c r="G1127" s="1" t="s">
        <v>25</v>
      </c>
      <c r="H1127" s="1" t="str">
        <f t="shared" si="87"/>
        <v>No</v>
      </c>
      <c r="I1127" s="1" t="s">
        <v>36</v>
      </c>
      <c r="J1127" s="1">
        <v>16257</v>
      </c>
      <c r="K1127" s="1">
        <v>9833</v>
      </c>
      <c r="L1127" s="1">
        <v>299</v>
      </c>
      <c r="M1127" s="1">
        <f t="shared" si="88"/>
        <v>120</v>
      </c>
      <c r="N1127" s="1">
        <v>120</v>
      </c>
      <c r="O1127" s="1">
        <f t="shared" si="89"/>
        <v>1</v>
      </c>
      <c r="P1127" s="1">
        <v>1</v>
      </c>
      <c r="Q1127" s="1" t="s">
        <v>19</v>
      </c>
      <c r="R1127" s="1" t="s">
        <v>26</v>
      </c>
    </row>
    <row r="1128" spans="1:18" x14ac:dyDescent="0.35">
      <c r="A1128" s="1" t="s">
        <v>1159</v>
      </c>
      <c r="B1128" s="1" t="str">
        <f t="shared" si="85"/>
        <v>Male</v>
      </c>
      <c r="C1128" s="1" t="s">
        <v>52</v>
      </c>
      <c r="D1128" s="1" t="str">
        <f t="shared" si="86"/>
        <v>Yes</v>
      </c>
      <c r="E1128" s="1" t="s">
        <v>29</v>
      </c>
      <c r="F1128" s="1">
        <v>1</v>
      </c>
      <c r="G1128" s="1" t="s">
        <v>17</v>
      </c>
      <c r="H1128" s="1" t="str">
        <f t="shared" si="87"/>
        <v>Yes</v>
      </c>
      <c r="I1128" s="1" t="s">
        <v>24</v>
      </c>
      <c r="J1128" s="1">
        <v>19329</v>
      </c>
      <c r="K1128" s="1">
        <v>6071</v>
      </c>
      <c r="L1128" s="1">
        <v>518</v>
      </c>
      <c r="M1128" s="1">
        <f t="shared" si="88"/>
        <v>120</v>
      </c>
      <c r="N1128" s="1">
        <v>120</v>
      </c>
      <c r="O1128" s="1">
        <f t="shared" si="89"/>
        <v>0</v>
      </c>
      <c r="P1128" s="1">
        <v>0</v>
      </c>
      <c r="Q1128" s="1" t="s">
        <v>30</v>
      </c>
      <c r="R1128" s="1" t="s">
        <v>26</v>
      </c>
    </row>
    <row r="1129" spans="1:18" x14ac:dyDescent="0.35">
      <c r="A1129" s="1" t="s">
        <v>1160</v>
      </c>
      <c r="B1129" s="1" t="str">
        <f t="shared" si="85"/>
        <v>Female</v>
      </c>
      <c r="C1129" s="1" t="s">
        <v>43</v>
      </c>
      <c r="D1129" s="1" t="str">
        <f t="shared" si="86"/>
        <v>No</v>
      </c>
      <c r="E1129" s="1"/>
      <c r="F1129" s="1">
        <v>2</v>
      </c>
      <c r="G1129" s="1" t="s">
        <v>17</v>
      </c>
      <c r="H1129" s="1" t="str">
        <f t="shared" si="87"/>
        <v>Yes</v>
      </c>
      <c r="I1129" s="1" t="s">
        <v>29</v>
      </c>
      <c r="J1129" s="1">
        <v>14841</v>
      </c>
      <c r="K1129" s="1">
        <v>9090</v>
      </c>
      <c r="L1129" s="1">
        <v>577</v>
      </c>
      <c r="M1129" s="1">
        <f t="shared" si="88"/>
        <v>360</v>
      </c>
      <c r="N1129" s="1"/>
      <c r="O1129" s="1">
        <f t="shared" si="89"/>
        <v>0</v>
      </c>
      <c r="P1129" s="1">
        <v>0</v>
      </c>
      <c r="Q1129" s="1" t="s">
        <v>30</v>
      </c>
      <c r="R1129" s="1" t="s">
        <v>20</v>
      </c>
    </row>
    <row r="1130" spans="1:18" x14ac:dyDescent="0.35">
      <c r="A1130" s="1" t="s">
        <v>1161</v>
      </c>
      <c r="B1130" s="1" t="str">
        <f t="shared" si="85"/>
        <v>Unknown</v>
      </c>
      <c r="C1130" s="1"/>
      <c r="D1130" s="1" t="str">
        <f t="shared" si="86"/>
        <v>Yes</v>
      </c>
      <c r="E1130" s="1" t="s">
        <v>15</v>
      </c>
      <c r="F1130" s="1">
        <v>1</v>
      </c>
      <c r="G1130" s="1" t="s">
        <v>25</v>
      </c>
      <c r="H1130" s="1" t="str">
        <f t="shared" si="87"/>
        <v>No</v>
      </c>
      <c r="I1130" s="1"/>
      <c r="J1130" s="1">
        <v>6255</v>
      </c>
      <c r="K1130" s="1">
        <v>3338</v>
      </c>
      <c r="L1130" s="1">
        <v>145</v>
      </c>
      <c r="M1130" s="1">
        <f t="shared" si="88"/>
        <v>360</v>
      </c>
      <c r="N1130" s="1"/>
      <c r="O1130" s="1">
        <f t="shared" si="89"/>
        <v>0</v>
      </c>
      <c r="P1130" s="1"/>
      <c r="Q1130" s="1" t="s">
        <v>41</v>
      </c>
      <c r="R1130" s="1" t="s">
        <v>26</v>
      </c>
    </row>
    <row r="1131" spans="1:18" x14ac:dyDescent="0.35">
      <c r="A1131" s="1" t="s">
        <v>1162</v>
      </c>
      <c r="B1131" s="1" t="str">
        <f t="shared" si="85"/>
        <v>Unknown</v>
      </c>
      <c r="C1131" s="1"/>
      <c r="D1131" s="1" t="str">
        <f t="shared" si="86"/>
        <v>Yes</v>
      </c>
      <c r="E1131" s="1" t="s">
        <v>24</v>
      </c>
      <c r="F1131" s="1" t="s">
        <v>16</v>
      </c>
      <c r="G1131" s="1" t="s">
        <v>17</v>
      </c>
      <c r="H1131" s="1" t="str">
        <f t="shared" si="87"/>
        <v>No</v>
      </c>
      <c r="I1131" s="1" t="s">
        <v>22</v>
      </c>
      <c r="J1131" s="1">
        <v>11426</v>
      </c>
      <c r="K1131" s="1">
        <v>8800</v>
      </c>
      <c r="L1131" s="1">
        <v>404</v>
      </c>
      <c r="M1131" s="1">
        <f t="shared" si="88"/>
        <v>180</v>
      </c>
      <c r="N1131" s="1">
        <v>180</v>
      </c>
      <c r="O1131" s="1">
        <f t="shared" si="89"/>
        <v>0</v>
      </c>
      <c r="P1131" s="1">
        <v>0</v>
      </c>
      <c r="Q1131" s="1" t="s">
        <v>41</v>
      </c>
      <c r="R1131" s="1" t="s">
        <v>20</v>
      </c>
    </row>
    <row r="1132" spans="1:18" x14ac:dyDescent="0.35">
      <c r="A1132" s="1" t="s">
        <v>1163</v>
      </c>
      <c r="B1132" s="1" t="str">
        <f t="shared" si="85"/>
        <v>Male</v>
      </c>
      <c r="C1132" s="1" t="s">
        <v>14</v>
      </c>
      <c r="D1132" s="1" t="str">
        <f t="shared" si="86"/>
        <v>No</v>
      </c>
      <c r="E1132" s="1"/>
      <c r="F1132" s="1">
        <v>0</v>
      </c>
      <c r="G1132" s="1" t="s">
        <v>17</v>
      </c>
      <c r="H1132" s="1" t="str">
        <f t="shared" si="87"/>
        <v>No</v>
      </c>
      <c r="I1132" s="1"/>
      <c r="J1132" s="1">
        <v>6482</v>
      </c>
      <c r="K1132" s="1">
        <v>7272</v>
      </c>
      <c r="L1132" s="1">
        <v>137</v>
      </c>
      <c r="M1132" s="1">
        <f t="shared" si="88"/>
        <v>360</v>
      </c>
      <c r="N1132" s="1"/>
      <c r="O1132" s="1">
        <f t="shared" si="89"/>
        <v>1</v>
      </c>
      <c r="P1132" s="1">
        <v>1</v>
      </c>
      <c r="Q1132" s="1" t="s">
        <v>30</v>
      </c>
      <c r="R1132" s="1" t="s">
        <v>20</v>
      </c>
    </row>
    <row r="1133" spans="1:18" x14ac:dyDescent="0.35">
      <c r="A1133" s="1" t="s">
        <v>1164</v>
      </c>
      <c r="B1133" s="1" t="str">
        <f t="shared" si="85"/>
        <v>Female</v>
      </c>
      <c r="C1133" s="1" t="s">
        <v>28</v>
      </c>
      <c r="D1133" s="1" t="str">
        <f t="shared" si="86"/>
        <v>Yes</v>
      </c>
      <c r="E1133" s="1" t="s">
        <v>24</v>
      </c>
      <c r="F1133" s="1" t="s">
        <v>16</v>
      </c>
      <c r="G1133" s="1" t="s">
        <v>25</v>
      </c>
      <c r="H1133" s="1" t="str">
        <f t="shared" si="87"/>
        <v>No</v>
      </c>
      <c r="I1133" s="1"/>
      <c r="J1133" s="1">
        <v>2540</v>
      </c>
      <c r="K1133" s="1">
        <v>7315</v>
      </c>
      <c r="L1133" s="1">
        <v>191</v>
      </c>
      <c r="M1133" s="1">
        <f t="shared" si="88"/>
        <v>120</v>
      </c>
      <c r="N1133" s="1">
        <v>120</v>
      </c>
      <c r="O1133" s="1">
        <f t="shared" si="89"/>
        <v>1</v>
      </c>
      <c r="P1133" s="1">
        <v>1</v>
      </c>
      <c r="Q1133" s="1" t="s">
        <v>19</v>
      </c>
      <c r="R1133" s="1" t="s">
        <v>26</v>
      </c>
    </row>
    <row r="1134" spans="1:18" x14ac:dyDescent="0.35">
      <c r="A1134" s="1" t="s">
        <v>1165</v>
      </c>
      <c r="B1134" s="1" t="str">
        <f t="shared" si="85"/>
        <v>Unknown</v>
      </c>
      <c r="C1134" s="1"/>
      <c r="D1134" s="1" t="str">
        <f t="shared" si="86"/>
        <v>No</v>
      </c>
      <c r="E1134" s="1" t="s">
        <v>36</v>
      </c>
      <c r="F1134" s="1" t="s">
        <v>16</v>
      </c>
      <c r="G1134" s="1" t="s">
        <v>17</v>
      </c>
      <c r="H1134" s="1" t="str">
        <f t="shared" si="87"/>
        <v>No</v>
      </c>
      <c r="I1134" s="1"/>
      <c r="J1134" s="1">
        <v>4479</v>
      </c>
      <c r="K1134" s="1">
        <v>3546</v>
      </c>
      <c r="L1134" s="1">
        <v>315</v>
      </c>
      <c r="M1134" s="1">
        <f t="shared" si="88"/>
        <v>360</v>
      </c>
      <c r="N1134" s="1">
        <v>360</v>
      </c>
      <c r="O1134" s="1">
        <f t="shared" si="89"/>
        <v>1</v>
      </c>
      <c r="P1134" s="1">
        <v>1</v>
      </c>
      <c r="Q1134" s="1" t="s">
        <v>30</v>
      </c>
      <c r="R1134" s="1" t="s">
        <v>20</v>
      </c>
    </row>
    <row r="1135" spans="1:18" x14ac:dyDescent="0.35">
      <c r="A1135" s="1" t="s">
        <v>1166</v>
      </c>
      <c r="B1135" s="1" t="str">
        <f t="shared" si="85"/>
        <v>Unknown</v>
      </c>
      <c r="C1135" s="1"/>
      <c r="D1135" s="1" t="str">
        <f t="shared" si="86"/>
        <v>Yes</v>
      </c>
      <c r="E1135" s="1" t="s">
        <v>15</v>
      </c>
      <c r="F1135" s="1">
        <v>0</v>
      </c>
      <c r="G1135" s="1" t="s">
        <v>25</v>
      </c>
      <c r="H1135" s="1" t="str">
        <f t="shared" si="87"/>
        <v>No</v>
      </c>
      <c r="I1135" s="1" t="s">
        <v>22</v>
      </c>
      <c r="J1135" s="1">
        <v>1936</v>
      </c>
      <c r="K1135" s="1">
        <v>1471</v>
      </c>
      <c r="L1135" s="1">
        <v>494</v>
      </c>
      <c r="M1135" s="1">
        <f t="shared" si="88"/>
        <v>360</v>
      </c>
      <c r="N1135" s="1"/>
      <c r="O1135" s="1">
        <f t="shared" si="89"/>
        <v>0</v>
      </c>
      <c r="P1135" s="1">
        <v>0</v>
      </c>
      <c r="Q1135" s="1" t="s">
        <v>19</v>
      </c>
      <c r="R1135" s="1" t="s">
        <v>20</v>
      </c>
    </row>
    <row r="1136" spans="1:18" x14ac:dyDescent="0.35">
      <c r="A1136" s="1" t="s">
        <v>1167</v>
      </c>
      <c r="B1136" s="1" t="str">
        <f t="shared" si="85"/>
        <v>Unknown</v>
      </c>
      <c r="C1136" s="1"/>
      <c r="D1136" s="1" t="str">
        <f t="shared" si="86"/>
        <v>No</v>
      </c>
      <c r="E1136" s="1"/>
      <c r="F1136" s="1" t="s">
        <v>16</v>
      </c>
      <c r="G1136" s="1" t="s">
        <v>25</v>
      </c>
      <c r="H1136" s="1" t="str">
        <f t="shared" si="87"/>
        <v>No</v>
      </c>
      <c r="I1136" s="1" t="s">
        <v>22</v>
      </c>
      <c r="J1136" s="1">
        <v>8942</v>
      </c>
      <c r="K1136" s="1">
        <v>3552</v>
      </c>
      <c r="L1136" s="1">
        <v>377</v>
      </c>
      <c r="M1136" s="1">
        <f t="shared" si="88"/>
        <v>360</v>
      </c>
      <c r="N1136" s="1"/>
      <c r="O1136" s="1">
        <f t="shared" si="89"/>
        <v>1</v>
      </c>
      <c r="P1136" s="1">
        <v>1</v>
      </c>
      <c r="Q1136" s="1" t="s">
        <v>19</v>
      </c>
      <c r="R1136" s="1" t="s">
        <v>20</v>
      </c>
    </row>
    <row r="1137" spans="1:18" x14ac:dyDescent="0.35">
      <c r="A1137" s="1" t="s">
        <v>1168</v>
      </c>
      <c r="B1137" s="1" t="str">
        <f t="shared" si="85"/>
        <v>Unknown</v>
      </c>
      <c r="C1137" s="1"/>
      <c r="D1137" s="1" t="str">
        <f t="shared" si="86"/>
        <v>No</v>
      </c>
      <c r="E1137" s="1"/>
      <c r="F1137" s="1">
        <v>1</v>
      </c>
      <c r="G1137" s="1" t="s">
        <v>17</v>
      </c>
      <c r="H1137" s="1" t="str">
        <f t="shared" si="87"/>
        <v>Yes</v>
      </c>
      <c r="I1137" s="1" t="s">
        <v>29</v>
      </c>
      <c r="J1137" s="1">
        <v>19949</v>
      </c>
      <c r="K1137" s="1">
        <v>9742</v>
      </c>
      <c r="L1137" s="1">
        <v>374</v>
      </c>
      <c r="M1137" s="1">
        <f t="shared" si="88"/>
        <v>180</v>
      </c>
      <c r="N1137" s="1">
        <v>180</v>
      </c>
      <c r="O1137" s="1">
        <f t="shared" si="89"/>
        <v>0</v>
      </c>
      <c r="P1137" s="1">
        <v>0</v>
      </c>
      <c r="Q1137" s="1" t="s">
        <v>19</v>
      </c>
      <c r="R1137" s="1" t="s">
        <v>20</v>
      </c>
    </row>
    <row r="1138" spans="1:18" x14ac:dyDescent="0.35">
      <c r="A1138" s="1" t="s">
        <v>1169</v>
      </c>
      <c r="B1138" s="1" t="str">
        <f t="shared" si="85"/>
        <v>Male</v>
      </c>
      <c r="C1138" s="1" t="s">
        <v>33</v>
      </c>
      <c r="D1138" s="1" t="str">
        <f t="shared" si="86"/>
        <v>No</v>
      </c>
      <c r="E1138" s="1"/>
      <c r="F1138" s="1" t="s">
        <v>16</v>
      </c>
      <c r="G1138" s="1" t="s">
        <v>25</v>
      </c>
      <c r="H1138" s="1" t="str">
        <f t="shared" si="87"/>
        <v>No</v>
      </c>
      <c r="I1138" s="1" t="s">
        <v>18</v>
      </c>
      <c r="J1138" s="1">
        <v>7185</v>
      </c>
      <c r="K1138" s="1">
        <v>7942</v>
      </c>
      <c r="L1138" s="1">
        <v>670</v>
      </c>
      <c r="M1138" s="1">
        <f t="shared" si="88"/>
        <v>120</v>
      </c>
      <c r="N1138" s="1">
        <v>120</v>
      </c>
      <c r="O1138" s="1">
        <f t="shared" si="89"/>
        <v>0</v>
      </c>
      <c r="P1138" s="1"/>
      <c r="Q1138" s="1" t="s">
        <v>41</v>
      </c>
      <c r="R1138" s="1" t="s">
        <v>26</v>
      </c>
    </row>
    <row r="1139" spans="1:18" x14ac:dyDescent="0.35">
      <c r="A1139" s="1" t="s">
        <v>1170</v>
      </c>
      <c r="B1139" s="1" t="str">
        <f t="shared" si="85"/>
        <v>Male</v>
      </c>
      <c r="C1139" s="1" t="s">
        <v>14</v>
      </c>
      <c r="D1139" s="1" t="str">
        <f t="shared" si="86"/>
        <v>Yes</v>
      </c>
      <c r="E1139" s="1" t="s">
        <v>15</v>
      </c>
      <c r="F1139" s="1">
        <v>0</v>
      </c>
      <c r="G1139" s="1" t="s">
        <v>17</v>
      </c>
      <c r="H1139" s="1" t="str">
        <f t="shared" si="87"/>
        <v>No</v>
      </c>
      <c r="I1139" s="1" t="s">
        <v>22</v>
      </c>
      <c r="J1139" s="1">
        <v>5650</v>
      </c>
      <c r="K1139" s="1">
        <v>9605</v>
      </c>
      <c r="L1139" s="1">
        <v>629</v>
      </c>
      <c r="M1139" s="1">
        <f t="shared" si="88"/>
        <v>360</v>
      </c>
      <c r="N1139" s="1">
        <v>360</v>
      </c>
      <c r="O1139" s="1">
        <f t="shared" si="89"/>
        <v>1</v>
      </c>
      <c r="P1139" s="1">
        <v>1</v>
      </c>
      <c r="Q1139" s="1" t="s">
        <v>19</v>
      </c>
      <c r="R1139" s="1" t="s">
        <v>20</v>
      </c>
    </row>
    <row r="1140" spans="1:18" x14ac:dyDescent="0.35">
      <c r="A1140" s="1" t="s">
        <v>1171</v>
      </c>
      <c r="B1140" s="1" t="str">
        <f t="shared" si="85"/>
        <v>Male</v>
      </c>
      <c r="C1140" s="1" t="s">
        <v>33</v>
      </c>
      <c r="D1140" s="1" t="str">
        <f t="shared" si="86"/>
        <v>No</v>
      </c>
      <c r="E1140" s="1"/>
      <c r="F1140" s="1">
        <v>2</v>
      </c>
      <c r="G1140" s="1" t="s">
        <v>25</v>
      </c>
      <c r="H1140" s="1" t="str">
        <f t="shared" si="87"/>
        <v>Yes</v>
      </c>
      <c r="I1140" s="1" t="s">
        <v>29</v>
      </c>
      <c r="J1140" s="1">
        <v>7945</v>
      </c>
      <c r="K1140" s="1">
        <v>1138</v>
      </c>
      <c r="L1140" s="1">
        <v>351</v>
      </c>
      <c r="M1140" s="1">
        <f t="shared" si="88"/>
        <v>360</v>
      </c>
      <c r="N1140" s="1">
        <v>360</v>
      </c>
      <c r="O1140" s="1">
        <f t="shared" si="89"/>
        <v>0</v>
      </c>
      <c r="P1140" s="1">
        <v>0</v>
      </c>
      <c r="Q1140" s="1" t="s">
        <v>30</v>
      </c>
      <c r="R1140" s="1" t="s">
        <v>26</v>
      </c>
    </row>
    <row r="1141" spans="1:18" x14ac:dyDescent="0.35">
      <c r="A1141" s="1" t="s">
        <v>1172</v>
      </c>
      <c r="B1141" s="1" t="str">
        <f t="shared" si="85"/>
        <v>Unknown</v>
      </c>
      <c r="C1141" s="1"/>
      <c r="D1141" s="1" t="str">
        <f t="shared" si="86"/>
        <v>No</v>
      </c>
      <c r="E1141" s="1"/>
      <c r="F1141" s="1">
        <v>0</v>
      </c>
      <c r="G1141" s="1" t="s">
        <v>25</v>
      </c>
      <c r="H1141" s="1" t="str">
        <f t="shared" si="87"/>
        <v>No</v>
      </c>
      <c r="I1141" s="1" t="s">
        <v>18</v>
      </c>
      <c r="J1141" s="1">
        <v>7061</v>
      </c>
      <c r="K1141" s="1">
        <v>1730</v>
      </c>
      <c r="L1141" s="1">
        <v>302</v>
      </c>
      <c r="M1141" s="1">
        <f t="shared" si="88"/>
        <v>360</v>
      </c>
      <c r="N1141" s="1"/>
      <c r="O1141" s="1">
        <f t="shared" si="89"/>
        <v>0</v>
      </c>
      <c r="P1141" s="1"/>
      <c r="Q1141" s="1" t="s">
        <v>30</v>
      </c>
      <c r="R1141" s="1" t="s">
        <v>26</v>
      </c>
    </row>
    <row r="1142" spans="1:18" x14ac:dyDescent="0.35">
      <c r="A1142" s="1" t="s">
        <v>1173</v>
      </c>
      <c r="B1142" s="1" t="str">
        <f t="shared" si="85"/>
        <v>Unknown</v>
      </c>
      <c r="C1142" s="1"/>
      <c r="D1142" s="1" t="str">
        <f t="shared" si="86"/>
        <v>No</v>
      </c>
      <c r="E1142" s="1" t="s">
        <v>22</v>
      </c>
      <c r="F1142" s="1">
        <v>0</v>
      </c>
      <c r="G1142" s="1" t="s">
        <v>17</v>
      </c>
      <c r="H1142" s="1" t="str">
        <f t="shared" si="87"/>
        <v>No</v>
      </c>
      <c r="I1142" s="1" t="s">
        <v>36</v>
      </c>
      <c r="J1142" s="1">
        <v>8704</v>
      </c>
      <c r="K1142" s="1">
        <v>9483</v>
      </c>
      <c r="L1142" s="1">
        <v>533</v>
      </c>
      <c r="M1142" s="1">
        <f t="shared" si="88"/>
        <v>180</v>
      </c>
      <c r="N1142" s="1">
        <v>180</v>
      </c>
      <c r="O1142" s="1">
        <f t="shared" si="89"/>
        <v>0</v>
      </c>
      <c r="P1142" s="1"/>
      <c r="Q1142" s="1" t="s">
        <v>19</v>
      </c>
      <c r="R1142" s="1" t="s">
        <v>20</v>
      </c>
    </row>
    <row r="1143" spans="1:18" x14ac:dyDescent="0.35">
      <c r="A1143" s="1" t="s">
        <v>1174</v>
      </c>
      <c r="B1143" s="1" t="str">
        <f t="shared" si="85"/>
        <v>Male</v>
      </c>
      <c r="C1143" s="1" t="s">
        <v>52</v>
      </c>
      <c r="D1143" s="1" t="str">
        <f t="shared" si="86"/>
        <v>No</v>
      </c>
      <c r="E1143" s="1" t="s">
        <v>36</v>
      </c>
      <c r="F1143" s="1">
        <v>1</v>
      </c>
      <c r="G1143" s="1" t="s">
        <v>25</v>
      </c>
      <c r="H1143" s="1" t="str">
        <f t="shared" si="87"/>
        <v>Yes</v>
      </c>
      <c r="I1143" s="1" t="s">
        <v>24</v>
      </c>
      <c r="J1143" s="1">
        <v>14407</v>
      </c>
      <c r="K1143" s="1">
        <v>8535</v>
      </c>
      <c r="L1143" s="1">
        <v>561</v>
      </c>
      <c r="M1143" s="1">
        <f t="shared" si="88"/>
        <v>180</v>
      </c>
      <c r="N1143" s="1">
        <v>180</v>
      </c>
      <c r="O1143" s="1">
        <f t="shared" si="89"/>
        <v>0</v>
      </c>
      <c r="P1143" s="1"/>
      <c r="Q1143" s="1" t="s">
        <v>30</v>
      </c>
      <c r="R1143" s="1" t="s">
        <v>26</v>
      </c>
    </row>
    <row r="1144" spans="1:18" x14ac:dyDescent="0.35">
      <c r="A1144" s="1" t="s">
        <v>1175</v>
      </c>
      <c r="B1144" s="1" t="str">
        <f t="shared" si="85"/>
        <v>Unknown</v>
      </c>
      <c r="C1144" s="1"/>
      <c r="D1144" s="1" t="str">
        <f t="shared" si="86"/>
        <v>Yes</v>
      </c>
      <c r="E1144" s="1" t="s">
        <v>24</v>
      </c>
      <c r="F1144" s="1">
        <v>2</v>
      </c>
      <c r="G1144" s="1" t="s">
        <v>25</v>
      </c>
      <c r="H1144" s="1" t="str">
        <f t="shared" si="87"/>
        <v>Yes</v>
      </c>
      <c r="I1144" s="1" t="s">
        <v>24</v>
      </c>
      <c r="J1144" s="1">
        <v>13640</v>
      </c>
      <c r="K1144" s="1">
        <v>9366</v>
      </c>
      <c r="L1144" s="1">
        <v>259</v>
      </c>
      <c r="M1144" s="1">
        <f t="shared" si="88"/>
        <v>360</v>
      </c>
      <c r="N1144" s="1">
        <v>360</v>
      </c>
      <c r="O1144" s="1">
        <f t="shared" si="89"/>
        <v>0</v>
      </c>
      <c r="P1144" s="1"/>
      <c r="Q1144" s="1" t="s">
        <v>19</v>
      </c>
      <c r="R1144" s="1" t="s">
        <v>20</v>
      </c>
    </row>
    <row r="1145" spans="1:18" x14ac:dyDescent="0.35">
      <c r="A1145" s="1" t="s">
        <v>1176</v>
      </c>
      <c r="B1145" s="1" t="str">
        <f t="shared" si="85"/>
        <v>Male</v>
      </c>
      <c r="C1145" s="1" t="s">
        <v>52</v>
      </c>
      <c r="D1145" s="1" t="str">
        <f t="shared" si="86"/>
        <v>No</v>
      </c>
      <c r="E1145" s="1"/>
      <c r="F1145" s="1">
        <v>2</v>
      </c>
      <c r="G1145" s="1" t="s">
        <v>17</v>
      </c>
      <c r="H1145" s="1" t="str">
        <f t="shared" si="87"/>
        <v>No</v>
      </c>
      <c r="I1145" s="1"/>
      <c r="J1145" s="1">
        <v>5841</v>
      </c>
      <c r="K1145" s="1">
        <v>1141</v>
      </c>
      <c r="L1145" s="1">
        <v>107</v>
      </c>
      <c r="M1145" s="1">
        <f t="shared" si="88"/>
        <v>360</v>
      </c>
      <c r="N1145" s="1">
        <v>360</v>
      </c>
      <c r="O1145" s="1">
        <f t="shared" si="89"/>
        <v>0</v>
      </c>
      <c r="P1145" s="1">
        <v>0</v>
      </c>
      <c r="Q1145" s="1" t="s">
        <v>41</v>
      </c>
      <c r="R1145" s="1" t="s">
        <v>26</v>
      </c>
    </row>
    <row r="1146" spans="1:18" x14ac:dyDescent="0.35">
      <c r="A1146" s="1" t="s">
        <v>1177</v>
      </c>
      <c r="B1146" s="1" t="str">
        <f t="shared" si="85"/>
        <v>Male</v>
      </c>
      <c r="C1146" s="1" t="s">
        <v>52</v>
      </c>
      <c r="D1146" s="1" t="str">
        <f t="shared" si="86"/>
        <v>No</v>
      </c>
      <c r="E1146" s="1"/>
      <c r="F1146" s="1">
        <v>0</v>
      </c>
      <c r="G1146" s="1" t="s">
        <v>17</v>
      </c>
      <c r="H1146" s="1" t="str">
        <f t="shared" si="87"/>
        <v>No</v>
      </c>
      <c r="I1146" s="1"/>
      <c r="J1146" s="1">
        <v>18934</v>
      </c>
      <c r="K1146" s="1">
        <v>4649</v>
      </c>
      <c r="L1146" s="1">
        <v>545</v>
      </c>
      <c r="M1146" s="1">
        <f t="shared" si="88"/>
        <v>360</v>
      </c>
      <c r="N1146" s="1">
        <v>360</v>
      </c>
      <c r="O1146" s="1">
        <f t="shared" si="89"/>
        <v>1</v>
      </c>
      <c r="P1146" s="1">
        <v>1</v>
      </c>
      <c r="Q1146" s="1" t="s">
        <v>41</v>
      </c>
      <c r="R1146" s="1" t="s">
        <v>26</v>
      </c>
    </row>
    <row r="1147" spans="1:18" x14ac:dyDescent="0.35">
      <c r="A1147" s="1" t="s">
        <v>1178</v>
      </c>
      <c r="B1147" s="1" t="str">
        <f t="shared" si="85"/>
        <v>Female</v>
      </c>
      <c r="C1147" s="1" t="s">
        <v>61</v>
      </c>
      <c r="D1147" s="1" t="str">
        <f t="shared" si="86"/>
        <v>Yes</v>
      </c>
      <c r="E1147" s="1" t="s">
        <v>24</v>
      </c>
      <c r="F1147" s="1">
        <v>1</v>
      </c>
      <c r="G1147" s="1" t="s">
        <v>17</v>
      </c>
      <c r="H1147" s="1" t="str">
        <f t="shared" si="87"/>
        <v>No</v>
      </c>
      <c r="I1147" s="1" t="s">
        <v>22</v>
      </c>
      <c r="J1147" s="1">
        <v>3068</v>
      </c>
      <c r="K1147" s="1">
        <v>4751</v>
      </c>
      <c r="L1147" s="1">
        <v>335</v>
      </c>
      <c r="M1147" s="1">
        <f t="shared" si="88"/>
        <v>120</v>
      </c>
      <c r="N1147" s="1">
        <v>120</v>
      </c>
      <c r="O1147" s="1">
        <f t="shared" si="89"/>
        <v>0</v>
      </c>
      <c r="P1147" s="1">
        <v>0</v>
      </c>
      <c r="Q1147" s="1" t="s">
        <v>19</v>
      </c>
      <c r="R1147" s="1" t="s">
        <v>20</v>
      </c>
    </row>
    <row r="1148" spans="1:18" x14ac:dyDescent="0.35">
      <c r="A1148" s="1" t="s">
        <v>1179</v>
      </c>
      <c r="B1148" s="1" t="str">
        <f t="shared" si="85"/>
        <v>Female</v>
      </c>
      <c r="C1148" s="1" t="s">
        <v>43</v>
      </c>
      <c r="D1148" s="1" t="str">
        <f t="shared" si="86"/>
        <v>Yes</v>
      </c>
      <c r="E1148" s="1" t="s">
        <v>29</v>
      </c>
      <c r="F1148" s="1">
        <v>1</v>
      </c>
      <c r="G1148" s="1" t="s">
        <v>25</v>
      </c>
      <c r="H1148" s="1" t="str">
        <f t="shared" si="87"/>
        <v>Yes</v>
      </c>
      <c r="I1148" s="1" t="s">
        <v>24</v>
      </c>
      <c r="J1148" s="1">
        <v>3284</v>
      </c>
      <c r="K1148" s="1">
        <v>8235</v>
      </c>
      <c r="L1148" s="1">
        <v>580</v>
      </c>
      <c r="M1148" s="1">
        <f t="shared" si="88"/>
        <v>360</v>
      </c>
      <c r="N1148" s="1"/>
      <c r="O1148" s="1">
        <f t="shared" si="89"/>
        <v>0</v>
      </c>
      <c r="P1148" s="1">
        <v>0</v>
      </c>
      <c r="Q1148" s="1" t="s">
        <v>41</v>
      </c>
      <c r="R1148" s="1" t="s">
        <v>20</v>
      </c>
    </row>
    <row r="1149" spans="1:18" x14ac:dyDescent="0.35">
      <c r="A1149" s="1" t="s">
        <v>1180</v>
      </c>
      <c r="B1149" s="1" t="str">
        <f t="shared" si="85"/>
        <v>Unknown</v>
      </c>
      <c r="C1149" s="1"/>
      <c r="D1149" s="1" t="str">
        <f t="shared" si="86"/>
        <v>Yes</v>
      </c>
      <c r="E1149" s="1" t="s">
        <v>15</v>
      </c>
      <c r="F1149" s="1">
        <v>0</v>
      </c>
      <c r="G1149" s="1" t="s">
        <v>25</v>
      </c>
      <c r="H1149" s="1" t="str">
        <f t="shared" si="87"/>
        <v>Yes</v>
      </c>
      <c r="I1149" s="1" t="s">
        <v>24</v>
      </c>
      <c r="J1149" s="1">
        <v>4997</v>
      </c>
      <c r="K1149" s="1">
        <v>7384</v>
      </c>
      <c r="L1149" s="1">
        <v>661</v>
      </c>
      <c r="M1149" s="1">
        <f t="shared" si="88"/>
        <v>360</v>
      </c>
      <c r="N1149" s="1">
        <v>360</v>
      </c>
      <c r="O1149" s="1">
        <f t="shared" si="89"/>
        <v>0</v>
      </c>
      <c r="P1149" s="1"/>
      <c r="Q1149" s="1" t="s">
        <v>30</v>
      </c>
      <c r="R1149" s="1" t="s">
        <v>20</v>
      </c>
    </row>
    <row r="1150" spans="1:18" x14ac:dyDescent="0.35">
      <c r="A1150" s="1" t="s">
        <v>1181</v>
      </c>
      <c r="B1150" s="1" t="str">
        <f t="shared" si="85"/>
        <v>Male</v>
      </c>
      <c r="C1150" s="1" t="s">
        <v>52</v>
      </c>
      <c r="D1150" s="1" t="str">
        <f t="shared" si="86"/>
        <v>No</v>
      </c>
      <c r="E1150" s="1"/>
      <c r="F1150" s="1">
        <v>0</v>
      </c>
      <c r="G1150" s="1" t="s">
        <v>25</v>
      </c>
      <c r="H1150" s="1" t="str">
        <f t="shared" si="87"/>
        <v>Yes</v>
      </c>
      <c r="I1150" s="1" t="s">
        <v>29</v>
      </c>
      <c r="J1150" s="1">
        <v>9410</v>
      </c>
      <c r="K1150" s="1">
        <v>1326</v>
      </c>
      <c r="L1150" s="1">
        <v>647</v>
      </c>
      <c r="M1150" s="1">
        <f t="shared" si="88"/>
        <v>180</v>
      </c>
      <c r="N1150" s="1">
        <v>180</v>
      </c>
      <c r="O1150" s="1">
        <f t="shared" si="89"/>
        <v>1</v>
      </c>
      <c r="P1150" s="1">
        <v>1</v>
      </c>
      <c r="Q1150" s="1" t="s">
        <v>41</v>
      </c>
      <c r="R1150" s="1" t="s">
        <v>26</v>
      </c>
    </row>
    <row r="1151" spans="1:18" x14ac:dyDescent="0.35">
      <c r="A1151" s="1" t="s">
        <v>1182</v>
      </c>
      <c r="B1151" s="1" t="str">
        <f t="shared" si="85"/>
        <v>Male</v>
      </c>
      <c r="C1151" s="1" t="s">
        <v>33</v>
      </c>
      <c r="D1151" s="1" t="str">
        <f t="shared" si="86"/>
        <v>Yes</v>
      </c>
      <c r="E1151" s="1" t="s">
        <v>15</v>
      </c>
      <c r="F1151" s="1">
        <v>0</v>
      </c>
      <c r="G1151" s="1" t="s">
        <v>25</v>
      </c>
      <c r="H1151" s="1" t="str">
        <f t="shared" si="87"/>
        <v>No</v>
      </c>
      <c r="I1151" s="1" t="s">
        <v>18</v>
      </c>
      <c r="J1151" s="1">
        <v>10611</v>
      </c>
      <c r="K1151" s="1">
        <v>3249</v>
      </c>
      <c r="L1151" s="1">
        <v>676</v>
      </c>
      <c r="M1151" s="1">
        <f t="shared" si="88"/>
        <v>120</v>
      </c>
      <c r="N1151" s="1">
        <v>120</v>
      </c>
      <c r="O1151" s="1">
        <f t="shared" si="89"/>
        <v>1</v>
      </c>
      <c r="P1151" s="1">
        <v>1</v>
      </c>
      <c r="Q1151" s="1" t="s">
        <v>30</v>
      </c>
      <c r="R1151" s="1" t="s">
        <v>20</v>
      </c>
    </row>
    <row r="1152" spans="1:18" x14ac:dyDescent="0.35">
      <c r="A1152" s="1" t="s">
        <v>1183</v>
      </c>
      <c r="B1152" s="1" t="str">
        <f t="shared" si="85"/>
        <v>Male</v>
      </c>
      <c r="C1152" s="1" t="s">
        <v>33</v>
      </c>
      <c r="D1152" s="1" t="str">
        <f t="shared" si="86"/>
        <v>Yes</v>
      </c>
      <c r="E1152" s="1" t="s">
        <v>15</v>
      </c>
      <c r="F1152" s="1">
        <v>0</v>
      </c>
      <c r="G1152" s="1" t="s">
        <v>17</v>
      </c>
      <c r="H1152" s="1" t="str">
        <f t="shared" si="87"/>
        <v>No</v>
      </c>
      <c r="I1152" s="1" t="s">
        <v>18</v>
      </c>
      <c r="J1152" s="1">
        <v>12664</v>
      </c>
      <c r="K1152" s="1">
        <v>5890</v>
      </c>
      <c r="L1152" s="1">
        <v>135</v>
      </c>
      <c r="M1152" s="1">
        <f t="shared" si="88"/>
        <v>180</v>
      </c>
      <c r="N1152" s="1">
        <v>180</v>
      </c>
      <c r="O1152" s="1">
        <f t="shared" si="89"/>
        <v>0</v>
      </c>
      <c r="P1152" s="1">
        <v>0</v>
      </c>
      <c r="Q1152" s="1" t="s">
        <v>19</v>
      </c>
      <c r="R1152" s="1" t="s">
        <v>20</v>
      </c>
    </row>
    <row r="1153" spans="1:18" x14ac:dyDescent="0.35">
      <c r="A1153" s="1" t="s">
        <v>1184</v>
      </c>
      <c r="B1153" s="1" t="str">
        <f t="shared" si="85"/>
        <v>Male</v>
      </c>
      <c r="C1153" s="1" t="s">
        <v>14</v>
      </c>
      <c r="D1153" s="1" t="str">
        <f t="shared" si="86"/>
        <v>No</v>
      </c>
      <c r="E1153" s="1"/>
      <c r="F1153" s="1">
        <v>0</v>
      </c>
      <c r="G1153" s="1" t="s">
        <v>25</v>
      </c>
      <c r="H1153" s="1" t="str">
        <f t="shared" si="87"/>
        <v>No</v>
      </c>
      <c r="I1153" s="1"/>
      <c r="J1153" s="1">
        <v>19813</v>
      </c>
      <c r="K1153" s="1">
        <v>2097</v>
      </c>
      <c r="L1153" s="1">
        <v>476</v>
      </c>
      <c r="M1153" s="1">
        <f t="shared" si="88"/>
        <v>360</v>
      </c>
      <c r="N1153" s="1">
        <v>360</v>
      </c>
      <c r="O1153" s="1">
        <f t="shared" si="89"/>
        <v>0</v>
      </c>
      <c r="P1153" s="1"/>
      <c r="Q1153" s="1" t="s">
        <v>19</v>
      </c>
      <c r="R1153" s="1" t="s">
        <v>20</v>
      </c>
    </row>
    <row r="1154" spans="1:18" x14ac:dyDescent="0.35">
      <c r="A1154" s="1" t="s">
        <v>1185</v>
      </c>
      <c r="B1154" s="1" t="str">
        <f t="shared" ref="B1154:B1201" si="90">IF(ISBLANK(C1154),"Unknown", IF(LOWER(TRIM(C1154))="male","Male","Female"))</f>
        <v>Unknown</v>
      </c>
      <c r="C1154" s="1"/>
      <c r="D1154" s="1" t="str">
        <f t="shared" ref="D1154:D1201" si="91">IF(ISBLANK(E1154),"No",PROPER(TRIM(E1154)))</f>
        <v>Yes</v>
      </c>
      <c r="E1154" s="1" t="s">
        <v>24</v>
      </c>
      <c r="F1154" s="1">
        <v>1</v>
      </c>
      <c r="G1154" s="1" t="s">
        <v>25</v>
      </c>
      <c r="H1154" s="1" t="str">
        <f t="shared" ref="H1154:H1201" si="92">IF(ISBLANK(I1154),"No",PROPER(TRIM(I1154)))</f>
        <v>No</v>
      </c>
      <c r="I1154" s="1"/>
      <c r="J1154" s="1">
        <v>12740</v>
      </c>
      <c r="K1154" s="1">
        <v>3471</v>
      </c>
      <c r="L1154" s="1">
        <v>214</v>
      </c>
      <c r="M1154" s="1">
        <f t="shared" ref="M1154:M1201" si="93">IF(ISBLANK(N1154),360,N1154)</f>
        <v>360</v>
      </c>
      <c r="N1154" s="1"/>
      <c r="O1154" s="1">
        <f t="shared" ref="O1154:O1201" si="94">IF(ISBLANK(P1154),0,P1154)</f>
        <v>0</v>
      </c>
      <c r="P1154" s="1">
        <v>0</v>
      </c>
      <c r="Q1154" s="1" t="s">
        <v>30</v>
      </c>
      <c r="R1154" s="1" t="s">
        <v>26</v>
      </c>
    </row>
    <row r="1155" spans="1:18" x14ac:dyDescent="0.35">
      <c r="A1155" s="1" t="s">
        <v>1186</v>
      </c>
      <c r="B1155" s="1" t="str">
        <f t="shared" si="90"/>
        <v>Female</v>
      </c>
      <c r="C1155" s="1" t="s">
        <v>28</v>
      </c>
      <c r="D1155" s="1" t="str">
        <f t="shared" si="91"/>
        <v>Yes</v>
      </c>
      <c r="E1155" s="1" t="s">
        <v>29</v>
      </c>
      <c r="F1155" s="1">
        <v>1</v>
      </c>
      <c r="G1155" s="1" t="s">
        <v>17</v>
      </c>
      <c r="H1155" s="1" t="str">
        <f t="shared" si="92"/>
        <v>No</v>
      </c>
      <c r="I1155" s="1"/>
      <c r="J1155" s="1">
        <v>10733</v>
      </c>
      <c r="K1155" s="1">
        <v>7258</v>
      </c>
      <c r="L1155" s="1">
        <v>517</v>
      </c>
      <c r="M1155" s="1">
        <f t="shared" si="93"/>
        <v>120</v>
      </c>
      <c r="N1155" s="1">
        <v>120</v>
      </c>
      <c r="O1155" s="1">
        <f t="shared" si="94"/>
        <v>1</v>
      </c>
      <c r="P1155" s="1">
        <v>1</v>
      </c>
      <c r="Q1155" s="1" t="s">
        <v>19</v>
      </c>
      <c r="R1155" s="1" t="s">
        <v>20</v>
      </c>
    </row>
    <row r="1156" spans="1:18" x14ac:dyDescent="0.35">
      <c r="A1156" s="1" t="s">
        <v>1187</v>
      </c>
      <c r="B1156" s="1" t="str">
        <f t="shared" si="90"/>
        <v>Male</v>
      </c>
      <c r="C1156" s="1" t="s">
        <v>14</v>
      </c>
      <c r="D1156" s="1" t="str">
        <f t="shared" si="91"/>
        <v>No</v>
      </c>
      <c r="E1156" s="1"/>
      <c r="F1156" s="1">
        <v>1</v>
      </c>
      <c r="G1156" s="1" t="s">
        <v>17</v>
      </c>
      <c r="H1156" s="1" t="str">
        <f t="shared" si="92"/>
        <v>No</v>
      </c>
      <c r="I1156" s="1" t="s">
        <v>22</v>
      </c>
      <c r="J1156" s="1">
        <v>5139</v>
      </c>
      <c r="K1156" s="1">
        <v>4252</v>
      </c>
      <c r="L1156" s="1">
        <v>152</v>
      </c>
      <c r="M1156" s="1">
        <f t="shared" si="93"/>
        <v>360</v>
      </c>
      <c r="N1156" s="1">
        <v>360</v>
      </c>
      <c r="O1156" s="1">
        <f t="shared" si="94"/>
        <v>0</v>
      </c>
      <c r="P1156" s="1"/>
      <c r="Q1156" s="1" t="s">
        <v>41</v>
      </c>
      <c r="R1156" s="1" t="s">
        <v>20</v>
      </c>
    </row>
    <row r="1157" spans="1:18" x14ac:dyDescent="0.35">
      <c r="A1157" s="1" t="s">
        <v>1188</v>
      </c>
      <c r="B1157" s="1" t="str">
        <f t="shared" si="90"/>
        <v>Male</v>
      </c>
      <c r="C1157" s="1" t="s">
        <v>14</v>
      </c>
      <c r="D1157" s="1" t="str">
        <f t="shared" si="91"/>
        <v>Yes</v>
      </c>
      <c r="E1157" s="1" t="s">
        <v>15</v>
      </c>
      <c r="F1157" s="1" t="s">
        <v>16</v>
      </c>
      <c r="G1157" s="1" t="s">
        <v>17</v>
      </c>
      <c r="H1157" s="1" t="str">
        <f t="shared" si="92"/>
        <v>No</v>
      </c>
      <c r="I1157" s="1" t="s">
        <v>18</v>
      </c>
      <c r="J1157" s="1">
        <v>1560</v>
      </c>
      <c r="K1157" s="1">
        <v>1215</v>
      </c>
      <c r="L1157" s="1">
        <v>339</v>
      </c>
      <c r="M1157" s="1">
        <f t="shared" si="93"/>
        <v>120</v>
      </c>
      <c r="N1157" s="1">
        <v>120</v>
      </c>
      <c r="O1157" s="1">
        <f t="shared" si="94"/>
        <v>0</v>
      </c>
      <c r="P1157" s="1"/>
      <c r="Q1157" s="1" t="s">
        <v>19</v>
      </c>
      <c r="R1157" s="1" t="s">
        <v>26</v>
      </c>
    </row>
    <row r="1158" spans="1:18" x14ac:dyDescent="0.35">
      <c r="A1158" s="1" t="s">
        <v>1189</v>
      </c>
      <c r="B1158" s="1" t="str">
        <f t="shared" si="90"/>
        <v>Male</v>
      </c>
      <c r="C1158" s="1" t="s">
        <v>52</v>
      </c>
      <c r="D1158" s="1" t="str">
        <f t="shared" si="91"/>
        <v>No</v>
      </c>
      <c r="E1158" s="1"/>
      <c r="F1158" s="1">
        <v>2</v>
      </c>
      <c r="G1158" s="1" t="s">
        <v>17</v>
      </c>
      <c r="H1158" s="1" t="str">
        <f t="shared" si="92"/>
        <v>Yes</v>
      </c>
      <c r="I1158" s="1" t="s">
        <v>15</v>
      </c>
      <c r="J1158" s="1">
        <v>10659</v>
      </c>
      <c r="K1158" s="1">
        <v>3036</v>
      </c>
      <c r="L1158" s="1">
        <v>453</v>
      </c>
      <c r="M1158" s="1">
        <f t="shared" si="93"/>
        <v>360</v>
      </c>
      <c r="N1158" s="1">
        <v>360</v>
      </c>
      <c r="O1158" s="1">
        <f t="shared" si="94"/>
        <v>1</v>
      </c>
      <c r="P1158" s="1">
        <v>1</v>
      </c>
      <c r="Q1158" s="1" t="s">
        <v>41</v>
      </c>
      <c r="R1158" s="1" t="s">
        <v>26</v>
      </c>
    </row>
    <row r="1159" spans="1:18" x14ac:dyDescent="0.35">
      <c r="A1159" s="1" t="s">
        <v>1190</v>
      </c>
      <c r="B1159" s="1" t="str">
        <f t="shared" si="90"/>
        <v>Unknown</v>
      </c>
      <c r="C1159" s="1"/>
      <c r="D1159" s="1" t="str">
        <f t="shared" si="91"/>
        <v>No</v>
      </c>
      <c r="E1159" s="1" t="s">
        <v>18</v>
      </c>
      <c r="F1159" s="1">
        <v>2</v>
      </c>
      <c r="G1159" s="1" t="s">
        <v>17</v>
      </c>
      <c r="H1159" s="1" t="str">
        <f t="shared" si="92"/>
        <v>No</v>
      </c>
      <c r="I1159" s="1" t="s">
        <v>22</v>
      </c>
      <c r="J1159" s="1">
        <v>8768</v>
      </c>
      <c r="K1159" s="1">
        <v>8156</v>
      </c>
      <c r="L1159" s="1">
        <v>287</v>
      </c>
      <c r="M1159" s="1">
        <f t="shared" si="93"/>
        <v>120</v>
      </c>
      <c r="N1159" s="1">
        <v>120</v>
      </c>
      <c r="O1159" s="1">
        <f t="shared" si="94"/>
        <v>1</v>
      </c>
      <c r="P1159" s="1">
        <v>1</v>
      </c>
      <c r="Q1159" s="1" t="s">
        <v>19</v>
      </c>
      <c r="R1159" s="1" t="s">
        <v>20</v>
      </c>
    </row>
    <row r="1160" spans="1:18" x14ac:dyDescent="0.35">
      <c r="A1160" s="1" t="s">
        <v>1191</v>
      </c>
      <c r="B1160" s="1" t="str">
        <f t="shared" si="90"/>
        <v>Unknown</v>
      </c>
      <c r="C1160" s="1"/>
      <c r="D1160" s="1" t="str">
        <f t="shared" si="91"/>
        <v>No</v>
      </c>
      <c r="E1160" s="1" t="s">
        <v>36</v>
      </c>
      <c r="F1160" s="1">
        <v>0</v>
      </c>
      <c r="G1160" s="1" t="s">
        <v>17</v>
      </c>
      <c r="H1160" s="1" t="str">
        <f t="shared" si="92"/>
        <v>No</v>
      </c>
      <c r="I1160" s="1" t="s">
        <v>22</v>
      </c>
      <c r="J1160" s="1">
        <v>19348</v>
      </c>
      <c r="K1160" s="1">
        <v>6889</v>
      </c>
      <c r="L1160" s="1">
        <v>583</v>
      </c>
      <c r="M1160" s="1">
        <f t="shared" si="93"/>
        <v>360</v>
      </c>
      <c r="N1160" s="1"/>
      <c r="O1160" s="1">
        <f t="shared" si="94"/>
        <v>0</v>
      </c>
      <c r="P1160" s="1">
        <v>0</v>
      </c>
      <c r="Q1160" s="1" t="s">
        <v>41</v>
      </c>
      <c r="R1160" s="1" t="s">
        <v>26</v>
      </c>
    </row>
    <row r="1161" spans="1:18" x14ac:dyDescent="0.35">
      <c r="A1161" s="1" t="s">
        <v>1192</v>
      </c>
      <c r="B1161" s="1" t="str">
        <f t="shared" si="90"/>
        <v>Female</v>
      </c>
      <c r="C1161" s="1" t="s">
        <v>43</v>
      </c>
      <c r="D1161" s="1" t="str">
        <f t="shared" si="91"/>
        <v>No</v>
      </c>
      <c r="E1161" s="1"/>
      <c r="F1161" s="1">
        <v>1</v>
      </c>
      <c r="G1161" s="1" t="s">
        <v>25</v>
      </c>
      <c r="H1161" s="1" t="str">
        <f t="shared" si="92"/>
        <v>Yes</v>
      </c>
      <c r="I1161" s="1" t="s">
        <v>24</v>
      </c>
      <c r="J1161" s="1">
        <v>4315</v>
      </c>
      <c r="K1161" s="1">
        <v>5306</v>
      </c>
      <c r="L1161" s="1">
        <v>158</v>
      </c>
      <c r="M1161" s="1">
        <f t="shared" si="93"/>
        <v>360</v>
      </c>
      <c r="N1161" s="1"/>
      <c r="O1161" s="1">
        <f t="shared" si="94"/>
        <v>0</v>
      </c>
      <c r="P1161" s="1"/>
      <c r="Q1161" s="1" t="s">
        <v>19</v>
      </c>
      <c r="R1161" s="1" t="s">
        <v>26</v>
      </c>
    </row>
    <row r="1162" spans="1:18" x14ac:dyDescent="0.35">
      <c r="A1162" s="1" t="s">
        <v>1193</v>
      </c>
      <c r="B1162" s="1" t="str">
        <f t="shared" si="90"/>
        <v>Unknown</v>
      </c>
      <c r="C1162" s="1"/>
      <c r="D1162" s="1" t="str">
        <f t="shared" si="91"/>
        <v>No</v>
      </c>
      <c r="E1162" s="1"/>
      <c r="F1162" s="1" t="s">
        <v>16</v>
      </c>
      <c r="G1162" s="1" t="s">
        <v>25</v>
      </c>
      <c r="H1162" s="1" t="str">
        <f t="shared" si="92"/>
        <v>Yes</v>
      </c>
      <c r="I1162" s="1" t="s">
        <v>15</v>
      </c>
      <c r="J1162" s="1">
        <v>15163</v>
      </c>
      <c r="K1162" s="1">
        <v>9405</v>
      </c>
      <c r="L1162" s="1">
        <v>306</v>
      </c>
      <c r="M1162" s="1">
        <f t="shared" si="93"/>
        <v>360</v>
      </c>
      <c r="N1162" s="1"/>
      <c r="O1162" s="1">
        <f t="shared" si="94"/>
        <v>1</v>
      </c>
      <c r="P1162" s="1">
        <v>1</v>
      </c>
      <c r="Q1162" s="1" t="s">
        <v>41</v>
      </c>
      <c r="R1162" s="1" t="s">
        <v>26</v>
      </c>
    </row>
    <row r="1163" spans="1:18" x14ac:dyDescent="0.35">
      <c r="A1163" s="1" t="s">
        <v>1194</v>
      </c>
      <c r="B1163" s="1" t="str">
        <f t="shared" si="90"/>
        <v>Unknown</v>
      </c>
      <c r="C1163" s="1"/>
      <c r="D1163" s="1" t="str">
        <f t="shared" si="91"/>
        <v>No</v>
      </c>
      <c r="E1163" s="1"/>
      <c r="F1163" s="1" t="s">
        <v>16</v>
      </c>
      <c r="G1163" s="1" t="s">
        <v>25</v>
      </c>
      <c r="H1163" s="1" t="str">
        <f t="shared" si="92"/>
        <v>Yes</v>
      </c>
      <c r="I1163" s="1" t="s">
        <v>15</v>
      </c>
      <c r="J1163" s="1">
        <v>19349</v>
      </c>
      <c r="K1163" s="1">
        <v>6848</v>
      </c>
      <c r="L1163" s="1">
        <v>330</v>
      </c>
      <c r="M1163" s="1">
        <f t="shared" si="93"/>
        <v>360</v>
      </c>
      <c r="N1163" s="1">
        <v>360</v>
      </c>
      <c r="O1163" s="1">
        <f t="shared" si="94"/>
        <v>0</v>
      </c>
      <c r="P1163" s="1">
        <v>0</v>
      </c>
      <c r="Q1163" s="1" t="s">
        <v>30</v>
      </c>
      <c r="R1163" s="1" t="s">
        <v>26</v>
      </c>
    </row>
    <row r="1164" spans="1:18" x14ac:dyDescent="0.35">
      <c r="A1164" s="1" t="s">
        <v>1195</v>
      </c>
      <c r="B1164" s="1" t="str">
        <f t="shared" si="90"/>
        <v>Male</v>
      </c>
      <c r="C1164" s="1" t="s">
        <v>14</v>
      </c>
      <c r="D1164" s="1" t="str">
        <f t="shared" si="91"/>
        <v>No</v>
      </c>
      <c r="E1164" s="1"/>
      <c r="F1164" s="1">
        <v>2</v>
      </c>
      <c r="G1164" s="1" t="s">
        <v>17</v>
      </c>
      <c r="H1164" s="1" t="str">
        <f t="shared" si="92"/>
        <v>No</v>
      </c>
      <c r="I1164" s="1" t="s">
        <v>36</v>
      </c>
      <c r="J1164" s="1">
        <v>5232</v>
      </c>
      <c r="K1164" s="1">
        <v>5718</v>
      </c>
      <c r="L1164" s="1">
        <v>505</v>
      </c>
      <c r="M1164" s="1">
        <f t="shared" si="93"/>
        <v>360</v>
      </c>
      <c r="N1164" s="1">
        <v>360</v>
      </c>
      <c r="O1164" s="1">
        <f t="shared" si="94"/>
        <v>0</v>
      </c>
      <c r="P1164" s="1">
        <v>0</v>
      </c>
      <c r="Q1164" s="1" t="s">
        <v>41</v>
      </c>
      <c r="R1164" s="1" t="s">
        <v>20</v>
      </c>
    </row>
    <row r="1165" spans="1:18" x14ac:dyDescent="0.35">
      <c r="A1165" s="1" t="s">
        <v>1196</v>
      </c>
      <c r="B1165" s="1" t="str">
        <f t="shared" si="90"/>
        <v>Unknown</v>
      </c>
      <c r="C1165" s="1"/>
      <c r="D1165" s="1" t="str">
        <f t="shared" si="91"/>
        <v>No</v>
      </c>
      <c r="E1165" s="1" t="s">
        <v>22</v>
      </c>
      <c r="F1165" s="1" t="s">
        <v>16</v>
      </c>
      <c r="G1165" s="1" t="s">
        <v>17</v>
      </c>
      <c r="H1165" s="1" t="str">
        <f t="shared" si="92"/>
        <v>No</v>
      </c>
      <c r="I1165" s="1" t="s">
        <v>36</v>
      </c>
      <c r="J1165" s="1">
        <v>13485</v>
      </c>
      <c r="K1165" s="1">
        <v>1395</v>
      </c>
      <c r="L1165" s="1">
        <v>571</v>
      </c>
      <c r="M1165" s="1">
        <f t="shared" si="93"/>
        <v>180</v>
      </c>
      <c r="N1165" s="1">
        <v>180</v>
      </c>
      <c r="O1165" s="1">
        <f t="shared" si="94"/>
        <v>0</v>
      </c>
      <c r="P1165" s="1">
        <v>0</v>
      </c>
      <c r="Q1165" s="1" t="s">
        <v>19</v>
      </c>
      <c r="R1165" s="1" t="s">
        <v>26</v>
      </c>
    </row>
    <row r="1166" spans="1:18" x14ac:dyDescent="0.35">
      <c r="A1166" s="1" t="s">
        <v>1197</v>
      </c>
      <c r="B1166" s="1" t="str">
        <f t="shared" si="90"/>
        <v>Female</v>
      </c>
      <c r="C1166" s="1" t="s">
        <v>61</v>
      </c>
      <c r="D1166" s="1" t="str">
        <f t="shared" si="91"/>
        <v>No</v>
      </c>
      <c r="E1166" s="1"/>
      <c r="F1166" s="1">
        <v>2</v>
      </c>
      <c r="G1166" s="1" t="s">
        <v>17</v>
      </c>
      <c r="H1166" s="1" t="str">
        <f t="shared" si="92"/>
        <v>No</v>
      </c>
      <c r="I1166" s="1"/>
      <c r="J1166" s="1">
        <v>12156</v>
      </c>
      <c r="K1166" s="1">
        <v>4474</v>
      </c>
      <c r="L1166" s="1">
        <v>349</v>
      </c>
      <c r="M1166" s="1">
        <f t="shared" si="93"/>
        <v>360</v>
      </c>
      <c r="N1166" s="1">
        <v>360</v>
      </c>
      <c r="O1166" s="1">
        <f t="shared" si="94"/>
        <v>1</v>
      </c>
      <c r="P1166" s="1">
        <v>1</v>
      </c>
      <c r="Q1166" s="1" t="s">
        <v>30</v>
      </c>
      <c r="R1166" s="1" t="s">
        <v>20</v>
      </c>
    </row>
    <row r="1167" spans="1:18" x14ac:dyDescent="0.35">
      <c r="A1167" s="1" t="s">
        <v>1198</v>
      </c>
      <c r="B1167" s="1" t="str">
        <f t="shared" si="90"/>
        <v>Male</v>
      </c>
      <c r="C1167" s="1" t="s">
        <v>33</v>
      </c>
      <c r="D1167" s="1" t="str">
        <f t="shared" si="91"/>
        <v>No</v>
      </c>
      <c r="E1167" s="1" t="s">
        <v>18</v>
      </c>
      <c r="F1167" s="1">
        <v>2</v>
      </c>
      <c r="G1167" s="1" t="s">
        <v>17</v>
      </c>
      <c r="H1167" s="1" t="str">
        <f t="shared" si="92"/>
        <v>No</v>
      </c>
      <c r="I1167" s="1" t="s">
        <v>22</v>
      </c>
      <c r="J1167" s="1">
        <v>18037</v>
      </c>
      <c r="K1167" s="1">
        <v>8960</v>
      </c>
      <c r="L1167" s="1">
        <v>127</v>
      </c>
      <c r="M1167" s="1">
        <f t="shared" si="93"/>
        <v>360</v>
      </c>
      <c r="N1167" s="1">
        <v>360</v>
      </c>
      <c r="O1167" s="1">
        <f t="shared" si="94"/>
        <v>0</v>
      </c>
      <c r="P1167" s="1">
        <v>0</v>
      </c>
      <c r="Q1167" s="1" t="s">
        <v>19</v>
      </c>
      <c r="R1167" s="1" t="s">
        <v>20</v>
      </c>
    </row>
    <row r="1168" spans="1:18" x14ac:dyDescent="0.35">
      <c r="A1168" s="1" t="s">
        <v>1199</v>
      </c>
      <c r="B1168" s="1" t="str">
        <f t="shared" si="90"/>
        <v>Male</v>
      </c>
      <c r="C1168" s="1" t="s">
        <v>14</v>
      </c>
      <c r="D1168" s="1" t="str">
        <f t="shared" si="91"/>
        <v>No</v>
      </c>
      <c r="E1168" s="1" t="s">
        <v>18</v>
      </c>
      <c r="F1168" s="1">
        <v>2</v>
      </c>
      <c r="G1168" s="1" t="s">
        <v>17</v>
      </c>
      <c r="H1168" s="1" t="str">
        <f t="shared" si="92"/>
        <v>No</v>
      </c>
      <c r="I1168" s="1"/>
      <c r="J1168" s="1">
        <v>17396</v>
      </c>
      <c r="K1168" s="1">
        <v>7301</v>
      </c>
      <c r="L1168" s="1">
        <v>186</v>
      </c>
      <c r="M1168" s="1">
        <f t="shared" si="93"/>
        <v>360</v>
      </c>
      <c r="N1168" s="1">
        <v>360</v>
      </c>
      <c r="O1168" s="1">
        <f t="shared" si="94"/>
        <v>0</v>
      </c>
      <c r="P1168" s="1">
        <v>0</v>
      </c>
      <c r="Q1168" s="1" t="s">
        <v>41</v>
      </c>
      <c r="R1168" s="1" t="s">
        <v>20</v>
      </c>
    </row>
    <row r="1169" spans="1:18" x14ac:dyDescent="0.35">
      <c r="A1169" s="1" t="s">
        <v>1200</v>
      </c>
      <c r="B1169" s="1" t="str">
        <f t="shared" si="90"/>
        <v>Male</v>
      </c>
      <c r="C1169" s="1" t="s">
        <v>14</v>
      </c>
      <c r="D1169" s="1" t="str">
        <f t="shared" si="91"/>
        <v>No</v>
      </c>
      <c r="E1169" s="1" t="s">
        <v>22</v>
      </c>
      <c r="F1169" s="1">
        <v>2</v>
      </c>
      <c r="G1169" s="1" t="s">
        <v>17</v>
      </c>
      <c r="H1169" s="1" t="str">
        <f t="shared" si="92"/>
        <v>Yes</v>
      </c>
      <c r="I1169" s="1" t="s">
        <v>15</v>
      </c>
      <c r="J1169" s="1">
        <v>18979</v>
      </c>
      <c r="K1169" s="1">
        <v>9090</v>
      </c>
      <c r="L1169" s="1">
        <v>465</v>
      </c>
      <c r="M1169" s="1">
        <f t="shared" si="93"/>
        <v>360</v>
      </c>
      <c r="N1169" s="1"/>
      <c r="O1169" s="1">
        <f t="shared" si="94"/>
        <v>1</v>
      </c>
      <c r="P1169" s="1">
        <v>1</v>
      </c>
      <c r="Q1169" s="1" t="s">
        <v>19</v>
      </c>
      <c r="R1169" s="1" t="s">
        <v>26</v>
      </c>
    </row>
    <row r="1170" spans="1:18" x14ac:dyDescent="0.35">
      <c r="A1170" s="1" t="s">
        <v>1201</v>
      </c>
      <c r="B1170" s="1" t="str">
        <f t="shared" si="90"/>
        <v>Male</v>
      </c>
      <c r="C1170" s="1" t="s">
        <v>33</v>
      </c>
      <c r="D1170" s="1" t="str">
        <f t="shared" si="91"/>
        <v>No</v>
      </c>
      <c r="E1170" s="1" t="s">
        <v>36</v>
      </c>
      <c r="F1170" s="1">
        <v>1</v>
      </c>
      <c r="G1170" s="1" t="s">
        <v>25</v>
      </c>
      <c r="H1170" s="1" t="str">
        <f t="shared" si="92"/>
        <v>No</v>
      </c>
      <c r="I1170" s="1" t="s">
        <v>18</v>
      </c>
      <c r="J1170" s="1">
        <v>10862</v>
      </c>
      <c r="K1170" s="1">
        <v>267</v>
      </c>
      <c r="L1170" s="1">
        <v>599</v>
      </c>
      <c r="M1170" s="1">
        <f t="shared" si="93"/>
        <v>360</v>
      </c>
      <c r="N1170" s="1"/>
      <c r="O1170" s="1">
        <f t="shared" si="94"/>
        <v>1</v>
      </c>
      <c r="P1170" s="1">
        <v>1</v>
      </c>
      <c r="Q1170" s="1" t="s">
        <v>30</v>
      </c>
      <c r="R1170" s="1" t="s">
        <v>26</v>
      </c>
    </row>
    <row r="1171" spans="1:18" x14ac:dyDescent="0.35">
      <c r="A1171" s="1" t="s">
        <v>1202</v>
      </c>
      <c r="B1171" s="1" t="str">
        <f t="shared" si="90"/>
        <v>Unknown</v>
      </c>
      <c r="C1171" s="1"/>
      <c r="D1171" s="1" t="str">
        <f t="shared" si="91"/>
        <v>Yes</v>
      </c>
      <c r="E1171" s="1" t="s">
        <v>15</v>
      </c>
      <c r="F1171" s="1">
        <v>1</v>
      </c>
      <c r="G1171" s="1" t="s">
        <v>25</v>
      </c>
      <c r="H1171" s="1" t="str">
        <f t="shared" si="92"/>
        <v>Yes</v>
      </c>
      <c r="I1171" s="1" t="s">
        <v>15</v>
      </c>
      <c r="J1171" s="1">
        <v>17980</v>
      </c>
      <c r="K1171" s="1">
        <v>8958</v>
      </c>
      <c r="L1171" s="1">
        <v>77</v>
      </c>
      <c r="M1171" s="1">
        <f t="shared" si="93"/>
        <v>360</v>
      </c>
      <c r="N1171" s="1"/>
      <c r="O1171" s="1">
        <f t="shared" si="94"/>
        <v>0</v>
      </c>
      <c r="P1171" s="1">
        <v>0</v>
      </c>
      <c r="Q1171" s="1" t="s">
        <v>41</v>
      </c>
      <c r="R1171" s="1" t="s">
        <v>26</v>
      </c>
    </row>
    <row r="1172" spans="1:18" x14ac:dyDescent="0.35">
      <c r="A1172" s="1" t="s">
        <v>1203</v>
      </c>
      <c r="B1172" s="1" t="str">
        <f t="shared" si="90"/>
        <v>Unknown</v>
      </c>
      <c r="C1172" s="1"/>
      <c r="D1172" s="1" t="str">
        <f t="shared" si="91"/>
        <v>No</v>
      </c>
      <c r="E1172" s="1" t="s">
        <v>22</v>
      </c>
      <c r="F1172" s="1">
        <v>1</v>
      </c>
      <c r="G1172" s="1" t="s">
        <v>17</v>
      </c>
      <c r="H1172" s="1" t="str">
        <f t="shared" si="92"/>
        <v>Yes</v>
      </c>
      <c r="I1172" s="1" t="s">
        <v>15</v>
      </c>
      <c r="J1172" s="1">
        <v>11978</v>
      </c>
      <c r="K1172" s="1">
        <v>8241</v>
      </c>
      <c r="L1172" s="1">
        <v>241</v>
      </c>
      <c r="M1172" s="1">
        <f t="shared" si="93"/>
        <v>180</v>
      </c>
      <c r="N1172" s="1">
        <v>180</v>
      </c>
      <c r="O1172" s="1">
        <f t="shared" si="94"/>
        <v>0</v>
      </c>
      <c r="P1172" s="1"/>
      <c r="Q1172" s="1" t="s">
        <v>41</v>
      </c>
      <c r="R1172" s="1" t="s">
        <v>20</v>
      </c>
    </row>
    <row r="1173" spans="1:18" x14ac:dyDescent="0.35">
      <c r="A1173" s="1" t="s">
        <v>1204</v>
      </c>
      <c r="B1173" s="1" t="str">
        <f t="shared" si="90"/>
        <v>Male</v>
      </c>
      <c r="C1173" s="1" t="s">
        <v>14</v>
      </c>
      <c r="D1173" s="1" t="str">
        <f t="shared" si="91"/>
        <v>No</v>
      </c>
      <c r="E1173" s="1"/>
      <c r="F1173" s="1">
        <v>2</v>
      </c>
      <c r="G1173" s="1" t="s">
        <v>17</v>
      </c>
      <c r="H1173" s="1" t="str">
        <f t="shared" si="92"/>
        <v>No</v>
      </c>
      <c r="I1173" s="1" t="s">
        <v>18</v>
      </c>
      <c r="J1173" s="1">
        <v>19081</v>
      </c>
      <c r="K1173" s="1">
        <v>5326</v>
      </c>
      <c r="L1173" s="1">
        <v>504</v>
      </c>
      <c r="M1173" s="1">
        <f t="shared" si="93"/>
        <v>360</v>
      </c>
      <c r="N1173" s="1"/>
      <c r="O1173" s="1">
        <f t="shared" si="94"/>
        <v>0</v>
      </c>
      <c r="P1173" s="1"/>
      <c r="Q1173" s="1" t="s">
        <v>30</v>
      </c>
      <c r="R1173" s="1" t="s">
        <v>20</v>
      </c>
    </row>
    <row r="1174" spans="1:18" x14ac:dyDescent="0.35">
      <c r="A1174" s="1" t="s">
        <v>1205</v>
      </c>
      <c r="B1174" s="1" t="str">
        <f t="shared" si="90"/>
        <v>Unknown</v>
      </c>
      <c r="C1174" s="1"/>
      <c r="D1174" s="1" t="str">
        <f t="shared" si="91"/>
        <v>Yes</v>
      </c>
      <c r="E1174" s="1" t="s">
        <v>29</v>
      </c>
      <c r="F1174" s="1">
        <v>0</v>
      </c>
      <c r="G1174" s="1" t="s">
        <v>17</v>
      </c>
      <c r="H1174" s="1" t="str">
        <f t="shared" si="92"/>
        <v>No</v>
      </c>
      <c r="I1174" s="1" t="s">
        <v>22</v>
      </c>
      <c r="J1174" s="1">
        <v>6750</v>
      </c>
      <c r="K1174" s="1">
        <v>9824</v>
      </c>
      <c r="L1174" s="1">
        <v>598</v>
      </c>
      <c r="M1174" s="1">
        <f t="shared" si="93"/>
        <v>360</v>
      </c>
      <c r="N1174" s="1">
        <v>360</v>
      </c>
      <c r="O1174" s="1">
        <f t="shared" si="94"/>
        <v>0</v>
      </c>
      <c r="P1174" s="1"/>
      <c r="Q1174" s="1" t="s">
        <v>19</v>
      </c>
      <c r="R1174" s="1" t="s">
        <v>26</v>
      </c>
    </row>
    <row r="1175" spans="1:18" x14ac:dyDescent="0.35">
      <c r="A1175" s="1" t="s">
        <v>1206</v>
      </c>
      <c r="B1175" s="1" t="str">
        <f t="shared" si="90"/>
        <v>Male</v>
      </c>
      <c r="C1175" s="1" t="s">
        <v>14</v>
      </c>
      <c r="D1175" s="1" t="str">
        <f t="shared" si="91"/>
        <v>No</v>
      </c>
      <c r="E1175" s="1"/>
      <c r="F1175" s="1">
        <v>0</v>
      </c>
      <c r="G1175" s="1" t="s">
        <v>17</v>
      </c>
      <c r="H1175" s="1" t="str">
        <f t="shared" si="92"/>
        <v>No</v>
      </c>
      <c r="I1175" s="1" t="s">
        <v>22</v>
      </c>
      <c r="J1175" s="1">
        <v>7543</v>
      </c>
      <c r="K1175" s="1">
        <v>1235</v>
      </c>
      <c r="L1175" s="1">
        <v>224</v>
      </c>
      <c r="M1175" s="1">
        <f t="shared" si="93"/>
        <v>360</v>
      </c>
      <c r="N1175" s="1">
        <v>360</v>
      </c>
      <c r="O1175" s="1">
        <f t="shared" si="94"/>
        <v>0</v>
      </c>
      <c r="P1175" s="1"/>
      <c r="Q1175" s="1" t="s">
        <v>41</v>
      </c>
      <c r="R1175" s="1" t="s">
        <v>20</v>
      </c>
    </row>
    <row r="1176" spans="1:18" x14ac:dyDescent="0.35">
      <c r="A1176" s="1" t="s">
        <v>1207</v>
      </c>
      <c r="B1176" s="1" t="str">
        <f t="shared" si="90"/>
        <v>Male</v>
      </c>
      <c r="C1176" s="1" t="s">
        <v>33</v>
      </c>
      <c r="D1176" s="1" t="str">
        <f t="shared" si="91"/>
        <v>No</v>
      </c>
      <c r="E1176" s="1"/>
      <c r="F1176" s="1">
        <v>0</v>
      </c>
      <c r="G1176" s="1" t="s">
        <v>25</v>
      </c>
      <c r="H1176" s="1" t="str">
        <f t="shared" si="92"/>
        <v>Yes</v>
      </c>
      <c r="I1176" s="1" t="s">
        <v>15</v>
      </c>
      <c r="J1176" s="1">
        <v>7666</v>
      </c>
      <c r="K1176" s="1">
        <v>2674</v>
      </c>
      <c r="L1176" s="1">
        <v>59</v>
      </c>
      <c r="M1176" s="1">
        <f t="shared" si="93"/>
        <v>180</v>
      </c>
      <c r="N1176" s="1">
        <v>180</v>
      </c>
      <c r="O1176" s="1">
        <f t="shared" si="94"/>
        <v>0</v>
      </c>
      <c r="P1176" s="1"/>
      <c r="Q1176" s="1" t="s">
        <v>41</v>
      </c>
      <c r="R1176" s="1" t="s">
        <v>20</v>
      </c>
    </row>
    <row r="1177" spans="1:18" x14ac:dyDescent="0.35">
      <c r="A1177" s="1" t="s">
        <v>1208</v>
      </c>
      <c r="B1177" s="1" t="str">
        <f t="shared" si="90"/>
        <v>Unknown</v>
      </c>
      <c r="C1177" s="1"/>
      <c r="D1177" s="1" t="str">
        <f t="shared" si="91"/>
        <v>No</v>
      </c>
      <c r="E1177" s="1" t="s">
        <v>18</v>
      </c>
      <c r="F1177" s="1">
        <v>1</v>
      </c>
      <c r="G1177" s="1" t="s">
        <v>25</v>
      </c>
      <c r="H1177" s="1" t="str">
        <f t="shared" si="92"/>
        <v>Yes</v>
      </c>
      <c r="I1177" s="1" t="s">
        <v>15</v>
      </c>
      <c r="J1177" s="1">
        <v>1754</v>
      </c>
      <c r="K1177" s="1">
        <v>7491</v>
      </c>
      <c r="L1177" s="1">
        <v>402</v>
      </c>
      <c r="M1177" s="1">
        <f t="shared" si="93"/>
        <v>180</v>
      </c>
      <c r="N1177" s="1">
        <v>180</v>
      </c>
      <c r="O1177" s="1">
        <f t="shared" si="94"/>
        <v>1</v>
      </c>
      <c r="P1177" s="1">
        <v>1</v>
      </c>
      <c r="Q1177" s="1" t="s">
        <v>41</v>
      </c>
      <c r="R1177" s="1" t="s">
        <v>20</v>
      </c>
    </row>
    <row r="1178" spans="1:18" x14ac:dyDescent="0.35">
      <c r="A1178" s="1" t="s">
        <v>1209</v>
      </c>
      <c r="B1178" s="1" t="str">
        <f t="shared" si="90"/>
        <v>Female</v>
      </c>
      <c r="C1178" s="1" t="s">
        <v>61</v>
      </c>
      <c r="D1178" s="1" t="str">
        <f t="shared" si="91"/>
        <v>Yes</v>
      </c>
      <c r="E1178" s="1" t="s">
        <v>15</v>
      </c>
      <c r="F1178" s="1" t="s">
        <v>16</v>
      </c>
      <c r="G1178" s="1" t="s">
        <v>17</v>
      </c>
      <c r="H1178" s="1" t="str">
        <f t="shared" si="92"/>
        <v>No</v>
      </c>
      <c r="I1178" s="1"/>
      <c r="J1178" s="1">
        <v>9484</v>
      </c>
      <c r="K1178" s="1">
        <v>3488</v>
      </c>
      <c r="L1178" s="1">
        <v>428</v>
      </c>
      <c r="M1178" s="1">
        <f t="shared" si="93"/>
        <v>120</v>
      </c>
      <c r="N1178" s="1">
        <v>120</v>
      </c>
      <c r="O1178" s="1">
        <f t="shared" si="94"/>
        <v>1</v>
      </c>
      <c r="P1178" s="1">
        <v>1</v>
      </c>
      <c r="Q1178" s="1" t="s">
        <v>30</v>
      </c>
      <c r="R1178" s="1" t="s">
        <v>26</v>
      </c>
    </row>
    <row r="1179" spans="1:18" x14ac:dyDescent="0.35">
      <c r="A1179" s="1" t="s">
        <v>1210</v>
      </c>
      <c r="B1179" s="1" t="str">
        <f t="shared" si="90"/>
        <v>Female</v>
      </c>
      <c r="C1179" s="1" t="s">
        <v>28</v>
      </c>
      <c r="D1179" s="1" t="str">
        <f t="shared" si="91"/>
        <v>Yes</v>
      </c>
      <c r="E1179" s="1" t="s">
        <v>15</v>
      </c>
      <c r="F1179" s="1">
        <v>1</v>
      </c>
      <c r="G1179" s="1" t="s">
        <v>25</v>
      </c>
      <c r="H1179" s="1" t="str">
        <f t="shared" si="92"/>
        <v>Yes</v>
      </c>
      <c r="I1179" s="1" t="s">
        <v>15</v>
      </c>
      <c r="J1179" s="1">
        <v>6620</v>
      </c>
      <c r="K1179" s="1">
        <v>1563</v>
      </c>
      <c r="L1179" s="1">
        <v>432</v>
      </c>
      <c r="M1179" s="1">
        <f t="shared" si="93"/>
        <v>120</v>
      </c>
      <c r="N1179" s="1">
        <v>120</v>
      </c>
      <c r="O1179" s="1">
        <f t="shared" si="94"/>
        <v>0</v>
      </c>
      <c r="P1179" s="1"/>
      <c r="Q1179" s="1" t="s">
        <v>30</v>
      </c>
      <c r="R1179" s="1" t="s">
        <v>26</v>
      </c>
    </row>
    <row r="1180" spans="1:18" x14ac:dyDescent="0.35">
      <c r="A1180" s="1" t="s">
        <v>1211</v>
      </c>
      <c r="B1180" s="1" t="str">
        <f t="shared" si="90"/>
        <v>Unknown</v>
      </c>
      <c r="C1180" s="1"/>
      <c r="D1180" s="1" t="str">
        <f t="shared" si="91"/>
        <v>No</v>
      </c>
      <c r="E1180" s="1" t="s">
        <v>36</v>
      </c>
      <c r="F1180" s="1">
        <v>0</v>
      </c>
      <c r="G1180" s="1" t="s">
        <v>17</v>
      </c>
      <c r="H1180" s="1" t="str">
        <f t="shared" si="92"/>
        <v>No</v>
      </c>
      <c r="I1180" s="1" t="s">
        <v>22</v>
      </c>
      <c r="J1180" s="1">
        <v>10297</v>
      </c>
      <c r="K1180" s="1">
        <v>8875</v>
      </c>
      <c r="L1180" s="1">
        <v>218</v>
      </c>
      <c r="M1180" s="1">
        <f t="shared" si="93"/>
        <v>360</v>
      </c>
      <c r="N1180" s="1">
        <v>360</v>
      </c>
      <c r="O1180" s="1">
        <f t="shared" si="94"/>
        <v>1</v>
      </c>
      <c r="P1180" s="1">
        <v>1</v>
      </c>
      <c r="Q1180" s="1" t="s">
        <v>41</v>
      </c>
      <c r="R1180" s="1" t="s">
        <v>20</v>
      </c>
    </row>
    <row r="1181" spans="1:18" x14ac:dyDescent="0.35">
      <c r="A1181" s="1" t="s">
        <v>1212</v>
      </c>
      <c r="B1181" s="1" t="str">
        <f t="shared" si="90"/>
        <v>Female</v>
      </c>
      <c r="C1181" s="1" t="s">
        <v>61</v>
      </c>
      <c r="D1181" s="1" t="str">
        <f t="shared" si="91"/>
        <v>No</v>
      </c>
      <c r="E1181" s="1"/>
      <c r="F1181" s="1">
        <v>0</v>
      </c>
      <c r="G1181" s="1" t="s">
        <v>25</v>
      </c>
      <c r="H1181" s="1" t="str">
        <f t="shared" si="92"/>
        <v>No</v>
      </c>
      <c r="I1181" s="1" t="s">
        <v>18</v>
      </c>
      <c r="J1181" s="1">
        <v>16325</v>
      </c>
      <c r="K1181" s="1">
        <v>6362</v>
      </c>
      <c r="L1181" s="1">
        <v>286</v>
      </c>
      <c r="M1181" s="1">
        <f t="shared" si="93"/>
        <v>180</v>
      </c>
      <c r="N1181" s="1">
        <v>180</v>
      </c>
      <c r="O1181" s="1">
        <f t="shared" si="94"/>
        <v>0</v>
      </c>
      <c r="P1181" s="1">
        <v>0</v>
      </c>
      <c r="Q1181" s="1" t="s">
        <v>41</v>
      </c>
      <c r="R1181" s="1" t="s">
        <v>20</v>
      </c>
    </row>
    <row r="1182" spans="1:18" x14ac:dyDescent="0.35">
      <c r="A1182" s="1" t="s">
        <v>1213</v>
      </c>
      <c r="B1182" s="1" t="str">
        <f t="shared" si="90"/>
        <v>Unknown</v>
      </c>
      <c r="C1182" s="1"/>
      <c r="D1182" s="1" t="str">
        <f t="shared" si="91"/>
        <v>No</v>
      </c>
      <c r="E1182" s="1" t="s">
        <v>36</v>
      </c>
      <c r="F1182" s="1">
        <v>0</v>
      </c>
      <c r="G1182" s="1" t="s">
        <v>25</v>
      </c>
      <c r="H1182" s="1" t="str">
        <f t="shared" si="92"/>
        <v>No</v>
      </c>
      <c r="I1182" s="1" t="s">
        <v>36</v>
      </c>
      <c r="J1182" s="1">
        <v>11136</v>
      </c>
      <c r="K1182" s="1">
        <v>9468</v>
      </c>
      <c r="L1182" s="1">
        <v>357</v>
      </c>
      <c r="M1182" s="1">
        <f t="shared" si="93"/>
        <v>360</v>
      </c>
      <c r="N1182" s="1"/>
      <c r="O1182" s="1">
        <f t="shared" si="94"/>
        <v>1</v>
      </c>
      <c r="P1182" s="1">
        <v>1</v>
      </c>
      <c r="Q1182" s="1" t="s">
        <v>19</v>
      </c>
      <c r="R1182" s="1" t="s">
        <v>26</v>
      </c>
    </row>
    <row r="1183" spans="1:18" x14ac:dyDescent="0.35">
      <c r="A1183" s="1" t="s">
        <v>1214</v>
      </c>
      <c r="B1183" s="1" t="str">
        <f t="shared" si="90"/>
        <v>Female</v>
      </c>
      <c r="C1183" s="1" t="s">
        <v>61</v>
      </c>
      <c r="D1183" s="1" t="str">
        <f t="shared" si="91"/>
        <v>No</v>
      </c>
      <c r="E1183" s="1"/>
      <c r="F1183" s="1">
        <v>2</v>
      </c>
      <c r="G1183" s="1" t="s">
        <v>25</v>
      </c>
      <c r="H1183" s="1" t="str">
        <f t="shared" si="92"/>
        <v>No</v>
      </c>
      <c r="I1183" s="1" t="s">
        <v>18</v>
      </c>
      <c r="J1183" s="1">
        <v>12220</v>
      </c>
      <c r="K1183" s="1">
        <v>1247</v>
      </c>
      <c r="L1183" s="1">
        <v>200</v>
      </c>
      <c r="M1183" s="1">
        <f t="shared" si="93"/>
        <v>180</v>
      </c>
      <c r="N1183" s="1">
        <v>180</v>
      </c>
      <c r="O1183" s="1">
        <f t="shared" si="94"/>
        <v>0</v>
      </c>
      <c r="P1183" s="1">
        <v>0</v>
      </c>
      <c r="Q1183" s="1" t="s">
        <v>41</v>
      </c>
      <c r="R1183" s="1" t="s">
        <v>20</v>
      </c>
    </row>
    <row r="1184" spans="1:18" x14ac:dyDescent="0.35">
      <c r="A1184" s="1" t="s">
        <v>1215</v>
      </c>
      <c r="B1184" s="1" t="str">
        <f t="shared" si="90"/>
        <v>Unknown</v>
      </c>
      <c r="C1184" s="1"/>
      <c r="D1184" s="1" t="str">
        <f t="shared" si="91"/>
        <v>No</v>
      </c>
      <c r="E1184" s="1" t="s">
        <v>22</v>
      </c>
      <c r="F1184" s="1">
        <v>1</v>
      </c>
      <c r="G1184" s="1" t="s">
        <v>17</v>
      </c>
      <c r="H1184" s="1" t="str">
        <f t="shared" si="92"/>
        <v>Yes</v>
      </c>
      <c r="I1184" s="1" t="s">
        <v>24</v>
      </c>
      <c r="J1184" s="1">
        <v>14162</v>
      </c>
      <c r="K1184" s="1">
        <v>5546</v>
      </c>
      <c r="L1184" s="1">
        <v>466</v>
      </c>
      <c r="M1184" s="1">
        <f t="shared" si="93"/>
        <v>360</v>
      </c>
      <c r="N1184" s="1">
        <v>360</v>
      </c>
      <c r="O1184" s="1">
        <f t="shared" si="94"/>
        <v>1</v>
      </c>
      <c r="P1184" s="1">
        <v>1</v>
      </c>
      <c r="Q1184" s="1" t="s">
        <v>19</v>
      </c>
      <c r="R1184" s="1" t="s">
        <v>20</v>
      </c>
    </row>
    <row r="1185" spans="1:18" x14ac:dyDescent="0.35">
      <c r="A1185" s="1" t="s">
        <v>1216</v>
      </c>
      <c r="B1185" s="1" t="str">
        <f t="shared" si="90"/>
        <v>Male</v>
      </c>
      <c r="C1185" s="1" t="s">
        <v>33</v>
      </c>
      <c r="D1185" s="1" t="str">
        <f t="shared" si="91"/>
        <v>Yes</v>
      </c>
      <c r="E1185" s="1" t="s">
        <v>29</v>
      </c>
      <c r="F1185" s="1" t="s">
        <v>16</v>
      </c>
      <c r="G1185" s="1" t="s">
        <v>17</v>
      </c>
      <c r="H1185" s="1" t="str">
        <f t="shared" si="92"/>
        <v>No</v>
      </c>
      <c r="I1185" s="1" t="s">
        <v>36</v>
      </c>
      <c r="J1185" s="1">
        <v>8862</v>
      </c>
      <c r="K1185" s="1">
        <v>8879</v>
      </c>
      <c r="L1185" s="1">
        <v>576</v>
      </c>
      <c r="M1185" s="1">
        <f t="shared" si="93"/>
        <v>120</v>
      </c>
      <c r="N1185" s="1">
        <v>120</v>
      </c>
      <c r="O1185" s="1">
        <f t="shared" si="94"/>
        <v>0</v>
      </c>
      <c r="P1185" s="1">
        <v>0</v>
      </c>
      <c r="Q1185" s="1" t="s">
        <v>41</v>
      </c>
      <c r="R1185" s="1" t="s">
        <v>26</v>
      </c>
    </row>
    <row r="1186" spans="1:18" x14ac:dyDescent="0.35">
      <c r="A1186" s="1" t="s">
        <v>1217</v>
      </c>
      <c r="B1186" s="1" t="str">
        <f t="shared" si="90"/>
        <v>Male</v>
      </c>
      <c r="C1186" s="1" t="s">
        <v>52</v>
      </c>
      <c r="D1186" s="1" t="str">
        <f t="shared" si="91"/>
        <v>Yes</v>
      </c>
      <c r="E1186" s="1" t="s">
        <v>24</v>
      </c>
      <c r="F1186" s="1">
        <v>0</v>
      </c>
      <c r="G1186" s="1" t="s">
        <v>25</v>
      </c>
      <c r="H1186" s="1" t="str">
        <f t="shared" si="92"/>
        <v>No</v>
      </c>
      <c r="I1186" s="1" t="s">
        <v>18</v>
      </c>
      <c r="J1186" s="1">
        <v>19270</v>
      </c>
      <c r="K1186" s="1">
        <v>4750</v>
      </c>
      <c r="L1186" s="1">
        <v>606</v>
      </c>
      <c r="M1186" s="1">
        <f t="shared" si="93"/>
        <v>360</v>
      </c>
      <c r="N1186" s="1"/>
      <c r="O1186" s="1">
        <f t="shared" si="94"/>
        <v>0</v>
      </c>
      <c r="P1186" s="1"/>
      <c r="Q1186" s="1" t="s">
        <v>19</v>
      </c>
      <c r="R1186" s="1" t="s">
        <v>26</v>
      </c>
    </row>
    <row r="1187" spans="1:18" x14ac:dyDescent="0.35">
      <c r="A1187" s="1" t="s">
        <v>1218</v>
      </c>
      <c r="B1187" s="1" t="str">
        <f t="shared" si="90"/>
        <v>Male</v>
      </c>
      <c r="C1187" s="1" t="s">
        <v>52</v>
      </c>
      <c r="D1187" s="1" t="str">
        <f t="shared" si="91"/>
        <v>No</v>
      </c>
      <c r="E1187" s="1" t="s">
        <v>22</v>
      </c>
      <c r="F1187" s="1">
        <v>0</v>
      </c>
      <c r="G1187" s="1" t="s">
        <v>17</v>
      </c>
      <c r="H1187" s="1" t="str">
        <f t="shared" si="92"/>
        <v>No</v>
      </c>
      <c r="I1187" s="1"/>
      <c r="J1187" s="1">
        <v>1663</v>
      </c>
      <c r="K1187" s="1">
        <v>8470</v>
      </c>
      <c r="L1187" s="1">
        <v>269</v>
      </c>
      <c r="M1187" s="1">
        <f t="shared" si="93"/>
        <v>360</v>
      </c>
      <c r="N1187" s="1"/>
      <c r="O1187" s="1">
        <f t="shared" si="94"/>
        <v>0</v>
      </c>
      <c r="P1187" s="1">
        <v>0</v>
      </c>
      <c r="Q1187" s="1" t="s">
        <v>41</v>
      </c>
      <c r="R1187" s="1" t="s">
        <v>20</v>
      </c>
    </row>
    <row r="1188" spans="1:18" x14ac:dyDescent="0.35">
      <c r="A1188" s="1" t="s">
        <v>1219</v>
      </c>
      <c r="B1188" s="1" t="str">
        <f t="shared" si="90"/>
        <v>Female</v>
      </c>
      <c r="C1188" s="1" t="s">
        <v>28</v>
      </c>
      <c r="D1188" s="1" t="str">
        <f t="shared" si="91"/>
        <v>Yes</v>
      </c>
      <c r="E1188" s="1" t="s">
        <v>29</v>
      </c>
      <c r="F1188" s="1" t="s">
        <v>16</v>
      </c>
      <c r="G1188" s="1" t="s">
        <v>17</v>
      </c>
      <c r="H1188" s="1" t="str">
        <f t="shared" si="92"/>
        <v>No</v>
      </c>
      <c r="I1188" s="1" t="s">
        <v>18</v>
      </c>
      <c r="J1188" s="1">
        <v>1735</v>
      </c>
      <c r="K1188" s="1">
        <v>5415</v>
      </c>
      <c r="L1188" s="1">
        <v>417</v>
      </c>
      <c r="M1188" s="1">
        <f t="shared" si="93"/>
        <v>360</v>
      </c>
      <c r="N1188" s="1"/>
      <c r="O1188" s="1">
        <f t="shared" si="94"/>
        <v>0</v>
      </c>
      <c r="P1188" s="1"/>
      <c r="Q1188" s="1" t="s">
        <v>41</v>
      </c>
      <c r="R1188" s="1" t="s">
        <v>20</v>
      </c>
    </row>
    <row r="1189" spans="1:18" x14ac:dyDescent="0.35">
      <c r="A1189" s="1" t="s">
        <v>1220</v>
      </c>
      <c r="B1189" s="1" t="str">
        <f t="shared" si="90"/>
        <v>Male</v>
      </c>
      <c r="C1189" s="1" t="s">
        <v>14</v>
      </c>
      <c r="D1189" s="1" t="str">
        <f t="shared" si="91"/>
        <v>No</v>
      </c>
      <c r="E1189" s="1" t="s">
        <v>22</v>
      </c>
      <c r="F1189" s="1">
        <v>1</v>
      </c>
      <c r="G1189" s="1" t="s">
        <v>17</v>
      </c>
      <c r="H1189" s="1" t="str">
        <f t="shared" si="92"/>
        <v>No</v>
      </c>
      <c r="I1189" s="1" t="s">
        <v>18</v>
      </c>
      <c r="J1189" s="1">
        <v>7266</v>
      </c>
      <c r="K1189" s="1">
        <v>4982</v>
      </c>
      <c r="L1189" s="1">
        <v>450</v>
      </c>
      <c r="M1189" s="1">
        <f t="shared" si="93"/>
        <v>120</v>
      </c>
      <c r="N1189" s="1">
        <v>120</v>
      </c>
      <c r="O1189" s="1">
        <f t="shared" si="94"/>
        <v>0</v>
      </c>
      <c r="P1189" s="1">
        <v>0</v>
      </c>
      <c r="Q1189" s="1" t="s">
        <v>30</v>
      </c>
      <c r="R1189" s="1" t="s">
        <v>26</v>
      </c>
    </row>
    <row r="1190" spans="1:18" x14ac:dyDescent="0.35">
      <c r="A1190" s="1" t="s">
        <v>1221</v>
      </c>
      <c r="B1190" s="1" t="str">
        <f t="shared" si="90"/>
        <v>Male</v>
      </c>
      <c r="C1190" s="1" t="s">
        <v>14</v>
      </c>
      <c r="D1190" s="1" t="str">
        <f t="shared" si="91"/>
        <v>No</v>
      </c>
      <c r="E1190" s="1"/>
      <c r="F1190" s="1" t="s">
        <v>16</v>
      </c>
      <c r="G1190" s="1" t="s">
        <v>25</v>
      </c>
      <c r="H1190" s="1" t="str">
        <f t="shared" si="92"/>
        <v>No</v>
      </c>
      <c r="I1190" s="1"/>
      <c r="J1190" s="1">
        <v>4777</v>
      </c>
      <c r="K1190" s="1">
        <v>5284</v>
      </c>
      <c r="L1190" s="1">
        <v>219</v>
      </c>
      <c r="M1190" s="1">
        <f t="shared" si="93"/>
        <v>360</v>
      </c>
      <c r="N1190" s="1">
        <v>360</v>
      </c>
      <c r="O1190" s="1">
        <f t="shared" si="94"/>
        <v>1</v>
      </c>
      <c r="P1190" s="1">
        <v>1</v>
      </c>
      <c r="Q1190" s="1" t="s">
        <v>41</v>
      </c>
      <c r="R1190" s="1" t="s">
        <v>20</v>
      </c>
    </row>
    <row r="1191" spans="1:18" x14ac:dyDescent="0.35">
      <c r="A1191" s="1" t="s">
        <v>1222</v>
      </c>
      <c r="B1191" s="1" t="str">
        <f t="shared" si="90"/>
        <v>Unknown</v>
      </c>
      <c r="C1191" s="1"/>
      <c r="D1191" s="1" t="str">
        <f t="shared" si="91"/>
        <v>No</v>
      </c>
      <c r="E1191" s="1" t="s">
        <v>18</v>
      </c>
      <c r="F1191" s="1">
        <v>1</v>
      </c>
      <c r="G1191" s="1" t="s">
        <v>17</v>
      </c>
      <c r="H1191" s="1" t="str">
        <f t="shared" si="92"/>
        <v>Yes</v>
      </c>
      <c r="I1191" s="1" t="s">
        <v>29</v>
      </c>
      <c r="J1191" s="1">
        <v>8798</v>
      </c>
      <c r="K1191" s="1">
        <v>8984</v>
      </c>
      <c r="L1191" s="1">
        <v>112</v>
      </c>
      <c r="M1191" s="1">
        <f t="shared" si="93"/>
        <v>360</v>
      </c>
      <c r="N1191" s="1"/>
      <c r="O1191" s="1">
        <f t="shared" si="94"/>
        <v>1</v>
      </c>
      <c r="P1191" s="1">
        <v>1</v>
      </c>
      <c r="Q1191" s="1" t="s">
        <v>19</v>
      </c>
      <c r="R1191" s="1" t="s">
        <v>26</v>
      </c>
    </row>
    <row r="1192" spans="1:18" x14ac:dyDescent="0.35">
      <c r="A1192" s="1" t="s">
        <v>1223</v>
      </c>
      <c r="B1192" s="1" t="str">
        <f t="shared" si="90"/>
        <v>Unknown</v>
      </c>
      <c r="C1192" s="1"/>
      <c r="D1192" s="1" t="str">
        <f t="shared" si="91"/>
        <v>No</v>
      </c>
      <c r="E1192" s="1"/>
      <c r="F1192" s="1">
        <v>2</v>
      </c>
      <c r="G1192" s="1" t="s">
        <v>25</v>
      </c>
      <c r="H1192" s="1" t="str">
        <f t="shared" si="92"/>
        <v>No</v>
      </c>
      <c r="I1192" s="1" t="s">
        <v>22</v>
      </c>
      <c r="J1192" s="1">
        <v>12264</v>
      </c>
      <c r="K1192" s="1">
        <v>673</v>
      </c>
      <c r="L1192" s="1">
        <v>97</v>
      </c>
      <c r="M1192" s="1">
        <f t="shared" si="93"/>
        <v>360</v>
      </c>
      <c r="N1192" s="1">
        <v>360</v>
      </c>
      <c r="O1192" s="1">
        <f t="shared" si="94"/>
        <v>0</v>
      </c>
      <c r="P1192" s="1"/>
      <c r="Q1192" s="1" t="s">
        <v>19</v>
      </c>
      <c r="R1192" s="1" t="s">
        <v>20</v>
      </c>
    </row>
    <row r="1193" spans="1:18" x14ac:dyDescent="0.35">
      <c r="A1193" s="1" t="s">
        <v>1224</v>
      </c>
      <c r="B1193" s="1" t="str">
        <f t="shared" si="90"/>
        <v>Female</v>
      </c>
      <c r="C1193" s="1" t="s">
        <v>43</v>
      </c>
      <c r="D1193" s="1" t="str">
        <f t="shared" si="91"/>
        <v>No</v>
      </c>
      <c r="E1193" s="1"/>
      <c r="F1193" s="1" t="s">
        <v>16</v>
      </c>
      <c r="G1193" s="1" t="s">
        <v>17</v>
      </c>
      <c r="H1193" s="1" t="str">
        <f t="shared" si="92"/>
        <v>No</v>
      </c>
      <c r="I1193" s="1"/>
      <c r="J1193" s="1">
        <v>17446</v>
      </c>
      <c r="K1193" s="1">
        <v>9110</v>
      </c>
      <c r="L1193" s="1">
        <v>462</v>
      </c>
      <c r="M1193" s="1">
        <f t="shared" si="93"/>
        <v>180</v>
      </c>
      <c r="N1193" s="1">
        <v>180</v>
      </c>
      <c r="O1193" s="1">
        <f t="shared" si="94"/>
        <v>0</v>
      </c>
      <c r="P1193" s="1"/>
      <c r="Q1193" s="1" t="s">
        <v>30</v>
      </c>
      <c r="R1193" s="1" t="s">
        <v>26</v>
      </c>
    </row>
    <row r="1194" spans="1:18" x14ac:dyDescent="0.35">
      <c r="A1194" s="1" t="s">
        <v>1225</v>
      </c>
      <c r="B1194" s="1" t="str">
        <f t="shared" si="90"/>
        <v>Male</v>
      </c>
      <c r="C1194" s="1" t="s">
        <v>52</v>
      </c>
      <c r="D1194" s="1" t="str">
        <f t="shared" si="91"/>
        <v>Yes</v>
      </c>
      <c r="E1194" s="1" t="s">
        <v>29</v>
      </c>
      <c r="F1194" s="1">
        <v>0</v>
      </c>
      <c r="G1194" s="1" t="s">
        <v>25</v>
      </c>
      <c r="H1194" s="1" t="str">
        <f t="shared" si="92"/>
        <v>No</v>
      </c>
      <c r="I1194" s="1"/>
      <c r="J1194" s="1">
        <v>3294</v>
      </c>
      <c r="K1194" s="1">
        <v>786</v>
      </c>
      <c r="L1194" s="1">
        <v>543</v>
      </c>
      <c r="M1194" s="1">
        <f t="shared" si="93"/>
        <v>120</v>
      </c>
      <c r="N1194" s="1">
        <v>120</v>
      </c>
      <c r="O1194" s="1">
        <f t="shared" si="94"/>
        <v>0</v>
      </c>
      <c r="P1194" s="1"/>
      <c r="Q1194" s="1" t="s">
        <v>19</v>
      </c>
      <c r="R1194" s="1" t="s">
        <v>20</v>
      </c>
    </row>
    <row r="1195" spans="1:18" x14ac:dyDescent="0.35">
      <c r="A1195" s="1" t="s">
        <v>1226</v>
      </c>
      <c r="B1195" s="1" t="str">
        <f t="shared" si="90"/>
        <v>Female</v>
      </c>
      <c r="C1195" s="1" t="s">
        <v>61</v>
      </c>
      <c r="D1195" s="1" t="str">
        <f t="shared" si="91"/>
        <v>No</v>
      </c>
      <c r="E1195" s="1"/>
      <c r="F1195" s="1">
        <v>2</v>
      </c>
      <c r="G1195" s="1" t="s">
        <v>17</v>
      </c>
      <c r="H1195" s="1" t="str">
        <f t="shared" si="92"/>
        <v>Yes</v>
      </c>
      <c r="I1195" s="1" t="s">
        <v>29</v>
      </c>
      <c r="J1195" s="1">
        <v>5645</v>
      </c>
      <c r="K1195" s="1">
        <v>6893</v>
      </c>
      <c r="L1195" s="1">
        <v>561</v>
      </c>
      <c r="M1195" s="1">
        <f t="shared" si="93"/>
        <v>180</v>
      </c>
      <c r="N1195" s="1">
        <v>180</v>
      </c>
      <c r="O1195" s="1">
        <f t="shared" si="94"/>
        <v>0</v>
      </c>
      <c r="P1195" s="1"/>
      <c r="Q1195" s="1" t="s">
        <v>19</v>
      </c>
      <c r="R1195" s="1" t="s">
        <v>20</v>
      </c>
    </row>
    <row r="1196" spans="1:18" x14ac:dyDescent="0.35">
      <c r="A1196" s="1" t="s">
        <v>1227</v>
      </c>
      <c r="B1196" s="1" t="str">
        <f t="shared" si="90"/>
        <v>Female</v>
      </c>
      <c r="C1196" s="1" t="s">
        <v>61</v>
      </c>
      <c r="D1196" s="1" t="str">
        <f t="shared" si="91"/>
        <v>No</v>
      </c>
      <c r="E1196" s="1"/>
      <c r="F1196" s="1">
        <v>0</v>
      </c>
      <c r="G1196" s="1" t="s">
        <v>17</v>
      </c>
      <c r="H1196" s="1" t="str">
        <f t="shared" si="92"/>
        <v>Yes</v>
      </c>
      <c r="I1196" s="1" t="s">
        <v>15</v>
      </c>
      <c r="J1196" s="1">
        <v>10023</v>
      </c>
      <c r="K1196" s="1">
        <v>6251</v>
      </c>
      <c r="L1196" s="1">
        <v>210</v>
      </c>
      <c r="M1196" s="1">
        <f t="shared" si="93"/>
        <v>360</v>
      </c>
      <c r="N1196" s="1">
        <v>360</v>
      </c>
      <c r="O1196" s="1">
        <f t="shared" si="94"/>
        <v>0</v>
      </c>
      <c r="P1196" s="1">
        <v>0</v>
      </c>
      <c r="Q1196" s="1" t="s">
        <v>41</v>
      </c>
      <c r="R1196" s="1" t="s">
        <v>26</v>
      </c>
    </row>
    <row r="1197" spans="1:18" x14ac:dyDescent="0.35">
      <c r="A1197" s="1" t="s">
        <v>1228</v>
      </c>
      <c r="B1197" s="1" t="str">
        <f t="shared" si="90"/>
        <v>Female</v>
      </c>
      <c r="C1197" s="1" t="s">
        <v>28</v>
      </c>
      <c r="D1197" s="1" t="str">
        <f t="shared" si="91"/>
        <v>No</v>
      </c>
      <c r="E1197" s="1"/>
      <c r="F1197" s="1">
        <v>2</v>
      </c>
      <c r="G1197" s="1" t="s">
        <v>25</v>
      </c>
      <c r="H1197" s="1" t="str">
        <f t="shared" si="92"/>
        <v>Yes</v>
      </c>
      <c r="I1197" s="1" t="s">
        <v>24</v>
      </c>
      <c r="J1197" s="1">
        <v>5678</v>
      </c>
      <c r="K1197" s="1">
        <v>3152</v>
      </c>
      <c r="L1197" s="1">
        <v>298</v>
      </c>
      <c r="M1197" s="1">
        <f t="shared" si="93"/>
        <v>120</v>
      </c>
      <c r="N1197" s="1">
        <v>120</v>
      </c>
      <c r="O1197" s="1">
        <f t="shared" si="94"/>
        <v>0</v>
      </c>
      <c r="P1197" s="1">
        <v>0</v>
      </c>
      <c r="Q1197" s="1" t="s">
        <v>30</v>
      </c>
      <c r="R1197" s="1" t="s">
        <v>20</v>
      </c>
    </row>
    <row r="1198" spans="1:18" x14ac:dyDescent="0.35">
      <c r="A1198" s="1" t="s">
        <v>1229</v>
      </c>
      <c r="B1198" s="1" t="str">
        <f t="shared" si="90"/>
        <v>Unknown</v>
      </c>
      <c r="C1198" s="1"/>
      <c r="D1198" s="1" t="str">
        <f t="shared" si="91"/>
        <v>Yes</v>
      </c>
      <c r="E1198" s="1" t="s">
        <v>15</v>
      </c>
      <c r="F1198" s="1" t="s">
        <v>16</v>
      </c>
      <c r="G1198" s="1" t="s">
        <v>17</v>
      </c>
      <c r="H1198" s="1" t="str">
        <f t="shared" si="92"/>
        <v>No</v>
      </c>
      <c r="I1198" s="1" t="s">
        <v>18</v>
      </c>
      <c r="J1198" s="1">
        <v>2084</v>
      </c>
      <c r="K1198" s="1">
        <v>6444</v>
      </c>
      <c r="L1198" s="1">
        <v>260</v>
      </c>
      <c r="M1198" s="1">
        <f t="shared" si="93"/>
        <v>180</v>
      </c>
      <c r="N1198" s="1">
        <v>180</v>
      </c>
      <c r="O1198" s="1">
        <f t="shared" si="94"/>
        <v>0</v>
      </c>
      <c r="P1198" s="1">
        <v>0</v>
      </c>
      <c r="Q1198" s="1" t="s">
        <v>41</v>
      </c>
      <c r="R1198" s="1" t="s">
        <v>26</v>
      </c>
    </row>
    <row r="1199" spans="1:18" x14ac:dyDescent="0.35">
      <c r="A1199" s="1" t="s">
        <v>1230</v>
      </c>
      <c r="B1199" s="1" t="str">
        <f t="shared" si="90"/>
        <v>Male</v>
      </c>
      <c r="C1199" s="1" t="s">
        <v>14</v>
      </c>
      <c r="D1199" s="1" t="str">
        <f t="shared" si="91"/>
        <v>No</v>
      </c>
      <c r="E1199" s="1" t="s">
        <v>36</v>
      </c>
      <c r="F1199" s="1" t="s">
        <v>16</v>
      </c>
      <c r="G1199" s="1" t="s">
        <v>17</v>
      </c>
      <c r="H1199" s="1" t="str">
        <f t="shared" si="92"/>
        <v>No</v>
      </c>
      <c r="I1199" s="1"/>
      <c r="J1199" s="1">
        <v>13938</v>
      </c>
      <c r="K1199" s="1">
        <v>7894</v>
      </c>
      <c r="L1199" s="1">
        <v>102</v>
      </c>
      <c r="M1199" s="1">
        <f t="shared" si="93"/>
        <v>180</v>
      </c>
      <c r="N1199" s="1">
        <v>180</v>
      </c>
      <c r="O1199" s="1">
        <f t="shared" si="94"/>
        <v>0</v>
      </c>
      <c r="P1199" s="1">
        <v>0</v>
      </c>
      <c r="Q1199" s="1" t="s">
        <v>19</v>
      </c>
      <c r="R1199" s="1" t="s">
        <v>20</v>
      </c>
    </row>
    <row r="1200" spans="1:18" x14ac:dyDescent="0.35">
      <c r="A1200" s="1" t="s">
        <v>1231</v>
      </c>
      <c r="B1200" s="1" t="str">
        <f t="shared" si="90"/>
        <v>Unknown</v>
      </c>
      <c r="C1200" s="1"/>
      <c r="D1200" s="1" t="str">
        <f t="shared" si="91"/>
        <v>Yes</v>
      </c>
      <c r="E1200" s="1" t="s">
        <v>24</v>
      </c>
      <c r="F1200" s="1" t="s">
        <v>16</v>
      </c>
      <c r="G1200" s="1" t="s">
        <v>17</v>
      </c>
      <c r="H1200" s="1" t="str">
        <f t="shared" si="92"/>
        <v>Yes</v>
      </c>
      <c r="I1200" s="1" t="s">
        <v>15</v>
      </c>
      <c r="J1200" s="1">
        <v>2114</v>
      </c>
      <c r="K1200" s="1">
        <v>7525</v>
      </c>
      <c r="L1200" s="1">
        <v>248</v>
      </c>
      <c r="M1200" s="1">
        <f t="shared" si="93"/>
        <v>120</v>
      </c>
      <c r="N1200" s="1">
        <v>120</v>
      </c>
      <c r="O1200" s="1">
        <f t="shared" si="94"/>
        <v>0</v>
      </c>
      <c r="P1200" s="1">
        <v>0</v>
      </c>
      <c r="Q1200" s="1" t="s">
        <v>30</v>
      </c>
      <c r="R1200" s="1" t="s">
        <v>26</v>
      </c>
    </row>
    <row r="1201" spans="1:18" x14ac:dyDescent="0.35">
      <c r="A1201" s="1" t="s">
        <v>1232</v>
      </c>
      <c r="B1201" s="1" t="str">
        <f t="shared" si="90"/>
        <v>Male</v>
      </c>
      <c r="C1201" s="1" t="s">
        <v>52</v>
      </c>
      <c r="D1201" s="1" t="str">
        <f t="shared" si="91"/>
        <v>Yes</v>
      </c>
      <c r="E1201" s="1" t="s">
        <v>24</v>
      </c>
      <c r="F1201" s="1">
        <v>2</v>
      </c>
      <c r="G1201" s="1" t="s">
        <v>17</v>
      </c>
      <c r="H1201" s="1" t="str">
        <f t="shared" si="92"/>
        <v>Yes</v>
      </c>
      <c r="I1201" s="1" t="s">
        <v>29</v>
      </c>
      <c r="J1201" s="1">
        <v>16435</v>
      </c>
      <c r="K1201" s="1">
        <v>133</v>
      </c>
      <c r="L1201" s="1">
        <v>315</v>
      </c>
      <c r="M1201" s="1">
        <f t="shared" si="93"/>
        <v>120</v>
      </c>
      <c r="N1201" s="1">
        <v>120</v>
      </c>
      <c r="O1201" s="1">
        <f t="shared" si="94"/>
        <v>0</v>
      </c>
      <c r="P1201" s="1"/>
      <c r="Q1201" s="1" t="s">
        <v>30</v>
      </c>
      <c r="R1201"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4CC34-9652-4F1B-9EFF-D10E05102127}">
  <dimension ref="A1:R1201"/>
  <sheetViews>
    <sheetView workbookViewId="0">
      <selection activeCell="E10" sqref="E10"/>
    </sheetView>
  </sheetViews>
  <sheetFormatPr defaultRowHeight="14.5" x14ac:dyDescent="0.35"/>
  <cols>
    <col min="1" max="1" width="11.7265625" bestFit="1" customWidth="1"/>
    <col min="2" max="2" width="12.90625" customWidth="1"/>
    <col min="3" max="3" width="13.453125" customWidth="1"/>
    <col min="4" max="4" width="11" customWidth="1"/>
    <col min="5" max="5" width="12.54296875" bestFit="1" customWidth="1"/>
    <col min="6" max="6" width="17.54296875" customWidth="1"/>
    <col min="7" max="7" width="15" customWidth="1"/>
    <col min="8" max="8" width="16.7265625" customWidth="1"/>
    <col min="9" max="9" width="23.54296875" customWidth="1"/>
    <col min="10" max="10" width="15.26953125" customWidth="1"/>
    <col min="11" max="11" width="17.54296875" customWidth="1"/>
    <col min="12" max="12" width="13.1796875" customWidth="1"/>
    <col min="13" max="13" width="12.6328125" customWidth="1"/>
    <col min="14" max="14" width="11.7265625" customWidth="1"/>
    <col min="15" max="15" width="13.1796875" customWidth="1"/>
    <col min="16" max="16" width="15.81640625" customWidth="1"/>
    <col min="17" max="17" width="12.90625" customWidth="1"/>
    <col min="18" max="18" width="14.08984375" customWidth="1"/>
  </cols>
  <sheetData>
    <row r="1" spans="1:18" s="1" customFormat="1" ht="11.5" x14ac:dyDescent="0.25">
      <c r="A1" s="1" t="s">
        <v>0</v>
      </c>
      <c r="B1" s="1" t="s">
        <v>1233</v>
      </c>
      <c r="C1" s="1" t="s">
        <v>1234</v>
      </c>
      <c r="D1" s="1" t="s">
        <v>3</v>
      </c>
      <c r="E1" s="1" t="s">
        <v>4</v>
      </c>
      <c r="F1" s="1" t="s">
        <v>1235</v>
      </c>
      <c r="G1" s="1" t="s">
        <v>6</v>
      </c>
      <c r="H1" s="1" t="s">
        <v>7</v>
      </c>
      <c r="I1" s="1" t="s">
        <v>1244</v>
      </c>
      <c r="J1" s="1" t="s">
        <v>1237</v>
      </c>
      <c r="K1" s="1" t="s">
        <v>1236</v>
      </c>
      <c r="L1" s="1" t="s">
        <v>11</v>
      </c>
      <c r="M1" s="1" t="s">
        <v>1239</v>
      </c>
      <c r="N1" s="1" t="s">
        <v>12</v>
      </c>
      <c r="O1" s="1" t="s">
        <v>1240</v>
      </c>
      <c r="P1" s="1" t="s">
        <v>1241</v>
      </c>
      <c r="Q1" s="1" t="s">
        <v>1242</v>
      </c>
      <c r="R1" s="1" t="s">
        <v>1243</v>
      </c>
    </row>
    <row r="2" spans="1:18" s="1" customFormat="1" ht="11.5" x14ac:dyDescent="0.25">
      <c r="A2" s="1" t="s">
        <v>13</v>
      </c>
      <c r="B2" s="1" t="s">
        <v>52</v>
      </c>
      <c r="C2" s="1" t="s">
        <v>29</v>
      </c>
      <c r="D2" s="1" t="s">
        <v>16</v>
      </c>
      <c r="E2" s="1" t="s">
        <v>17</v>
      </c>
      <c r="F2" s="1" t="s">
        <v>22</v>
      </c>
      <c r="G2" s="1">
        <v>4024</v>
      </c>
      <c r="H2" s="1">
        <v>9785</v>
      </c>
      <c r="I2" s="1">
        <v>430</v>
      </c>
      <c r="J2" s="1">
        <v>120</v>
      </c>
      <c r="K2" s="1">
        <v>1</v>
      </c>
      <c r="L2" s="1" t="s">
        <v>19</v>
      </c>
      <c r="M2" s="1">
        <f>Table1[[#This Row],[ApplicantIncome]]+Table1[[#This Row],[CoapplicantIncome]]</f>
        <v>13809</v>
      </c>
      <c r="N2" s="1" t="s">
        <v>20</v>
      </c>
      <c r="O2" s="1" t="str">
        <f>IF(Table1[[#This Row],[Total_Income]]&lt;3000,"Low",IF(Table1[[#This Row],[Total_Income]]&lt;7000,"Medium","High"))</f>
        <v>High</v>
      </c>
      <c r="P2" s="1" t="str">
        <f t="shared" ref="P2:P65" si="0">IF(N2="Y","Approved","Rejected")</f>
        <v>Approved</v>
      </c>
      <c r="Q2" s="1" t="str">
        <f t="shared" ref="Q2:Q65" si="1">IF(K2=1,"Low Risk","High Risk")</f>
        <v>Low Risk</v>
      </c>
      <c r="R2" s="2">
        <f t="shared" ref="R2:R65" si="2">-PMT(8%/12,J2,I2*1000)</f>
        <v>5217.0865572803477</v>
      </c>
    </row>
    <row r="3" spans="1:18" s="1" customFormat="1" ht="11.5" x14ac:dyDescent="0.25">
      <c r="A3" s="1" t="s">
        <v>21</v>
      </c>
      <c r="B3" s="1" t="s">
        <v>1238</v>
      </c>
      <c r="C3" s="1" t="s">
        <v>29</v>
      </c>
      <c r="D3" s="1">
        <v>0</v>
      </c>
      <c r="E3" s="1" t="s">
        <v>17</v>
      </c>
      <c r="F3" s="1" t="s">
        <v>22</v>
      </c>
      <c r="G3" s="1">
        <v>6730</v>
      </c>
      <c r="H3" s="1">
        <v>2302</v>
      </c>
      <c r="I3" s="1">
        <v>189</v>
      </c>
      <c r="J3" s="1">
        <v>360</v>
      </c>
      <c r="K3" s="1">
        <v>0</v>
      </c>
      <c r="L3" s="1" t="s">
        <v>19</v>
      </c>
      <c r="M3" s="1">
        <f>Table1[[#This Row],[ApplicantIncome]]+Table1[[#This Row],[CoapplicantIncome]]</f>
        <v>9032</v>
      </c>
      <c r="N3" s="1" t="s">
        <v>20</v>
      </c>
      <c r="O3" s="1" t="str">
        <f>IF(Table1[[#This Row],[Total_Income]]&lt;3000,"Low",IF(Table1[[#This Row],[Total_Income]]&lt;7000,"Medium","High"))</f>
        <v>High</v>
      </c>
      <c r="P3" s="1" t="str">
        <f t="shared" si="0"/>
        <v>Approved</v>
      </c>
      <c r="Q3" s="1" t="str">
        <f t="shared" si="1"/>
        <v>High Risk</v>
      </c>
      <c r="R3" s="2">
        <f t="shared" si="2"/>
        <v>1386.815044632021</v>
      </c>
    </row>
    <row r="4" spans="1:18" s="1" customFormat="1" ht="11.5" x14ac:dyDescent="0.25">
      <c r="A4" s="1" t="s">
        <v>23</v>
      </c>
      <c r="B4" s="1" t="s">
        <v>1238</v>
      </c>
      <c r="C4" s="1" t="s">
        <v>29</v>
      </c>
      <c r="D4" s="1">
        <v>1</v>
      </c>
      <c r="E4" s="1" t="s">
        <v>25</v>
      </c>
      <c r="F4" s="1" t="s">
        <v>22</v>
      </c>
      <c r="G4" s="1">
        <v>7432</v>
      </c>
      <c r="H4" s="1">
        <v>2840</v>
      </c>
      <c r="I4" s="1">
        <v>374</v>
      </c>
      <c r="J4" s="1">
        <v>180</v>
      </c>
      <c r="K4" s="1">
        <v>1</v>
      </c>
      <c r="L4" s="1" t="s">
        <v>19</v>
      </c>
      <c r="M4" s="1">
        <f>Table1[[#This Row],[ApplicantIncome]]+Table1[[#This Row],[CoapplicantIncome]]</f>
        <v>10272</v>
      </c>
      <c r="N4" s="1" t="s">
        <v>26</v>
      </c>
      <c r="O4" s="1" t="str">
        <f>IF(Table1[[#This Row],[Total_Income]]&lt;3000,"Low",IF(Table1[[#This Row],[Total_Income]]&lt;7000,"Medium","High"))</f>
        <v>High</v>
      </c>
      <c r="P4" s="1" t="str">
        <f t="shared" si="0"/>
        <v>Rejected</v>
      </c>
      <c r="Q4" s="1" t="str">
        <f t="shared" si="1"/>
        <v>Low Risk</v>
      </c>
      <c r="R4" s="2">
        <f t="shared" si="2"/>
        <v>3574.1387953955145</v>
      </c>
    </row>
    <row r="5" spans="1:18" s="1" customFormat="1" ht="11.5" x14ac:dyDescent="0.25">
      <c r="A5" s="1" t="s">
        <v>27</v>
      </c>
      <c r="B5" s="1" t="s">
        <v>28</v>
      </c>
      <c r="C5" s="1" t="s">
        <v>22</v>
      </c>
      <c r="D5" s="1" t="s">
        <v>16</v>
      </c>
      <c r="E5" s="1" t="s">
        <v>25</v>
      </c>
      <c r="F5" s="1" t="s">
        <v>29</v>
      </c>
      <c r="G5" s="1">
        <v>3362</v>
      </c>
      <c r="H5" s="1">
        <v>8027</v>
      </c>
      <c r="I5" s="1">
        <v>430</v>
      </c>
      <c r="J5" s="1">
        <v>180</v>
      </c>
      <c r="K5" s="1">
        <v>1</v>
      </c>
      <c r="L5" s="1" t="s">
        <v>30</v>
      </c>
      <c r="M5" s="1">
        <f>Table1[[#This Row],[ApplicantIncome]]+Table1[[#This Row],[CoapplicantIncome]]</f>
        <v>11389</v>
      </c>
      <c r="N5" s="1" t="s">
        <v>20</v>
      </c>
      <c r="O5" s="1" t="str">
        <f>IF(Table1[[#This Row],[Total_Income]]&lt;3000,"Low",IF(Table1[[#This Row],[Total_Income]]&lt;7000,"Medium","High"))</f>
        <v>High</v>
      </c>
      <c r="P5" s="1" t="str">
        <f t="shared" si="0"/>
        <v>Approved</v>
      </c>
      <c r="Q5" s="1" t="str">
        <f t="shared" si="1"/>
        <v>Low Risk</v>
      </c>
      <c r="R5" s="2">
        <f t="shared" si="2"/>
        <v>4109.3039626205109</v>
      </c>
    </row>
    <row r="6" spans="1:18" s="1" customFormat="1" ht="11.5" x14ac:dyDescent="0.25">
      <c r="A6" s="1" t="s">
        <v>31</v>
      </c>
      <c r="B6" s="1" t="s">
        <v>1238</v>
      </c>
      <c r="C6" s="1" t="s">
        <v>22</v>
      </c>
      <c r="D6" s="1">
        <v>1</v>
      </c>
      <c r="E6" s="1" t="s">
        <v>17</v>
      </c>
      <c r="F6" s="1" t="s">
        <v>22</v>
      </c>
      <c r="G6" s="1">
        <v>12977</v>
      </c>
      <c r="H6" s="1">
        <v>2443</v>
      </c>
      <c r="I6" s="1">
        <v>165</v>
      </c>
      <c r="J6" s="1">
        <v>360</v>
      </c>
      <c r="K6" s="1">
        <v>0</v>
      </c>
      <c r="L6" s="1" t="s">
        <v>19</v>
      </c>
      <c r="M6" s="1">
        <f>Table1[[#This Row],[ApplicantIncome]]+Table1[[#This Row],[CoapplicantIncome]]</f>
        <v>15420</v>
      </c>
      <c r="N6" s="1" t="s">
        <v>26</v>
      </c>
      <c r="O6" s="1" t="str">
        <f>IF(Table1[[#This Row],[Total_Income]]&lt;3000,"Low",IF(Table1[[#This Row],[Total_Income]]&lt;7000,"Medium","High"))</f>
        <v>High</v>
      </c>
      <c r="P6" s="1" t="str">
        <f t="shared" si="0"/>
        <v>Rejected</v>
      </c>
      <c r="Q6" s="1" t="str">
        <f t="shared" si="1"/>
        <v>High Risk</v>
      </c>
      <c r="R6" s="2">
        <f t="shared" si="2"/>
        <v>1210.7115469009707</v>
      </c>
    </row>
    <row r="7" spans="1:18" s="1" customFormat="1" ht="11.5" x14ac:dyDescent="0.25">
      <c r="A7" s="1" t="s">
        <v>32</v>
      </c>
      <c r="B7" s="1" t="s">
        <v>52</v>
      </c>
      <c r="C7" s="1" t="s">
        <v>22</v>
      </c>
      <c r="D7" s="1" t="s">
        <v>16</v>
      </c>
      <c r="E7" s="1" t="s">
        <v>25</v>
      </c>
      <c r="F7" s="1" t="s">
        <v>22</v>
      </c>
      <c r="G7" s="1">
        <v>5382</v>
      </c>
      <c r="H7" s="1">
        <v>5923</v>
      </c>
      <c r="I7" s="1">
        <v>344</v>
      </c>
      <c r="J7" s="1">
        <v>120</v>
      </c>
      <c r="K7" s="1">
        <v>0</v>
      </c>
      <c r="L7" s="1" t="s">
        <v>30</v>
      </c>
      <c r="M7" s="1">
        <f>Table1[[#This Row],[ApplicantIncome]]+Table1[[#This Row],[CoapplicantIncome]]</f>
        <v>11305</v>
      </c>
      <c r="N7" s="1" t="s">
        <v>20</v>
      </c>
      <c r="O7" s="1" t="str">
        <f>IF(Table1[[#This Row],[Total_Income]]&lt;3000,"Low",IF(Table1[[#This Row],[Total_Income]]&lt;7000,"Medium","High"))</f>
        <v>High</v>
      </c>
      <c r="P7" s="1" t="str">
        <f t="shared" si="0"/>
        <v>Approved</v>
      </c>
      <c r="Q7" s="1" t="str">
        <f t="shared" si="1"/>
        <v>High Risk</v>
      </c>
      <c r="R7" s="2">
        <f t="shared" si="2"/>
        <v>4173.6692458242787</v>
      </c>
    </row>
    <row r="8" spans="1:18" s="1" customFormat="1" ht="11.5" x14ac:dyDescent="0.25">
      <c r="A8" s="1" t="s">
        <v>34</v>
      </c>
      <c r="B8" s="1" t="s">
        <v>28</v>
      </c>
      <c r="C8" s="1" t="s">
        <v>22</v>
      </c>
      <c r="D8" s="1">
        <v>1</v>
      </c>
      <c r="E8" s="1" t="s">
        <v>25</v>
      </c>
      <c r="F8" s="1" t="s">
        <v>22</v>
      </c>
      <c r="G8" s="1">
        <v>12437</v>
      </c>
      <c r="H8" s="1">
        <v>8387</v>
      </c>
      <c r="I8" s="1">
        <v>256</v>
      </c>
      <c r="J8" s="1">
        <v>360</v>
      </c>
      <c r="K8" s="1">
        <v>1</v>
      </c>
      <c r="L8" s="1" t="s">
        <v>30</v>
      </c>
      <c r="M8" s="1">
        <f>Table1[[#This Row],[ApplicantIncome]]+Table1[[#This Row],[CoapplicantIncome]]</f>
        <v>20824</v>
      </c>
      <c r="N8" s="1" t="s">
        <v>26</v>
      </c>
      <c r="O8" s="1" t="str">
        <f>IF(Table1[[#This Row],[Total_Income]]&lt;3000,"Low",IF(Table1[[#This Row],[Total_Income]]&lt;7000,"Medium","High"))</f>
        <v>High</v>
      </c>
      <c r="P8" s="1" t="str">
        <f t="shared" si="0"/>
        <v>Rejected</v>
      </c>
      <c r="Q8" s="1" t="str">
        <f t="shared" si="1"/>
        <v>Low Risk</v>
      </c>
      <c r="R8" s="2">
        <f t="shared" si="2"/>
        <v>1878.4373091312029</v>
      </c>
    </row>
    <row r="9" spans="1:18" s="1" customFormat="1" ht="11.5" x14ac:dyDescent="0.25">
      <c r="A9" s="1" t="s">
        <v>35</v>
      </c>
      <c r="B9" s="1" t="s">
        <v>52</v>
      </c>
      <c r="C9" s="1" t="s">
        <v>22</v>
      </c>
      <c r="D9" s="1">
        <v>1</v>
      </c>
      <c r="E9" s="1" t="s">
        <v>25</v>
      </c>
      <c r="F9" s="1" t="s">
        <v>22</v>
      </c>
      <c r="G9" s="1">
        <v>12489</v>
      </c>
      <c r="H9" s="1">
        <v>8987</v>
      </c>
      <c r="I9" s="1">
        <v>115</v>
      </c>
      <c r="J9" s="1">
        <v>360</v>
      </c>
      <c r="K9" s="1">
        <v>0</v>
      </c>
      <c r="L9" s="1" t="s">
        <v>30</v>
      </c>
      <c r="M9" s="1">
        <f>Table1[[#This Row],[ApplicantIncome]]+Table1[[#This Row],[CoapplicantIncome]]</f>
        <v>21476</v>
      </c>
      <c r="N9" s="1" t="s">
        <v>20</v>
      </c>
      <c r="O9" s="1" t="str">
        <f>IF(Table1[[#This Row],[Total_Income]]&lt;3000,"Low",IF(Table1[[#This Row],[Total_Income]]&lt;7000,"Medium","High"))</f>
        <v>High</v>
      </c>
      <c r="P9" s="1" t="str">
        <f t="shared" si="0"/>
        <v>Approved</v>
      </c>
      <c r="Q9" s="1" t="str">
        <f t="shared" si="1"/>
        <v>High Risk</v>
      </c>
      <c r="R9" s="2">
        <f t="shared" si="2"/>
        <v>843.82925996128267</v>
      </c>
    </row>
    <row r="10" spans="1:18" s="1" customFormat="1" ht="11.5" x14ac:dyDescent="0.25">
      <c r="A10" s="1" t="s">
        <v>37</v>
      </c>
      <c r="B10" s="1" t="s">
        <v>28</v>
      </c>
      <c r="C10" s="1" t="s">
        <v>29</v>
      </c>
      <c r="D10" s="1">
        <v>2</v>
      </c>
      <c r="E10" s="1" t="s">
        <v>25</v>
      </c>
      <c r="F10" s="1" t="s">
        <v>22</v>
      </c>
      <c r="G10" s="1">
        <v>19536</v>
      </c>
      <c r="H10" s="1">
        <v>4142</v>
      </c>
      <c r="I10" s="1">
        <v>292</v>
      </c>
      <c r="J10" s="1">
        <v>360</v>
      </c>
      <c r="K10" s="1">
        <v>1</v>
      </c>
      <c r="L10" s="1" t="s">
        <v>19</v>
      </c>
      <c r="M10" s="1">
        <f>Table1[[#This Row],[ApplicantIncome]]+Table1[[#This Row],[CoapplicantIncome]]</f>
        <v>23678</v>
      </c>
      <c r="N10" s="1" t="s">
        <v>26</v>
      </c>
      <c r="O10" s="1" t="str">
        <f>IF(Table1[[#This Row],[Total_Income]]&lt;3000,"Low",IF(Table1[[#This Row],[Total_Income]]&lt;7000,"Medium","High"))</f>
        <v>High</v>
      </c>
      <c r="P10" s="1" t="str">
        <f t="shared" si="0"/>
        <v>Rejected</v>
      </c>
      <c r="Q10" s="1" t="str">
        <f t="shared" si="1"/>
        <v>Low Risk</v>
      </c>
      <c r="R10" s="2">
        <f t="shared" si="2"/>
        <v>2142.5925557277783</v>
      </c>
    </row>
    <row r="11" spans="1:18" s="1" customFormat="1" ht="11.5" x14ac:dyDescent="0.25">
      <c r="A11" s="1" t="s">
        <v>38</v>
      </c>
      <c r="B11" s="1" t="s">
        <v>1238</v>
      </c>
      <c r="C11" s="1" t="s">
        <v>22</v>
      </c>
      <c r="D11" s="1">
        <v>0</v>
      </c>
      <c r="E11" s="1" t="s">
        <v>25</v>
      </c>
      <c r="F11" s="1" t="s">
        <v>22</v>
      </c>
      <c r="G11" s="1">
        <v>4932</v>
      </c>
      <c r="H11" s="1">
        <v>6375</v>
      </c>
      <c r="I11" s="1">
        <v>559</v>
      </c>
      <c r="J11" s="1">
        <v>120</v>
      </c>
      <c r="K11" s="1">
        <v>0</v>
      </c>
      <c r="L11" s="1" t="s">
        <v>30</v>
      </c>
      <c r="M11" s="1">
        <f>Table1[[#This Row],[ApplicantIncome]]+Table1[[#This Row],[CoapplicantIncome]]</f>
        <v>11307</v>
      </c>
      <c r="N11" s="1" t="s">
        <v>26</v>
      </c>
      <c r="O11" s="1" t="str">
        <f>IF(Table1[[#This Row],[Total_Income]]&lt;3000,"Low",IF(Table1[[#This Row],[Total_Income]]&lt;7000,"Medium","High"))</f>
        <v>High</v>
      </c>
      <c r="P11" s="1" t="str">
        <f t="shared" si="0"/>
        <v>Rejected</v>
      </c>
      <c r="Q11" s="1" t="str">
        <f t="shared" si="1"/>
        <v>High Risk</v>
      </c>
      <c r="R11" s="2">
        <f t="shared" si="2"/>
        <v>6782.2125244644521</v>
      </c>
    </row>
    <row r="12" spans="1:18" s="1" customFormat="1" ht="11.5" x14ac:dyDescent="0.25">
      <c r="A12" s="1" t="s">
        <v>39</v>
      </c>
      <c r="B12" s="1" t="s">
        <v>1238</v>
      </c>
      <c r="C12" s="1" t="s">
        <v>29</v>
      </c>
      <c r="D12" s="1">
        <v>0</v>
      </c>
      <c r="E12" s="1" t="s">
        <v>25</v>
      </c>
      <c r="F12" s="1" t="s">
        <v>22</v>
      </c>
      <c r="G12" s="1">
        <v>3393</v>
      </c>
      <c r="H12" s="1">
        <v>1654</v>
      </c>
      <c r="I12" s="1">
        <v>698</v>
      </c>
      <c r="J12" s="1">
        <v>180</v>
      </c>
      <c r="K12" s="1">
        <v>0</v>
      </c>
      <c r="L12" s="1" t="s">
        <v>19</v>
      </c>
      <c r="M12" s="1">
        <f>Table1[[#This Row],[ApplicantIncome]]+Table1[[#This Row],[CoapplicantIncome]]</f>
        <v>5047</v>
      </c>
      <c r="N12" s="1" t="s">
        <v>20</v>
      </c>
      <c r="O12" s="1" t="str">
        <f>IF(Table1[[#This Row],[Total_Income]]&lt;3000,"Low",IF(Table1[[#This Row],[Total_Income]]&lt;7000,"Medium","High"))</f>
        <v>Medium</v>
      </c>
      <c r="P12" s="1" t="str">
        <f t="shared" si="0"/>
        <v>Approved</v>
      </c>
      <c r="Q12" s="1" t="str">
        <f t="shared" si="1"/>
        <v>High Risk</v>
      </c>
      <c r="R12" s="2">
        <f t="shared" si="2"/>
        <v>6670.4515486258533</v>
      </c>
    </row>
    <row r="13" spans="1:18" s="1" customFormat="1" ht="11.5" x14ac:dyDescent="0.25">
      <c r="A13" s="1" t="s">
        <v>40</v>
      </c>
      <c r="B13" s="1" t="s">
        <v>1238</v>
      </c>
      <c r="C13" s="1" t="s">
        <v>29</v>
      </c>
      <c r="D13" s="1">
        <v>2</v>
      </c>
      <c r="E13" s="1" t="s">
        <v>25</v>
      </c>
      <c r="F13" s="1" t="s">
        <v>22</v>
      </c>
      <c r="G13" s="1">
        <v>10051</v>
      </c>
      <c r="H13" s="1">
        <v>719</v>
      </c>
      <c r="I13" s="1">
        <v>354</v>
      </c>
      <c r="J13" s="1">
        <v>360</v>
      </c>
      <c r="K13" s="1">
        <v>0</v>
      </c>
      <c r="L13" s="1" t="s">
        <v>41</v>
      </c>
      <c r="M13" s="1">
        <f>Table1[[#This Row],[ApplicantIncome]]+Table1[[#This Row],[CoapplicantIncome]]</f>
        <v>10770</v>
      </c>
      <c r="N13" s="1" t="s">
        <v>26</v>
      </c>
      <c r="O13" s="1" t="str">
        <f>IF(Table1[[#This Row],[Total_Income]]&lt;3000,"Low",IF(Table1[[#This Row],[Total_Income]]&lt;7000,"Medium","High"))</f>
        <v>High</v>
      </c>
      <c r="P13" s="1" t="str">
        <f t="shared" si="0"/>
        <v>Rejected</v>
      </c>
      <c r="Q13" s="1" t="str">
        <f t="shared" si="1"/>
        <v>High Risk</v>
      </c>
      <c r="R13" s="2">
        <f t="shared" si="2"/>
        <v>2597.5265915329919</v>
      </c>
    </row>
    <row r="14" spans="1:18" s="1" customFormat="1" ht="11.5" x14ac:dyDescent="0.25">
      <c r="A14" s="1" t="s">
        <v>42</v>
      </c>
      <c r="B14" s="1" t="s">
        <v>28</v>
      </c>
      <c r="C14" s="1" t="s">
        <v>22</v>
      </c>
      <c r="D14" s="1">
        <v>0</v>
      </c>
      <c r="E14" s="1" t="s">
        <v>17</v>
      </c>
      <c r="F14" s="1" t="s">
        <v>22</v>
      </c>
      <c r="G14" s="1">
        <v>10195</v>
      </c>
      <c r="H14" s="1">
        <v>3069</v>
      </c>
      <c r="I14" s="1">
        <v>592</v>
      </c>
      <c r="J14" s="1">
        <v>360</v>
      </c>
      <c r="K14" s="1">
        <v>1</v>
      </c>
      <c r="L14" s="1" t="s">
        <v>30</v>
      </c>
      <c r="M14" s="1">
        <f>Table1[[#This Row],[ApplicantIncome]]+Table1[[#This Row],[CoapplicantIncome]]</f>
        <v>13264</v>
      </c>
      <c r="N14" s="1" t="s">
        <v>20</v>
      </c>
      <c r="O14" s="1" t="str">
        <f>IF(Table1[[#This Row],[Total_Income]]&lt;3000,"Low",IF(Table1[[#This Row],[Total_Income]]&lt;7000,"Medium","High"))</f>
        <v>High</v>
      </c>
      <c r="P14" s="1" t="str">
        <f t="shared" si="0"/>
        <v>Approved</v>
      </c>
      <c r="Q14" s="1" t="str">
        <f t="shared" si="1"/>
        <v>Low Risk</v>
      </c>
      <c r="R14" s="2">
        <f t="shared" si="2"/>
        <v>4343.8862773659066</v>
      </c>
    </row>
    <row r="15" spans="1:18" s="1" customFormat="1" ht="11.5" x14ac:dyDescent="0.25">
      <c r="A15" s="1" t="s">
        <v>44</v>
      </c>
      <c r="B15" s="1" t="s">
        <v>1238</v>
      </c>
      <c r="C15" s="1" t="s">
        <v>29</v>
      </c>
      <c r="D15" s="1">
        <v>2</v>
      </c>
      <c r="E15" s="1" t="s">
        <v>17</v>
      </c>
      <c r="F15" s="1" t="s">
        <v>29</v>
      </c>
      <c r="G15" s="1">
        <v>2216</v>
      </c>
      <c r="H15" s="1">
        <v>5207</v>
      </c>
      <c r="I15" s="1">
        <v>676</v>
      </c>
      <c r="J15" s="1">
        <v>360</v>
      </c>
      <c r="K15" s="1">
        <v>0</v>
      </c>
      <c r="L15" s="1" t="s">
        <v>19</v>
      </c>
      <c r="M15" s="1">
        <f>Table1[[#This Row],[ApplicantIncome]]+Table1[[#This Row],[CoapplicantIncome]]</f>
        <v>7423</v>
      </c>
      <c r="N15" s="1" t="s">
        <v>26</v>
      </c>
      <c r="O15" s="1" t="str">
        <f>IF(Table1[[#This Row],[Total_Income]]&lt;3000,"Low",IF(Table1[[#This Row],[Total_Income]]&lt;7000,"Medium","High"))</f>
        <v>High</v>
      </c>
      <c r="P15" s="1" t="str">
        <f t="shared" si="0"/>
        <v>Rejected</v>
      </c>
      <c r="Q15" s="1" t="str">
        <f t="shared" si="1"/>
        <v>High Risk</v>
      </c>
      <c r="R15" s="2">
        <f t="shared" si="2"/>
        <v>4960.2485194245828</v>
      </c>
    </row>
    <row r="16" spans="1:18" s="1" customFormat="1" ht="11.5" x14ac:dyDescent="0.25">
      <c r="A16" s="1" t="s">
        <v>45</v>
      </c>
      <c r="B16" s="1" t="s">
        <v>28</v>
      </c>
      <c r="C16" s="1" t="s">
        <v>29</v>
      </c>
      <c r="D16" s="1">
        <v>2</v>
      </c>
      <c r="E16" s="1" t="s">
        <v>25</v>
      </c>
      <c r="F16" s="1" t="s">
        <v>22</v>
      </c>
      <c r="G16" s="1">
        <v>5778</v>
      </c>
      <c r="H16" s="1">
        <v>7888</v>
      </c>
      <c r="I16" s="1">
        <v>698</v>
      </c>
      <c r="J16" s="1">
        <v>360</v>
      </c>
      <c r="K16" s="1">
        <v>1</v>
      </c>
      <c r="L16" s="1" t="s">
        <v>19</v>
      </c>
      <c r="M16" s="1">
        <f>Table1[[#This Row],[ApplicantIncome]]+Table1[[#This Row],[CoapplicantIncome]]</f>
        <v>13666</v>
      </c>
      <c r="N16" s="1" t="s">
        <v>26</v>
      </c>
      <c r="O16" s="1" t="str">
        <f>IF(Table1[[#This Row],[Total_Income]]&lt;3000,"Low",IF(Table1[[#This Row],[Total_Income]]&lt;7000,"Medium","High"))</f>
        <v>High</v>
      </c>
      <c r="P16" s="1" t="str">
        <f t="shared" si="0"/>
        <v>Rejected</v>
      </c>
      <c r="Q16" s="1" t="str">
        <f t="shared" si="1"/>
        <v>Low Risk</v>
      </c>
      <c r="R16" s="2">
        <f t="shared" si="2"/>
        <v>5121.6767256780458</v>
      </c>
    </row>
    <row r="17" spans="1:18" s="1" customFormat="1" ht="11.5" x14ac:dyDescent="0.25">
      <c r="A17" s="1" t="s">
        <v>46</v>
      </c>
      <c r="B17" s="1" t="s">
        <v>28</v>
      </c>
      <c r="C17" s="1" t="s">
        <v>29</v>
      </c>
      <c r="D17" s="1" t="s">
        <v>16</v>
      </c>
      <c r="E17" s="1" t="s">
        <v>25</v>
      </c>
      <c r="F17" s="1" t="s">
        <v>22</v>
      </c>
      <c r="G17" s="1">
        <v>10958</v>
      </c>
      <c r="H17" s="1">
        <v>3181</v>
      </c>
      <c r="I17" s="1">
        <v>199</v>
      </c>
      <c r="J17" s="1">
        <v>120</v>
      </c>
      <c r="K17" s="1">
        <v>1</v>
      </c>
      <c r="L17" s="1" t="s">
        <v>19</v>
      </c>
      <c r="M17" s="1">
        <f>Table1[[#This Row],[ApplicantIncome]]+Table1[[#This Row],[CoapplicantIncome]]</f>
        <v>14139</v>
      </c>
      <c r="N17" s="1" t="s">
        <v>26</v>
      </c>
      <c r="O17" s="1" t="str">
        <f>IF(Table1[[#This Row],[Total_Income]]&lt;3000,"Low",IF(Table1[[#This Row],[Total_Income]]&lt;7000,"Medium","High"))</f>
        <v>High</v>
      </c>
      <c r="P17" s="1" t="str">
        <f t="shared" si="0"/>
        <v>Rejected</v>
      </c>
      <c r="Q17" s="1" t="str">
        <f t="shared" si="1"/>
        <v>Low Risk</v>
      </c>
      <c r="R17" s="2">
        <f t="shared" si="2"/>
        <v>2414.4191276716028</v>
      </c>
    </row>
    <row r="18" spans="1:18" s="1" customFormat="1" ht="11.5" x14ac:dyDescent="0.25">
      <c r="A18" s="1" t="s">
        <v>47</v>
      </c>
      <c r="B18" s="1" t="s">
        <v>52</v>
      </c>
      <c r="C18" s="1" t="s">
        <v>29</v>
      </c>
      <c r="D18" s="1" t="s">
        <v>16</v>
      </c>
      <c r="E18" s="1" t="s">
        <v>25</v>
      </c>
      <c r="F18" s="1" t="s">
        <v>22</v>
      </c>
      <c r="G18" s="1">
        <v>7377</v>
      </c>
      <c r="H18" s="1">
        <v>5147</v>
      </c>
      <c r="I18" s="1">
        <v>239</v>
      </c>
      <c r="J18" s="1">
        <v>120</v>
      </c>
      <c r="K18" s="1">
        <v>0</v>
      </c>
      <c r="L18" s="1" t="s">
        <v>19</v>
      </c>
      <c r="M18" s="1">
        <f>Table1[[#This Row],[ApplicantIncome]]+Table1[[#This Row],[CoapplicantIncome]]</f>
        <v>12524</v>
      </c>
      <c r="N18" s="1" t="s">
        <v>26</v>
      </c>
      <c r="O18" s="1" t="str">
        <f>IF(Table1[[#This Row],[Total_Income]]&lt;3000,"Low",IF(Table1[[#This Row],[Total_Income]]&lt;7000,"Medium","High"))</f>
        <v>High</v>
      </c>
      <c r="P18" s="1" t="str">
        <f t="shared" si="0"/>
        <v>Rejected</v>
      </c>
      <c r="Q18" s="1" t="str">
        <f t="shared" si="1"/>
        <v>High Risk</v>
      </c>
      <c r="R18" s="2">
        <f t="shared" si="2"/>
        <v>2899.7295050930302</v>
      </c>
    </row>
    <row r="19" spans="1:18" s="1" customFormat="1" ht="11.5" x14ac:dyDescent="0.25">
      <c r="A19" s="1" t="s">
        <v>48</v>
      </c>
      <c r="B19" s="1" t="s">
        <v>52</v>
      </c>
      <c r="C19" s="1" t="s">
        <v>22</v>
      </c>
      <c r="D19" s="1">
        <v>2</v>
      </c>
      <c r="E19" s="1" t="s">
        <v>17</v>
      </c>
      <c r="F19" s="1" t="s">
        <v>22</v>
      </c>
      <c r="G19" s="1">
        <v>14269</v>
      </c>
      <c r="H19" s="1">
        <v>2992</v>
      </c>
      <c r="I19" s="1">
        <v>547</v>
      </c>
      <c r="J19" s="1">
        <v>360</v>
      </c>
      <c r="K19" s="1">
        <v>0</v>
      </c>
      <c r="L19" s="1" t="s">
        <v>41</v>
      </c>
      <c r="M19" s="1">
        <f>Table1[[#This Row],[ApplicantIncome]]+Table1[[#This Row],[CoapplicantIncome]]</f>
        <v>17261</v>
      </c>
      <c r="N19" s="1" t="s">
        <v>20</v>
      </c>
      <c r="O19" s="1" t="str">
        <f>IF(Table1[[#This Row],[Total_Income]]&lt;3000,"Low",IF(Table1[[#This Row],[Total_Income]]&lt;7000,"Medium","High"))</f>
        <v>High</v>
      </c>
      <c r="P19" s="1" t="str">
        <f t="shared" si="0"/>
        <v>Approved</v>
      </c>
      <c r="Q19" s="1" t="str">
        <f t="shared" si="1"/>
        <v>High Risk</v>
      </c>
      <c r="R19" s="2">
        <f t="shared" si="2"/>
        <v>4013.6922191201875</v>
      </c>
    </row>
    <row r="20" spans="1:18" s="1" customFormat="1" ht="11.5" x14ac:dyDescent="0.25">
      <c r="A20" s="1" t="s">
        <v>49</v>
      </c>
      <c r="B20" s="1" t="s">
        <v>52</v>
      </c>
      <c r="C20" s="1" t="s">
        <v>22</v>
      </c>
      <c r="D20" s="1" t="s">
        <v>16</v>
      </c>
      <c r="E20" s="1" t="s">
        <v>25</v>
      </c>
      <c r="F20" s="1" t="s">
        <v>22</v>
      </c>
      <c r="G20" s="1">
        <v>10982</v>
      </c>
      <c r="H20" s="1">
        <v>9491</v>
      </c>
      <c r="I20" s="1">
        <v>609</v>
      </c>
      <c r="J20" s="1">
        <v>360</v>
      </c>
      <c r="K20" s="1">
        <v>0</v>
      </c>
      <c r="L20" s="1" t="s">
        <v>19</v>
      </c>
      <c r="M20" s="1">
        <f>Table1[[#This Row],[ApplicantIncome]]+Table1[[#This Row],[CoapplicantIncome]]</f>
        <v>20473</v>
      </c>
      <c r="N20" s="1" t="s">
        <v>26</v>
      </c>
      <c r="O20" s="1" t="str">
        <f>IF(Table1[[#This Row],[Total_Income]]&lt;3000,"Low",IF(Table1[[#This Row],[Total_Income]]&lt;7000,"Medium","High"))</f>
        <v>High</v>
      </c>
      <c r="P20" s="1" t="str">
        <f t="shared" si="0"/>
        <v>Rejected</v>
      </c>
      <c r="Q20" s="1" t="str">
        <f t="shared" si="1"/>
        <v>High Risk</v>
      </c>
      <c r="R20" s="2">
        <f t="shared" si="2"/>
        <v>4468.6262549254016</v>
      </c>
    </row>
    <row r="21" spans="1:18" s="1" customFormat="1" ht="11.5" x14ac:dyDescent="0.25">
      <c r="A21" s="1" t="s">
        <v>50</v>
      </c>
      <c r="B21" s="1" t="s">
        <v>1238</v>
      </c>
      <c r="C21" s="1" t="s">
        <v>22</v>
      </c>
      <c r="D21" s="1">
        <v>2</v>
      </c>
      <c r="E21" s="1" t="s">
        <v>25</v>
      </c>
      <c r="F21" s="1" t="s">
        <v>22</v>
      </c>
      <c r="G21" s="1">
        <v>12082</v>
      </c>
      <c r="H21" s="1">
        <v>8735</v>
      </c>
      <c r="I21" s="1">
        <v>145</v>
      </c>
      <c r="J21" s="1">
        <v>120</v>
      </c>
      <c r="K21" s="1">
        <v>0</v>
      </c>
      <c r="L21" s="1" t="s">
        <v>19</v>
      </c>
      <c r="M21" s="1">
        <f>Table1[[#This Row],[ApplicantIncome]]+Table1[[#This Row],[CoapplicantIncome]]</f>
        <v>20817</v>
      </c>
      <c r="N21" s="1" t="s">
        <v>20</v>
      </c>
      <c r="O21" s="1" t="str">
        <f>IF(Table1[[#This Row],[Total_Income]]&lt;3000,"Low",IF(Table1[[#This Row],[Total_Income]]&lt;7000,"Medium","High"))</f>
        <v>High</v>
      </c>
      <c r="P21" s="1" t="str">
        <f t="shared" si="0"/>
        <v>Approved</v>
      </c>
      <c r="Q21" s="1" t="str">
        <f t="shared" si="1"/>
        <v>High Risk</v>
      </c>
      <c r="R21" s="2">
        <f t="shared" si="2"/>
        <v>1759.2501181526754</v>
      </c>
    </row>
    <row r="22" spans="1:18" s="1" customFormat="1" ht="11.5" x14ac:dyDescent="0.25">
      <c r="A22" s="1" t="s">
        <v>51</v>
      </c>
      <c r="B22" s="1" t="s">
        <v>52</v>
      </c>
      <c r="C22" s="1" t="s">
        <v>22</v>
      </c>
      <c r="D22" s="1">
        <v>0</v>
      </c>
      <c r="E22" s="1" t="s">
        <v>25</v>
      </c>
      <c r="F22" s="1" t="s">
        <v>22</v>
      </c>
      <c r="G22" s="1">
        <v>19383</v>
      </c>
      <c r="H22" s="1">
        <v>433</v>
      </c>
      <c r="I22" s="1">
        <v>259</v>
      </c>
      <c r="J22" s="1">
        <v>360</v>
      </c>
      <c r="K22" s="1">
        <v>1</v>
      </c>
      <c r="L22" s="1" t="s">
        <v>41</v>
      </c>
      <c r="M22" s="1">
        <f>Table1[[#This Row],[ApplicantIncome]]+Table1[[#This Row],[CoapplicantIncome]]</f>
        <v>19816</v>
      </c>
      <c r="N22" s="1" t="s">
        <v>20</v>
      </c>
      <c r="O22" s="1" t="str">
        <f>IF(Table1[[#This Row],[Total_Income]]&lt;3000,"Low",IF(Table1[[#This Row],[Total_Income]]&lt;7000,"Medium","High"))</f>
        <v>High</v>
      </c>
      <c r="P22" s="1" t="str">
        <f t="shared" si="0"/>
        <v>Approved</v>
      </c>
      <c r="Q22" s="1" t="str">
        <f t="shared" si="1"/>
        <v>Low Risk</v>
      </c>
      <c r="R22" s="2">
        <f t="shared" si="2"/>
        <v>1900.4502463475844</v>
      </c>
    </row>
    <row r="23" spans="1:18" s="1" customFormat="1" ht="11.5" x14ac:dyDescent="0.25">
      <c r="A23" s="1" t="s">
        <v>53</v>
      </c>
      <c r="B23" s="1" t="s">
        <v>52</v>
      </c>
      <c r="C23" s="1" t="s">
        <v>29</v>
      </c>
      <c r="D23" s="1" t="s">
        <v>16</v>
      </c>
      <c r="E23" s="1" t="s">
        <v>25</v>
      </c>
      <c r="F23" s="1" t="s">
        <v>29</v>
      </c>
      <c r="G23" s="1">
        <v>2040</v>
      </c>
      <c r="H23" s="1">
        <v>148</v>
      </c>
      <c r="I23" s="1">
        <v>310</v>
      </c>
      <c r="J23" s="1">
        <v>180</v>
      </c>
      <c r="K23" s="1">
        <v>0</v>
      </c>
      <c r="L23" s="1" t="s">
        <v>41</v>
      </c>
      <c r="M23" s="1">
        <f>Table1[[#This Row],[ApplicantIncome]]+Table1[[#This Row],[CoapplicantIncome]]</f>
        <v>2188</v>
      </c>
      <c r="N23" s="1" t="s">
        <v>26</v>
      </c>
      <c r="O23" s="1" t="str">
        <f>IF(Table1[[#This Row],[Total_Income]]&lt;3000,"Low",IF(Table1[[#This Row],[Total_Income]]&lt;7000,"Medium","High"))</f>
        <v>Low</v>
      </c>
      <c r="P23" s="1" t="str">
        <f t="shared" si="0"/>
        <v>Rejected</v>
      </c>
      <c r="Q23" s="1" t="str">
        <f t="shared" si="1"/>
        <v>High Risk</v>
      </c>
      <c r="R23" s="2">
        <f t="shared" si="2"/>
        <v>2962.5214614240895</v>
      </c>
    </row>
    <row r="24" spans="1:18" s="1" customFormat="1" ht="11.5" x14ac:dyDescent="0.25">
      <c r="A24" s="1" t="s">
        <v>54</v>
      </c>
      <c r="B24" s="1" t="s">
        <v>1238</v>
      </c>
      <c r="C24" s="1" t="s">
        <v>22</v>
      </c>
      <c r="D24" s="1">
        <v>2</v>
      </c>
      <c r="E24" s="1" t="s">
        <v>17</v>
      </c>
      <c r="F24" s="1" t="s">
        <v>22</v>
      </c>
      <c r="G24" s="1">
        <v>17565</v>
      </c>
      <c r="H24" s="1">
        <v>1029</v>
      </c>
      <c r="I24" s="1">
        <v>316</v>
      </c>
      <c r="J24" s="1">
        <v>360</v>
      </c>
      <c r="K24" s="1">
        <v>1</v>
      </c>
      <c r="L24" s="1" t="s">
        <v>19</v>
      </c>
      <c r="M24" s="1">
        <f>Table1[[#This Row],[ApplicantIncome]]+Table1[[#This Row],[CoapplicantIncome]]</f>
        <v>18594</v>
      </c>
      <c r="N24" s="1" t="s">
        <v>26</v>
      </c>
      <c r="O24" s="1" t="str">
        <f>IF(Table1[[#This Row],[Total_Income]]&lt;3000,"Low",IF(Table1[[#This Row],[Total_Income]]&lt;7000,"Medium","High"))</f>
        <v>High</v>
      </c>
      <c r="P24" s="1" t="str">
        <f t="shared" si="0"/>
        <v>Rejected</v>
      </c>
      <c r="Q24" s="1" t="str">
        <f t="shared" si="1"/>
        <v>Low Risk</v>
      </c>
      <c r="R24" s="2">
        <f t="shared" si="2"/>
        <v>2318.6960534588288</v>
      </c>
    </row>
    <row r="25" spans="1:18" s="1" customFormat="1" ht="11.5" x14ac:dyDescent="0.25">
      <c r="A25" s="1" t="s">
        <v>55</v>
      </c>
      <c r="B25" s="1" t="s">
        <v>52</v>
      </c>
      <c r="C25" s="1" t="s">
        <v>22</v>
      </c>
      <c r="D25" s="1">
        <v>1</v>
      </c>
      <c r="E25" s="1" t="s">
        <v>17</v>
      </c>
      <c r="F25" s="1" t="s">
        <v>22</v>
      </c>
      <c r="G25" s="1">
        <v>7139</v>
      </c>
      <c r="H25" s="1">
        <v>5427</v>
      </c>
      <c r="I25" s="1">
        <v>338</v>
      </c>
      <c r="J25" s="1">
        <v>360</v>
      </c>
      <c r="K25" s="1">
        <v>0</v>
      </c>
      <c r="L25" s="1" t="s">
        <v>19</v>
      </c>
      <c r="M25" s="1">
        <f>Table1[[#This Row],[ApplicantIncome]]+Table1[[#This Row],[CoapplicantIncome]]</f>
        <v>12566</v>
      </c>
      <c r="N25" s="1" t="s">
        <v>26</v>
      </c>
      <c r="O25" s="1" t="str">
        <f>IF(Table1[[#This Row],[Total_Income]]&lt;3000,"Low",IF(Table1[[#This Row],[Total_Income]]&lt;7000,"Medium","High"))</f>
        <v>High</v>
      </c>
      <c r="P25" s="1" t="str">
        <f t="shared" si="0"/>
        <v>Rejected</v>
      </c>
      <c r="Q25" s="1" t="str">
        <f t="shared" si="1"/>
        <v>High Risk</v>
      </c>
      <c r="R25" s="2">
        <f t="shared" si="2"/>
        <v>2480.1242597122914</v>
      </c>
    </row>
    <row r="26" spans="1:18" s="1" customFormat="1" ht="11.5" x14ac:dyDescent="0.25">
      <c r="A26" s="1" t="s">
        <v>56</v>
      </c>
      <c r="B26" s="1" t="s">
        <v>52</v>
      </c>
      <c r="C26" s="1" t="s">
        <v>22</v>
      </c>
      <c r="D26" s="1">
        <v>1</v>
      </c>
      <c r="E26" s="1" t="s">
        <v>25</v>
      </c>
      <c r="F26" s="1" t="s">
        <v>22</v>
      </c>
      <c r="G26" s="1">
        <v>4235</v>
      </c>
      <c r="H26" s="1">
        <v>7396</v>
      </c>
      <c r="I26" s="1">
        <v>314</v>
      </c>
      <c r="J26" s="1">
        <v>120</v>
      </c>
      <c r="K26" s="1">
        <v>0</v>
      </c>
      <c r="L26" s="1" t="s">
        <v>41</v>
      </c>
      <c r="M26" s="1">
        <f>Table1[[#This Row],[ApplicantIncome]]+Table1[[#This Row],[CoapplicantIncome]]</f>
        <v>11631</v>
      </c>
      <c r="N26" s="1" t="s">
        <v>20</v>
      </c>
      <c r="O26" s="1" t="str">
        <f>IF(Table1[[#This Row],[Total_Income]]&lt;3000,"Low",IF(Table1[[#This Row],[Total_Income]]&lt;7000,"Medium","High"))</f>
        <v>High</v>
      </c>
      <c r="P26" s="1" t="str">
        <f t="shared" si="0"/>
        <v>Approved</v>
      </c>
      <c r="Q26" s="1" t="str">
        <f t="shared" si="1"/>
        <v>High Risk</v>
      </c>
      <c r="R26" s="2">
        <f t="shared" si="2"/>
        <v>3809.6864627582077</v>
      </c>
    </row>
    <row r="27" spans="1:18" s="1" customFormat="1" ht="11.5" x14ac:dyDescent="0.25">
      <c r="A27" s="1" t="s">
        <v>57</v>
      </c>
      <c r="B27" s="1" t="s">
        <v>1238</v>
      </c>
      <c r="C27" s="1" t="s">
        <v>22</v>
      </c>
      <c r="D27" s="1">
        <v>2</v>
      </c>
      <c r="E27" s="1" t="s">
        <v>25</v>
      </c>
      <c r="F27" s="1" t="s">
        <v>29</v>
      </c>
      <c r="G27" s="1">
        <v>18290</v>
      </c>
      <c r="H27" s="1">
        <v>7916</v>
      </c>
      <c r="I27" s="1">
        <v>100</v>
      </c>
      <c r="J27" s="1">
        <v>180</v>
      </c>
      <c r="K27" s="1">
        <v>0</v>
      </c>
      <c r="L27" s="1" t="s">
        <v>30</v>
      </c>
      <c r="M27" s="1">
        <f>Table1[[#This Row],[ApplicantIncome]]+Table1[[#This Row],[CoapplicantIncome]]</f>
        <v>26206</v>
      </c>
      <c r="N27" s="1" t="s">
        <v>20</v>
      </c>
      <c r="O27" s="1" t="str">
        <f>IF(Table1[[#This Row],[Total_Income]]&lt;3000,"Low",IF(Table1[[#This Row],[Total_Income]]&lt;7000,"Medium","High"))</f>
        <v>High</v>
      </c>
      <c r="P27" s="1" t="str">
        <f t="shared" si="0"/>
        <v>Approved</v>
      </c>
      <c r="Q27" s="1" t="str">
        <f t="shared" si="1"/>
        <v>High Risk</v>
      </c>
      <c r="R27" s="2">
        <f t="shared" si="2"/>
        <v>955.6520843303515</v>
      </c>
    </row>
    <row r="28" spans="1:18" s="1" customFormat="1" ht="11.5" x14ac:dyDescent="0.25">
      <c r="A28" s="1" t="s">
        <v>58</v>
      </c>
      <c r="B28" s="1" t="s">
        <v>1238</v>
      </c>
      <c r="C28" s="1" t="s">
        <v>29</v>
      </c>
      <c r="D28" s="1">
        <v>1</v>
      </c>
      <c r="E28" s="1" t="s">
        <v>25</v>
      </c>
      <c r="F28" s="1" t="s">
        <v>22</v>
      </c>
      <c r="G28" s="1">
        <v>11432</v>
      </c>
      <c r="H28" s="1">
        <v>4537</v>
      </c>
      <c r="I28" s="1">
        <v>496</v>
      </c>
      <c r="J28" s="1">
        <v>360</v>
      </c>
      <c r="K28" s="1">
        <v>0</v>
      </c>
      <c r="L28" s="1" t="s">
        <v>19</v>
      </c>
      <c r="M28" s="1">
        <f>Table1[[#This Row],[ApplicantIncome]]+Table1[[#This Row],[CoapplicantIncome]]</f>
        <v>15969</v>
      </c>
      <c r="N28" s="1" t="s">
        <v>26</v>
      </c>
      <c r="O28" s="1" t="str">
        <f>IF(Table1[[#This Row],[Total_Income]]&lt;3000,"Low",IF(Table1[[#This Row],[Total_Income]]&lt;7000,"Medium","High"))</f>
        <v>High</v>
      </c>
      <c r="P28" s="1" t="str">
        <f t="shared" si="0"/>
        <v>Rejected</v>
      </c>
      <c r="Q28" s="1" t="str">
        <f t="shared" si="1"/>
        <v>High Risk</v>
      </c>
      <c r="R28" s="2">
        <f t="shared" si="2"/>
        <v>3639.4722864417058</v>
      </c>
    </row>
    <row r="29" spans="1:18" s="1" customFormat="1" ht="11.5" x14ac:dyDescent="0.25">
      <c r="A29" s="1" t="s">
        <v>59</v>
      </c>
      <c r="B29" s="1" t="s">
        <v>1238</v>
      </c>
      <c r="C29" s="1" t="s">
        <v>22</v>
      </c>
      <c r="D29" s="1" t="s">
        <v>16</v>
      </c>
      <c r="E29" s="1" t="s">
        <v>25</v>
      </c>
      <c r="F29" s="1" t="s">
        <v>29</v>
      </c>
      <c r="G29" s="1">
        <v>12689</v>
      </c>
      <c r="H29" s="1">
        <v>1293</v>
      </c>
      <c r="I29" s="1">
        <v>331</v>
      </c>
      <c r="J29" s="1">
        <v>180</v>
      </c>
      <c r="K29" s="1">
        <v>1</v>
      </c>
      <c r="L29" s="1" t="s">
        <v>19</v>
      </c>
      <c r="M29" s="1">
        <f>Table1[[#This Row],[ApplicantIncome]]+Table1[[#This Row],[CoapplicantIncome]]</f>
        <v>13982</v>
      </c>
      <c r="N29" s="1" t="s">
        <v>26</v>
      </c>
      <c r="O29" s="1" t="str">
        <f>IF(Table1[[#This Row],[Total_Income]]&lt;3000,"Low",IF(Table1[[#This Row],[Total_Income]]&lt;7000,"Medium","High"))</f>
        <v>High</v>
      </c>
      <c r="P29" s="1" t="str">
        <f t="shared" si="0"/>
        <v>Rejected</v>
      </c>
      <c r="Q29" s="1" t="str">
        <f t="shared" si="1"/>
        <v>Low Risk</v>
      </c>
      <c r="R29" s="2">
        <f t="shared" si="2"/>
        <v>3163.208399133463</v>
      </c>
    </row>
    <row r="30" spans="1:18" s="1" customFormat="1" ht="11.5" x14ac:dyDescent="0.25">
      <c r="A30" s="1" t="s">
        <v>60</v>
      </c>
      <c r="B30" s="1" t="s">
        <v>28</v>
      </c>
      <c r="C30" s="1" t="s">
        <v>29</v>
      </c>
      <c r="D30" s="1" t="s">
        <v>16</v>
      </c>
      <c r="E30" s="1" t="s">
        <v>17</v>
      </c>
      <c r="F30" s="1" t="s">
        <v>22</v>
      </c>
      <c r="G30" s="1">
        <v>19452</v>
      </c>
      <c r="H30" s="1">
        <v>4925</v>
      </c>
      <c r="I30" s="1">
        <v>209</v>
      </c>
      <c r="J30" s="1">
        <v>180</v>
      </c>
      <c r="K30" s="1">
        <v>0</v>
      </c>
      <c r="L30" s="1" t="s">
        <v>30</v>
      </c>
      <c r="M30" s="1">
        <f>Table1[[#This Row],[ApplicantIncome]]+Table1[[#This Row],[CoapplicantIncome]]</f>
        <v>24377</v>
      </c>
      <c r="N30" s="1" t="s">
        <v>26</v>
      </c>
      <c r="O30" s="1" t="str">
        <f>IF(Table1[[#This Row],[Total_Income]]&lt;3000,"Low",IF(Table1[[#This Row],[Total_Income]]&lt;7000,"Medium","High"))</f>
        <v>High</v>
      </c>
      <c r="P30" s="1" t="str">
        <f t="shared" si="0"/>
        <v>Rejected</v>
      </c>
      <c r="Q30" s="1" t="str">
        <f t="shared" si="1"/>
        <v>High Risk</v>
      </c>
      <c r="R30" s="2">
        <f t="shared" si="2"/>
        <v>1997.3128562504346</v>
      </c>
    </row>
    <row r="31" spans="1:18" s="1" customFormat="1" ht="11.5" x14ac:dyDescent="0.25">
      <c r="A31" s="1" t="s">
        <v>62</v>
      </c>
      <c r="B31" s="1" t="s">
        <v>1238</v>
      </c>
      <c r="C31" s="1" t="s">
        <v>22</v>
      </c>
      <c r="D31" s="1" t="s">
        <v>16</v>
      </c>
      <c r="E31" s="1" t="s">
        <v>17</v>
      </c>
      <c r="F31" s="1" t="s">
        <v>29</v>
      </c>
      <c r="G31" s="1">
        <v>13457</v>
      </c>
      <c r="H31" s="1">
        <v>7151</v>
      </c>
      <c r="I31" s="1">
        <v>613</v>
      </c>
      <c r="J31" s="1">
        <v>360</v>
      </c>
      <c r="K31" s="1">
        <v>1</v>
      </c>
      <c r="L31" s="1" t="s">
        <v>30</v>
      </c>
      <c r="M31" s="1">
        <f>Table1[[#This Row],[ApplicantIncome]]+Table1[[#This Row],[CoapplicantIncome]]</f>
        <v>20608</v>
      </c>
      <c r="N31" s="1" t="s">
        <v>26</v>
      </c>
      <c r="O31" s="1" t="str">
        <f>IF(Table1[[#This Row],[Total_Income]]&lt;3000,"Low",IF(Table1[[#This Row],[Total_Income]]&lt;7000,"Medium","High"))</f>
        <v>High</v>
      </c>
      <c r="P31" s="1" t="str">
        <f t="shared" si="0"/>
        <v>Rejected</v>
      </c>
      <c r="Q31" s="1" t="str">
        <f t="shared" si="1"/>
        <v>Low Risk</v>
      </c>
      <c r="R31" s="2">
        <f t="shared" si="2"/>
        <v>4497.9768378805757</v>
      </c>
    </row>
    <row r="32" spans="1:18" s="1" customFormat="1" ht="11.5" x14ac:dyDescent="0.25">
      <c r="A32" s="1" t="s">
        <v>63</v>
      </c>
      <c r="B32" s="1" t="s">
        <v>28</v>
      </c>
      <c r="C32" s="1" t="s">
        <v>29</v>
      </c>
      <c r="D32" s="1">
        <v>1</v>
      </c>
      <c r="E32" s="1" t="s">
        <v>17</v>
      </c>
      <c r="F32" s="1" t="s">
        <v>22</v>
      </c>
      <c r="G32" s="1">
        <v>10021</v>
      </c>
      <c r="H32" s="1">
        <v>4440</v>
      </c>
      <c r="I32" s="1">
        <v>186</v>
      </c>
      <c r="J32" s="1">
        <v>180</v>
      </c>
      <c r="K32" s="1">
        <v>1</v>
      </c>
      <c r="L32" s="1" t="s">
        <v>30</v>
      </c>
      <c r="M32" s="1">
        <f>Table1[[#This Row],[ApplicantIncome]]+Table1[[#This Row],[CoapplicantIncome]]</f>
        <v>14461</v>
      </c>
      <c r="N32" s="1" t="s">
        <v>26</v>
      </c>
      <c r="O32" s="1" t="str">
        <f>IF(Table1[[#This Row],[Total_Income]]&lt;3000,"Low",IF(Table1[[#This Row],[Total_Income]]&lt;7000,"Medium","High"))</f>
        <v>High</v>
      </c>
      <c r="P32" s="1" t="str">
        <f t="shared" si="0"/>
        <v>Rejected</v>
      </c>
      <c r="Q32" s="1" t="str">
        <f t="shared" si="1"/>
        <v>Low Risk</v>
      </c>
      <c r="R32" s="2">
        <f t="shared" si="2"/>
        <v>1777.5128768544537</v>
      </c>
    </row>
    <row r="33" spans="1:18" s="1" customFormat="1" ht="11.5" x14ac:dyDescent="0.25">
      <c r="A33" s="1" t="s">
        <v>64</v>
      </c>
      <c r="B33" s="1" t="s">
        <v>52</v>
      </c>
      <c r="C33" s="1" t="s">
        <v>22</v>
      </c>
      <c r="D33" s="1">
        <v>1</v>
      </c>
      <c r="E33" s="1" t="s">
        <v>17</v>
      </c>
      <c r="F33" s="1" t="s">
        <v>29</v>
      </c>
      <c r="G33" s="1">
        <v>3342</v>
      </c>
      <c r="H33" s="1">
        <v>1081</v>
      </c>
      <c r="I33" s="1">
        <v>665</v>
      </c>
      <c r="J33" s="1">
        <v>360</v>
      </c>
      <c r="K33" s="1">
        <v>0</v>
      </c>
      <c r="L33" s="1" t="s">
        <v>19</v>
      </c>
      <c r="M33" s="1">
        <f>Table1[[#This Row],[ApplicantIncome]]+Table1[[#This Row],[CoapplicantIncome]]</f>
        <v>4423</v>
      </c>
      <c r="N33" s="1" t="s">
        <v>20</v>
      </c>
      <c r="O33" s="1" t="str">
        <f>IF(Table1[[#This Row],[Total_Income]]&lt;3000,"Low",IF(Table1[[#This Row],[Total_Income]]&lt;7000,"Medium","High"))</f>
        <v>Medium</v>
      </c>
      <c r="P33" s="1" t="str">
        <f t="shared" si="0"/>
        <v>Approved</v>
      </c>
      <c r="Q33" s="1" t="str">
        <f t="shared" si="1"/>
        <v>High Risk</v>
      </c>
      <c r="R33" s="2">
        <f t="shared" si="2"/>
        <v>4879.5344162978517</v>
      </c>
    </row>
    <row r="34" spans="1:18" s="1" customFormat="1" ht="11.5" x14ac:dyDescent="0.25">
      <c r="A34" s="1" t="s">
        <v>65</v>
      </c>
      <c r="B34" s="1" t="s">
        <v>28</v>
      </c>
      <c r="C34" s="1" t="s">
        <v>29</v>
      </c>
      <c r="D34" s="1">
        <v>1</v>
      </c>
      <c r="E34" s="1" t="s">
        <v>25</v>
      </c>
      <c r="F34" s="1" t="s">
        <v>22</v>
      </c>
      <c r="G34" s="1">
        <v>6132</v>
      </c>
      <c r="H34" s="1">
        <v>3793</v>
      </c>
      <c r="I34" s="1">
        <v>133</v>
      </c>
      <c r="J34" s="1">
        <v>360</v>
      </c>
      <c r="K34" s="1">
        <v>1</v>
      </c>
      <c r="L34" s="1" t="s">
        <v>41</v>
      </c>
      <c r="M34" s="1">
        <f>Table1[[#This Row],[ApplicantIncome]]+Table1[[#This Row],[CoapplicantIncome]]</f>
        <v>9925</v>
      </c>
      <c r="N34" s="1" t="s">
        <v>26</v>
      </c>
      <c r="O34" s="1" t="str">
        <f>IF(Table1[[#This Row],[Total_Income]]&lt;3000,"Low",IF(Table1[[#This Row],[Total_Income]]&lt;7000,"Medium","High"))</f>
        <v>High</v>
      </c>
      <c r="P34" s="1" t="str">
        <f t="shared" si="0"/>
        <v>Rejected</v>
      </c>
      <c r="Q34" s="1" t="str">
        <f t="shared" si="1"/>
        <v>Low Risk</v>
      </c>
      <c r="R34" s="2">
        <f t="shared" si="2"/>
        <v>975.90688325957035</v>
      </c>
    </row>
    <row r="35" spans="1:18" s="1" customFormat="1" ht="11.5" x14ac:dyDescent="0.25">
      <c r="A35" s="1" t="s">
        <v>66</v>
      </c>
      <c r="B35" s="1" t="s">
        <v>28</v>
      </c>
      <c r="C35" s="1" t="s">
        <v>22</v>
      </c>
      <c r="D35" s="1">
        <v>2</v>
      </c>
      <c r="E35" s="1" t="s">
        <v>17</v>
      </c>
      <c r="F35" s="1" t="s">
        <v>22</v>
      </c>
      <c r="G35" s="1">
        <v>15503</v>
      </c>
      <c r="H35" s="1">
        <v>3603</v>
      </c>
      <c r="I35" s="1">
        <v>83</v>
      </c>
      <c r="J35" s="1">
        <v>180</v>
      </c>
      <c r="K35" s="1">
        <v>0</v>
      </c>
      <c r="L35" s="1" t="s">
        <v>19</v>
      </c>
      <c r="M35" s="1">
        <f>Table1[[#This Row],[ApplicantIncome]]+Table1[[#This Row],[CoapplicantIncome]]</f>
        <v>19106</v>
      </c>
      <c r="N35" s="1" t="s">
        <v>26</v>
      </c>
      <c r="O35" s="1" t="str">
        <f>IF(Table1[[#This Row],[Total_Income]]&lt;3000,"Low",IF(Table1[[#This Row],[Total_Income]]&lt;7000,"Medium","High"))</f>
        <v>High</v>
      </c>
      <c r="P35" s="1" t="str">
        <f t="shared" si="0"/>
        <v>Rejected</v>
      </c>
      <c r="Q35" s="1" t="str">
        <f t="shared" si="1"/>
        <v>High Risk</v>
      </c>
      <c r="R35" s="2">
        <f t="shared" si="2"/>
        <v>793.19122999419176</v>
      </c>
    </row>
    <row r="36" spans="1:18" s="1" customFormat="1" ht="11.5" x14ac:dyDescent="0.25">
      <c r="A36" s="1" t="s">
        <v>67</v>
      </c>
      <c r="B36" s="1" t="s">
        <v>28</v>
      </c>
      <c r="C36" s="1" t="s">
        <v>29</v>
      </c>
      <c r="D36" s="1">
        <v>0</v>
      </c>
      <c r="E36" s="1" t="s">
        <v>25</v>
      </c>
      <c r="F36" s="1" t="s">
        <v>22</v>
      </c>
      <c r="G36" s="1">
        <v>6460</v>
      </c>
      <c r="H36" s="1">
        <v>3341</v>
      </c>
      <c r="I36" s="1">
        <v>116</v>
      </c>
      <c r="J36" s="1">
        <v>360</v>
      </c>
      <c r="K36" s="1">
        <v>1</v>
      </c>
      <c r="L36" s="1" t="s">
        <v>30</v>
      </c>
      <c r="M36" s="1">
        <f>Table1[[#This Row],[ApplicantIncome]]+Table1[[#This Row],[CoapplicantIncome]]</f>
        <v>9801</v>
      </c>
      <c r="N36" s="1" t="s">
        <v>26</v>
      </c>
      <c r="O36" s="1" t="str">
        <f>IF(Table1[[#This Row],[Total_Income]]&lt;3000,"Low",IF(Table1[[#This Row],[Total_Income]]&lt;7000,"Medium","High"))</f>
        <v>High</v>
      </c>
      <c r="P36" s="1" t="str">
        <f t="shared" si="0"/>
        <v>Rejected</v>
      </c>
      <c r="Q36" s="1" t="str">
        <f t="shared" si="1"/>
        <v>Low Risk</v>
      </c>
      <c r="R36" s="2">
        <f t="shared" si="2"/>
        <v>851.16690570007631</v>
      </c>
    </row>
    <row r="37" spans="1:18" s="1" customFormat="1" ht="11.5" x14ac:dyDescent="0.25">
      <c r="A37" s="1" t="s">
        <v>68</v>
      </c>
      <c r="B37" s="1" t="s">
        <v>1238</v>
      </c>
      <c r="C37" s="1" t="s">
        <v>29</v>
      </c>
      <c r="D37" s="1">
        <v>2</v>
      </c>
      <c r="E37" s="1" t="s">
        <v>17</v>
      </c>
      <c r="F37" s="1" t="s">
        <v>22</v>
      </c>
      <c r="G37" s="1">
        <v>17702</v>
      </c>
      <c r="H37" s="1">
        <v>8789</v>
      </c>
      <c r="I37" s="1">
        <v>671</v>
      </c>
      <c r="J37" s="1">
        <v>360</v>
      </c>
      <c r="K37" s="1">
        <v>0</v>
      </c>
      <c r="L37" s="1" t="s">
        <v>41</v>
      </c>
      <c r="M37" s="1">
        <f>Table1[[#This Row],[ApplicantIncome]]+Table1[[#This Row],[CoapplicantIncome]]</f>
        <v>26491</v>
      </c>
      <c r="N37" s="1" t="s">
        <v>26</v>
      </c>
      <c r="O37" s="1" t="str">
        <f>IF(Table1[[#This Row],[Total_Income]]&lt;3000,"Low",IF(Table1[[#This Row],[Total_Income]]&lt;7000,"Medium","High"))</f>
        <v>High</v>
      </c>
      <c r="P37" s="1" t="str">
        <f t="shared" si="0"/>
        <v>Rejected</v>
      </c>
      <c r="Q37" s="1" t="str">
        <f t="shared" si="1"/>
        <v>High Risk</v>
      </c>
      <c r="R37" s="2">
        <f t="shared" si="2"/>
        <v>4923.5602907306147</v>
      </c>
    </row>
    <row r="38" spans="1:18" s="1" customFormat="1" ht="11.5" x14ac:dyDescent="0.25">
      <c r="A38" s="1" t="s">
        <v>69</v>
      </c>
      <c r="B38" s="1" t="s">
        <v>28</v>
      </c>
      <c r="C38" s="1" t="s">
        <v>29</v>
      </c>
      <c r="D38" s="1">
        <v>2</v>
      </c>
      <c r="E38" s="1" t="s">
        <v>17</v>
      </c>
      <c r="F38" s="1" t="s">
        <v>22</v>
      </c>
      <c r="G38" s="1">
        <v>7290</v>
      </c>
      <c r="H38" s="1">
        <v>2503</v>
      </c>
      <c r="I38" s="1">
        <v>614</v>
      </c>
      <c r="J38" s="1">
        <v>180</v>
      </c>
      <c r="K38" s="1">
        <v>0</v>
      </c>
      <c r="L38" s="1" t="s">
        <v>19</v>
      </c>
      <c r="M38" s="1">
        <f>Table1[[#This Row],[ApplicantIncome]]+Table1[[#This Row],[CoapplicantIncome]]</f>
        <v>9793</v>
      </c>
      <c r="N38" s="1" t="s">
        <v>26</v>
      </c>
      <c r="O38" s="1" t="str">
        <f>IF(Table1[[#This Row],[Total_Income]]&lt;3000,"Low",IF(Table1[[#This Row],[Total_Income]]&lt;7000,"Medium","High"))</f>
        <v>High</v>
      </c>
      <c r="P38" s="1" t="str">
        <f t="shared" si="0"/>
        <v>Rejected</v>
      </c>
      <c r="Q38" s="1" t="str">
        <f t="shared" si="1"/>
        <v>High Risk</v>
      </c>
      <c r="R38" s="2">
        <f t="shared" si="2"/>
        <v>5867.7037977883583</v>
      </c>
    </row>
    <row r="39" spans="1:18" s="1" customFormat="1" ht="11.5" x14ac:dyDescent="0.25">
      <c r="A39" s="1" t="s">
        <v>70</v>
      </c>
      <c r="B39" s="1" t="s">
        <v>28</v>
      </c>
      <c r="C39" s="1" t="s">
        <v>22</v>
      </c>
      <c r="D39" s="1">
        <v>0</v>
      </c>
      <c r="E39" s="1" t="s">
        <v>25</v>
      </c>
      <c r="F39" s="1" t="s">
        <v>29</v>
      </c>
      <c r="G39" s="1">
        <v>6857</v>
      </c>
      <c r="H39" s="1">
        <v>8833</v>
      </c>
      <c r="I39" s="1">
        <v>540</v>
      </c>
      <c r="J39" s="1">
        <v>360</v>
      </c>
      <c r="K39" s="1">
        <v>0</v>
      </c>
      <c r="L39" s="1" t="s">
        <v>30</v>
      </c>
      <c r="M39" s="1">
        <f>Table1[[#This Row],[ApplicantIncome]]+Table1[[#This Row],[CoapplicantIncome]]</f>
        <v>15690</v>
      </c>
      <c r="N39" s="1" t="s">
        <v>26</v>
      </c>
      <c r="O39" s="1" t="str">
        <f>IF(Table1[[#This Row],[Total_Income]]&lt;3000,"Low",IF(Table1[[#This Row],[Total_Income]]&lt;7000,"Medium","High"))</f>
        <v>High</v>
      </c>
      <c r="P39" s="1" t="str">
        <f t="shared" si="0"/>
        <v>Rejected</v>
      </c>
      <c r="Q39" s="1" t="str">
        <f t="shared" si="1"/>
        <v>High Risk</v>
      </c>
      <c r="R39" s="2">
        <f t="shared" si="2"/>
        <v>3962.3286989486314</v>
      </c>
    </row>
    <row r="40" spans="1:18" s="1" customFormat="1" ht="11.5" x14ac:dyDescent="0.25">
      <c r="A40" s="1" t="s">
        <v>71</v>
      </c>
      <c r="B40" s="1" t="s">
        <v>28</v>
      </c>
      <c r="C40" s="1" t="s">
        <v>22</v>
      </c>
      <c r="D40" s="1">
        <v>0</v>
      </c>
      <c r="E40" s="1" t="s">
        <v>25</v>
      </c>
      <c r="F40" s="1" t="s">
        <v>22</v>
      </c>
      <c r="G40" s="1">
        <v>5887</v>
      </c>
      <c r="H40" s="1">
        <v>478</v>
      </c>
      <c r="I40" s="1">
        <v>318</v>
      </c>
      <c r="J40" s="1">
        <v>360</v>
      </c>
      <c r="K40" s="1">
        <v>0</v>
      </c>
      <c r="L40" s="1" t="s">
        <v>19</v>
      </c>
      <c r="M40" s="1">
        <f>Table1[[#This Row],[ApplicantIncome]]+Table1[[#This Row],[CoapplicantIncome]]</f>
        <v>6365</v>
      </c>
      <c r="N40" s="1" t="s">
        <v>26</v>
      </c>
      <c r="O40" s="1" t="str">
        <f>IF(Table1[[#This Row],[Total_Income]]&lt;3000,"Low",IF(Table1[[#This Row],[Total_Income]]&lt;7000,"Medium","High"))</f>
        <v>Medium</v>
      </c>
      <c r="P40" s="1" t="str">
        <f t="shared" si="0"/>
        <v>Rejected</v>
      </c>
      <c r="Q40" s="1" t="str">
        <f t="shared" si="1"/>
        <v>High Risk</v>
      </c>
      <c r="R40" s="2">
        <f t="shared" si="2"/>
        <v>2333.3713449364163</v>
      </c>
    </row>
    <row r="41" spans="1:18" s="1" customFormat="1" ht="11.5" x14ac:dyDescent="0.25">
      <c r="A41" s="1" t="s">
        <v>72</v>
      </c>
      <c r="B41" s="1" t="s">
        <v>52</v>
      </c>
      <c r="C41" s="1" t="s">
        <v>22</v>
      </c>
      <c r="D41" s="1">
        <v>1</v>
      </c>
      <c r="E41" s="1" t="s">
        <v>25</v>
      </c>
      <c r="F41" s="1" t="s">
        <v>22</v>
      </c>
      <c r="G41" s="1">
        <v>6407</v>
      </c>
      <c r="H41" s="1">
        <v>7475</v>
      </c>
      <c r="I41" s="1">
        <v>55</v>
      </c>
      <c r="J41" s="1">
        <v>180</v>
      </c>
      <c r="K41" s="1">
        <v>0</v>
      </c>
      <c r="L41" s="1" t="s">
        <v>30</v>
      </c>
      <c r="M41" s="1">
        <f>Table1[[#This Row],[ApplicantIncome]]+Table1[[#This Row],[CoapplicantIncome]]</f>
        <v>13882</v>
      </c>
      <c r="N41" s="1" t="s">
        <v>20</v>
      </c>
      <c r="O41" s="1" t="str">
        <f>IF(Table1[[#This Row],[Total_Income]]&lt;3000,"Low",IF(Table1[[#This Row],[Total_Income]]&lt;7000,"Medium","High"))</f>
        <v>High</v>
      </c>
      <c r="P41" s="1" t="str">
        <f t="shared" si="0"/>
        <v>Approved</v>
      </c>
      <c r="Q41" s="1" t="str">
        <f t="shared" si="1"/>
        <v>High Risk</v>
      </c>
      <c r="R41" s="2">
        <f t="shared" si="2"/>
        <v>525.60864638169323</v>
      </c>
    </row>
    <row r="42" spans="1:18" s="1" customFormat="1" ht="11.5" x14ac:dyDescent="0.25">
      <c r="A42" s="1" t="s">
        <v>73</v>
      </c>
      <c r="B42" s="1" t="s">
        <v>52</v>
      </c>
      <c r="C42" s="1" t="s">
        <v>22</v>
      </c>
      <c r="D42" s="1">
        <v>1</v>
      </c>
      <c r="E42" s="1" t="s">
        <v>17</v>
      </c>
      <c r="F42" s="1" t="s">
        <v>29</v>
      </c>
      <c r="G42" s="1">
        <v>11645</v>
      </c>
      <c r="H42" s="1">
        <v>964</v>
      </c>
      <c r="I42" s="1">
        <v>309</v>
      </c>
      <c r="J42" s="1">
        <v>360</v>
      </c>
      <c r="K42" s="1">
        <v>0</v>
      </c>
      <c r="L42" s="1" t="s">
        <v>41</v>
      </c>
      <c r="M42" s="1">
        <f>Table1[[#This Row],[ApplicantIncome]]+Table1[[#This Row],[CoapplicantIncome]]</f>
        <v>12609</v>
      </c>
      <c r="N42" s="1" t="s">
        <v>20</v>
      </c>
      <c r="O42" s="1" t="str">
        <f>IF(Table1[[#This Row],[Total_Income]]&lt;3000,"Low",IF(Table1[[#This Row],[Total_Income]]&lt;7000,"Medium","High"))</f>
        <v>High</v>
      </c>
      <c r="P42" s="1" t="str">
        <f t="shared" si="0"/>
        <v>Approved</v>
      </c>
      <c r="Q42" s="1" t="str">
        <f t="shared" si="1"/>
        <v>High Risk</v>
      </c>
      <c r="R42" s="2">
        <f t="shared" si="2"/>
        <v>2267.3325332872728</v>
      </c>
    </row>
    <row r="43" spans="1:18" s="1" customFormat="1" ht="11.5" x14ac:dyDescent="0.25">
      <c r="A43" s="1" t="s">
        <v>74</v>
      </c>
      <c r="B43" s="1" t="s">
        <v>52</v>
      </c>
      <c r="C43" s="1" t="s">
        <v>22</v>
      </c>
      <c r="D43" s="1">
        <v>1</v>
      </c>
      <c r="E43" s="1" t="s">
        <v>25</v>
      </c>
      <c r="F43" s="1" t="s">
        <v>22</v>
      </c>
      <c r="G43" s="1">
        <v>11026</v>
      </c>
      <c r="H43" s="1">
        <v>9618</v>
      </c>
      <c r="I43" s="1">
        <v>274</v>
      </c>
      <c r="J43" s="1">
        <v>180</v>
      </c>
      <c r="K43" s="1">
        <v>0</v>
      </c>
      <c r="L43" s="1" t="s">
        <v>41</v>
      </c>
      <c r="M43" s="1">
        <f>Table1[[#This Row],[ApplicantIncome]]+Table1[[#This Row],[CoapplicantIncome]]</f>
        <v>20644</v>
      </c>
      <c r="N43" s="1" t="s">
        <v>26</v>
      </c>
      <c r="O43" s="1" t="str">
        <f>IF(Table1[[#This Row],[Total_Income]]&lt;3000,"Low",IF(Table1[[#This Row],[Total_Income]]&lt;7000,"Medium","High"))</f>
        <v>High</v>
      </c>
      <c r="P43" s="1" t="str">
        <f t="shared" si="0"/>
        <v>Rejected</v>
      </c>
      <c r="Q43" s="1" t="str">
        <f t="shared" si="1"/>
        <v>High Risk</v>
      </c>
      <c r="R43" s="2">
        <f t="shared" si="2"/>
        <v>2618.486711065163</v>
      </c>
    </row>
    <row r="44" spans="1:18" s="1" customFormat="1" ht="11.5" x14ac:dyDescent="0.25">
      <c r="A44" s="1" t="s">
        <v>75</v>
      </c>
      <c r="B44" s="1" t="s">
        <v>28</v>
      </c>
      <c r="C44" s="1" t="s">
        <v>22</v>
      </c>
      <c r="D44" s="1" t="s">
        <v>16</v>
      </c>
      <c r="E44" s="1" t="s">
        <v>25</v>
      </c>
      <c r="F44" s="1" t="s">
        <v>22</v>
      </c>
      <c r="G44" s="1">
        <v>5531</v>
      </c>
      <c r="H44" s="1">
        <v>2701</v>
      </c>
      <c r="I44" s="1">
        <v>463</v>
      </c>
      <c r="J44" s="1">
        <v>120</v>
      </c>
      <c r="K44" s="1">
        <v>1</v>
      </c>
      <c r="L44" s="1" t="s">
        <v>30</v>
      </c>
      <c r="M44" s="1">
        <f>Table1[[#This Row],[ApplicantIncome]]+Table1[[#This Row],[CoapplicantIncome]]</f>
        <v>8232</v>
      </c>
      <c r="N44" s="1" t="s">
        <v>26</v>
      </c>
      <c r="O44" s="1" t="str">
        <f>IF(Table1[[#This Row],[Total_Income]]&lt;3000,"Low",IF(Table1[[#This Row],[Total_Income]]&lt;7000,"Medium","High"))</f>
        <v>High</v>
      </c>
      <c r="P44" s="1" t="str">
        <f t="shared" si="0"/>
        <v>Rejected</v>
      </c>
      <c r="Q44" s="1" t="str">
        <f t="shared" si="1"/>
        <v>Low Risk</v>
      </c>
      <c r="R44" s="2">
        <f t="shared" si="2"/>
        <v>5617.467618653026</v>
      </c>
    </row>
    <row r="45" spans="1:18" s="1" customFormat="1" ht="11.5" x14ac:dyDescent="0.25">
      <c r="A45" s="1" t="s">
        <v>76</v>
      </c>
      <c r="B45" s="1" t="s">
        <v>28</v>
      </c>
      <c r="C45" s="1" t="s">
        <v>29</v>
      </c>
      <c r="D45" s="1">
        <v>0</v>
      </c>
      <c r="E45" s="1" t="s">
        <v>17</v>
      </c>
      <c r="F45" s="1" t="s">
        <v>22</v>
      </c>
      <c r="G45" s="1">
        <v>11974</v>
      </c>
      <c r="H45" s="1">
        <v>5499</v>
      </c>
      <c r="I45" s="1">
        <v>269</v>
      </c>
      <c r="J45" s="1">
        <v>360</v>
      </c>
      <c r="K45" s="1">
        <v>0</v>
      </c>
      <c r="L45" s="1" t="s">
        <v>30</v>
      </c>
      <c r="M45" s="1">
        <f>Table1[[#This Row],[ApplicantIncome]]+Table1[[#This Row],[CoapplicantIncome]]</f>
        <v>17473</v>
      </c>
      <c r="N45" s="1" t="s">
        <v>20</v>
      </c>
      <c r="O45" s="1" t="str">
        <f>IF(Table1[[#This Row],[Total_Income]]&lt;3000,"Low",IF(Table1[[#This Row],[Total_Income]]&lt;7000,"Medium","High"))</f>
        <v>High</v>
      </c>
      <c r="P45" s="1" t="str">
        <f t="shared" si="0"/>
        <v>Approved</v>
      </c>
      <c r="Q45" s="1" t="str">
        <f t="shared" si="1"/>
        <v>High Risk</v>
      </c>
      <c r="R45" s="2">
        <f t="shared" si="2"/>
        <v>1973.8267037355217</v>
      </c>
    </row>
    <row r="46" spans="1:18" s="1" customFormat="1" ht="11.5" x14ac:dyDescent="0.25">
      <c r="A46" s="1" t="s">
        <v>77</v>
      </c>
      <c r="B46" s="1" t="s">
        <v>1238</v>
      </c>
      <c r="C46" s="1" t="s">
        <v>22</v>
      </c>
      <c r="D46" s="1">
        <v>2</v>
      </c>
      <c r="E46" s="1" t="s">
        <v>17</v>
      </c>
      <c r="F46" s="1" t="s">
        <v>22</v>
      </c>
      <c r="G46" s="1">
        <v>4069</v>
      </c>
      <c r="H46" s="1">
        <v>7868</v>
      </c>
      <c r="I46" s="1">
        <v>301</v>
      </c>
      <c r="J46" s="1">
        <v>180</v>
      </c>
      <c r="K46" s="1">
        <v>0</v>
      </c>
      <c r="L46" s="1" t="s">
        <v>41</v>
      </c>
      <c r="M46" s="1">
        <f>Table1[[#This Row],[ApplicantIncome]]+Table1[[#This Row],[CoapplicantIncome]]</f>
        <v>11937</v>
      </c>
      <c r="N46" s="1" t="s">
        <v>26</v>
      </c>
      <c r="O46" s="1" t="str">
        <f>IF(Table1[[#This Row],[Total_Income]]&lt;3000,"Low",IF(Table1[[#This Row],[Total_Income]]&lt;7000,"Medium","High"))</f>
        <v>High</v>
      </c>
      <c r="P46" s="1" t="str">
        <f t="shared" si="0"/>
        <v>Rejected</v>
      </c>
      <c r="Q46" s="1" t="str">
        <f t="shared" si="1"/>
        <v>High Risk</v>
      </c>
      <c r="R46" s="2">
        <f t="shared" si="2"/>
        <v>2876.5127738343576</v>
      </c>
    </row>
    <row r="47" spans="1:18" s="1" customFormat="1" ht="11.5" x14ac:dyDescent="0.25">
      <c r="A47" s="1" t="s">
        <v>78</v>
      </c>
      <c r="B47" s="1" t="s">
        <v>1238</v>
      </c>
      <c r="C47" s="1" t="s">
        <v>29</v>
      </c>
      <c r="D47" s="1">
        <v>2</v>
      </c>
      <c r="E47" s="1" t="s">
        <v>25</v>
      </c>
      <c r="F47" s="1" t="s">
        <v>22</v>
      </c>
      <c r="G47" s="1">
        <v>12899</v>
      </c>
      <c r="H47" s="1">
        <v>588</v>
      </c>
      <c r="I47" s="1">
        <v>273</v>
      </c>
      <c r="J47" s="1">
        <v>360</v>
      </c>
      <c r="K47" s="1">
        <v>0</v>
      </c>
      <c r="L47" s="1" t="s">
        <v>30</v>
      </c>
      <c r="M47" s="1">
        <f>Table1[[#This Row],[ApplicantIncome]]+Table1[[#This Row],[CoapplicantIncome]]</f>
        <v>13487</v>
      </c>
      <c r="N47" s="1" t="s">
        <v>26</v>
      </c>
      <c r="O47" s="1" t="str">
        <f>IF(Table1[[#This Row],[Total_Income]]&lt;3000,"Low",IF(Table1[[#This Row],[Total_Income]]&lt;7000,"Medium","High"))</f>
        <v>High</v>
      </c>
      <c r="P47" s="1" t="str">
        <f t="shared" si="0"/>
        <v>Rejected</v>
      </c>
      <c r="Q47" s="1" t="str">
        <f t="shared" si="1"/>
        <v>High Risk</v>
      </c>
      <c r="R47" s="2">
        <f t="shared" si="2"/>
        <v>2003.1772866906972</v>
      </c>
    </row>
    <row r="48" spans="1:18" s="1" customFormat="1" ht="11.5" x14ac:dyDescent="0.25">
      <c r="A48" s="1" t="s">
        <v>79</v>
      </c>
      <c r="B48" s="1" t="s">
        <v>1238</v>
      </c>
      <c r="C48" s="1" t="s">
        <v>22</v>
      </c>
      <c r="D48" s="1">
        <v>1</v>
      </c>
      <c r="E48" s="1" t="s">
        <v>25</v>
      </c>
      <c r="F48" s="1" t="s">
        <v>22</v>
      </c>
      <c r="G48" s="1">
        <v>6959</v>
      </c>
      <c r="H48" s="1">
        <v>7510</v>
      </c>
      <c r="I48" s="1">
        <v>497</v>
      </c>
      <c r="J48" s="1">
        <v>120</v>
      </c>
      <c r="K48" s="1">
        <v>0</v>
      </c>
      <c r="L48" s="1" t="s">
        <v>19</v>
      </c>
      <c r="M48" s="1">
        <f>Table1[[#This Row],[ApplicantIncome]]+Table1[[#This Row],[CoapplicantIncome]]</f>
        <v>14469</v>
      </c>
      <c r="N48" s="1" t="s">
        <v>26</v>
      </c>
      <c r="O48" s="1" t="str">
        <f>IF(Table1[[#This Row],[Total_Income]]&lt;3000,"Low",IF(Table1[[#This Row],[Total_Income]]&lt;7000,"Medium","High"))</f>
        <v>High</v>
      </c>
      <c r="P48" s="1" t="str">
        <f t="shared" si="0"/>
        <v>Rejected</v>
      </c>
      <c r="Q48" s="1" t="str">
        <f t="shared" si="1"/>
        <v>High Risk</v>
      </c>
      <c r="R48" s="2">
        <f t="shared" si="2"/>
        <v>6029.9814394612386</v>
      </c>
    </row>
    <row r="49" spans="1:18" s="1" customFormat="1" ht="11.5" x14ac:dyDescent="0.25">
      <c r="A49" s="1" t="s">
        <v>80</v>
      </c>
      <c r="B49" s="1" t="s">
        <v>1238</v>
      </c>
      <c r="C49" s="1" t="s">
        <v>29</v>
      </c>
      <c r="D49" s="1">
        <v>1</v>
      </c>
      <c r="E49" s="1" t="s">
        <v>17</v>
      </c>
      <c r="F49" s="1" t="s">
        <v>29</v>
      </c>
      <c r="G49" s="1">
        <v>16147</v>
      </c>
      <c r="H49" s="1">
        <v>4332</v>
      </c>
      <c r="I49" s="1">
        <v>517</v>
      </c>
      <c r="J49" s="1">
        <v>180</v>
      </c>
      <c r="K49" s="1">
        <v>1</v>
      </c>
      <c r="L49" s="1" t="s">
        <v>19</v>
      </c>
      <c r="M49" s="1">
        <f>Table1[[#This Row],[ApplicantIncome]]+Table1[[#This Row],[CoapplicantIncome]]</f>
        <v>20479</v>
      </c>
      <c r="N49" s="1" t="s">
        <v>20</v>
      </c>
      <c r="O49" s="1" t="str">
        <f>IF(Table1[[#This Row],[Total_Income]]&lt;3000,"Low",IF(Table1[[#This Row],[Total_Income]]&lt;7000,"Medium","High"))</f>
        <v>High</v>
      </c>
      <c r="P49" s="1" t="str">
        <f t="shared" si="0"/>
        <v>Approved</v>
      </c>
      <c r="Q49" s="1" t="str">
        <f t="shared" si="1"/>
        <v>Low Risk</v>
      </c>
      <c r="R49" s="2">
        <f t="shared" si="2"/>
        <v>4940.7212759879176</v>
      </c>
    </row>
    <row r="50" spans="1:18" s="1" customFormat="1" ht="11.5" x14ac:dyDescent="0.25">
      <c r="A50" s="1" t="s">
        <v>81</v>
      </c>
      <c r="B50" s="1" t="s">
        <v>1238</v>
      </c>
      <c r="C50" s="1" t="s">
        <v>22</v>
      </c>
      <c r="D50" s="1">
        <v>2</v>
      </c>
      <c r="E50" s="1" t="s">
        <v>17</v>
      </c>
      <c r="F50" s="1" t="s">
        <v>22</v>
      </c>
      <c r="G50" s="1">
        <v>13257</v>
      </c>
      <c r="H50" s="1">
        <v>8030</v>
      </c>
      <c r="I50" s="1">
        <v>376</v>
      </c>
      <c r="J50" s="1">
        <v>360</v>
      </c>
      <c r="K50" s="1">
        <v>0</v>
      </c>
      <c r="L50" s="1" t="s">
        <v>30</v>
      </c>
      <c r="M50" s="1">
        <f>Table1[[#This Row],[ApplicantIncome]]+Table1[[#This Row],[CoapplicantIncome]]</f>
        <v>21287</v>
      </c>
      <c r="N50" s="1" t="s">
        <v>20</v>
      </c>
      <c r="O50" s="1" t="str">
        <f>IF(Table1[[#This Row],[Total_Income]]&lt;3000,"Low",IF(Table1[[#This Row],[Total_Income]]&lt;7000,"Medium","High"))</f>
        <v>High</v>
      </c>
      <c r="P50" s="1" t="str">
        <f t="shared" si="0"/>
        <v>Approved</v>
      </c>
      <c r="Q50" s="1" t="str">
        <f t="shared" si="1"/>
        <v>High Risk</v>
      </c>
      <c r="R50" s="2">
        <f t="shared" si="2"/>
        <v>2758.9547977864545</v>
      </c>
    </row>
    <row r="51" spans="1:18" s="1" customFormat="1" ht="11.5" x14ac:dyDescent="0.25">
      <c r="A51" s="1" t="s">
        <v>82</v>
      </c>
      <c r="B51" s="1" t="s">
        <v>52</v>
      </c>
      <c r="C51" s="1" t="s">
        <v>29</v>
      </c>
      <c r="D51" s="1">
        <v>2</v>
      </c>
      <c r="E51" s="1" t="s">
        <v>17</v>
      </c>
      <c r="F51" s="1" t="s">
        <v>22</v>
      </c>
      <c r="G51" s="1">
        <v>2903</v>
      </c>
      <c r="H51" s="1">
        <v>3262</v>
      </c>
      <c r="I51" s="1">
        <v>116</v>
      </c>
      <c r="J51" s="1">
        <v>360</v>
      </c>
      <c r="K51" s="1">
        <v>1</v>
      </c>
      <c r="L51" s="1" t="s">
        <v>19</v>
      </c>
      <c r="M51" s="1">
        <f>Table1[[#This Row],[ApplicantIncome]]+Table1[[#This Row],[CoapplicantIncome]]</f>
        <v>6165</v>
      </c>
      <c r="N51" s="1" t="s">
        <v>26</v>
      </c>
      <c r="O51" s="1" t="str">
        <f>IF(Table1[[#This Row],[Total_Income]]&lt;3000,"Low",IF(Table1[[#This Row],[Total_Income]]&lt;7000,"Medium","High"))</f>
        <v>Medium</v>
      </c>
      <c r="P51" s="1" t="str">
        <f t="shared" si="0"/>
        <v>Rejected</v>
      </c>
      <c r="Q51" s="1" t="str">
        <f t="shared" si="1"/>
        <v>Low Risk</v>
      </c>
      <c r="R51" s="2">
        <f t="shared" si="2"/>
        <v>851.16690570007631</v>
      </c>
    </row>
    <row r="52" spans="1:18" s="1" customFormat="1" ht="11.5" x14ac:dyDescent="0.25">
      <c r="A52" s="1" t="s">
        <v>83</v>
      </c>
      <c r="B52" s="1" t="s">
        <v>1238</v>
      </c>
      <c r="C52" s="1" t="s">
        <v>22</v>
      </c>
      <c r="D52" s="1">
        <v>1</v>
      </c>
      <c r="E52" s="1" t="s">
        <v>17</v>
      </c>
      <c r="F52" s="1" t="s">
        <v>29</v>
      </c>
      <c r="G52" s="1">
        <v>17171</v>
      </c>
      <c r="H52" s="1">
        <v>9872</v>
      </c>
      <c r="I52" s="1">
        <v>651</v>
      </c>
      <c r="J52" s="1">
        <v>360</v>
      </c>
      <c r="K52" s="1">
        <v>0</v>
      </c>
      <c r="L52" s="1" t="s">
        <v>41</v>
      </c>
      <c r="M52" s="1">
        <f>Table1[[#This Row],[ApplicantIncome]]+Table1[[#This Row],[CoapplicantIncome]]</f>
        <v>27043</v>
      </c>
      <c r="N52" s="1" t="s">
        <v>26</v>
      </c>
      <c r="O52" s="1" t="str">
        <f>IF(Table1[[#This Row],[Total_Income]]&lt;3000,"Low",IF(Table1[[#This Row],[Total_Income]]&lt;7000,"Medium","High"))</f>
        <v>High</v>
      </c>
      <c r="P52" s="1" t="str">
        <f t="shared" si="0"/>
        <v>Rejected</v>
      </c>
      <c r="Q52" s="1" t="str">
        <f t="shared" si="1"/>
        <v>High Risk</v>
      </c>
      <c r="R52" s="2">
        <f t="shared" si="2"/>
        <v>4776.8073759547387</v>
      </c>
    </row>
    <row r="53" spans="1:18" s="1" customFormat="1" ht="11.5" x14ac:dyDescent="0.25">
      <c r="A53" s="1" t="s">
        <v>84</v>
      </c>
      <c r="B53" s="1" t="s">
        <v>28</v>
      </c>
      <c r="C53" s="1" t="s">
        <v>22</v>
      </c>
      <c r="D53" s="1">
        <v>0</v>
      </c>
      <c r="E53" s="1" t="s">
        <v>25</v>
      </c>
      <c r="F53" s="1" t="s">
        <v>22</v>
      </c>
      <c r="G53" s="1">
        <v>5276</v>
      </c>
      <c r="H53" s="1">
        <v>5607</v>
      </c>
      <c r="I53" s="1">
        <v>85</v>
      </c>
      <c r="J53" s="1">
        <v>360</v>
      </c>
      <c r="K53" s="1">
        <v>0</v>
      </c>
      <c r="L53" s="1" t="s">
        <v>30</v>
      </c>
      <c r="M53" s="1">
        <f>Table1[[#This Row],[ApplicantIncome]]+Table1[[#This Row],[CoapplicantIncome]]</f>
        <v>10883</v>
      </c>
      <c r="N53" s="1" t="s">
        <v>20</v>
      </c>
      <c r="O53" s="1" t="str">
        <f>IF(Table1[[#This Row],[Total_Income]]&lt;3000,"Low",IF(Table1[[#This Row],[Total_Income]]&lt;7000,"Medium","High"))</f>
        <v>High</v>
      </c>
      <c r="P53" s="1" t="str">
        <f t="shared" si="0"/>
        <v>Approved</v>
      </c>
      <c r="Q53" s="1" t="str">
        <f t="shared" si="1"/>
        <v>High Risk</v>
      </c>
      <c r="R53" s="2">
        <f t="shared" si="2"/>
        <v>623.69988779746984</v>
      </c>
    </row>
    <row r="54" spans="1:18" s="1" customFormat="1" ht="11.5" x14ac:dyDescent="0.25">
      <c r="A54" s="1" t="s">
        <v>85</v>
      </c>
      <c r="B54" s="1" t="s">
        <v>28</v>
      </c>
      <c r="C54" s="1" t="s">
        <v>22</v>
      </c>
      <c r="D54" s="1">
        <v>0</v>
      </c>
      <c r="E54" s="1" t="s">
        <v>17</v>
      </c>
      <c r="F54" s="1" t="s">
        <v>29</v>
      </c>
      <c r="G54" s="1">
        <v>19013</v>
      </c>
      <c r="H54" s="1">
        <v>8916</v>
      </c>
      <c r="I54" s="1">
        <v>442</v>
      </c>
      <c r="J54" s="1">
        <v>360</v>
      </c>
      <c r="K54" s="1">
        <v>1</v>
      </c>
      <c r="L54" s="1" t="s">
        <v>41</v>
      </c>
      <c r="M54" s="1">
        <f>Table1[[#This Row],[ApplicantIncome]]+Table1[[#This Row],[CoapplicantIncome]]</f>
        <v>27929</v>
      </c>
      <c r="N54" s="1" t="s">
        <v>26</v>
      </c>
      <c r="O54" s="1" t="str">
        <f>IF(Table1[[#This Row],[Total_Income]]&lt;3000,"Low",IF(Table1[[#This Row],[Total_Income]]&lt;7000,"Medium","High"))</f>
        <v>High</v>
      </c>
      <c r="P54" s="1" t="str">
        <f t="shared" si="0"/>
        <v>Rejected</v>
      </c>
      <c r="Q54" s="1" t="str">
        <f t="shared" si="1"/>
        <v>Low Risk</v>
      </c>
      <c r="R54" s="2">
        <f t="shared" si="2"/>
        <v>3243.2394165468427</v>
      </c>
    </row>
    <row r="55" spans="1:18" s="1" customFormat="1" ht="11.5" x14ac:dyDescent="0.25">
      <c r="A55" s="1" t="s">
        <v>86</v>
      </c>
      <c r="B55" s="1" t="s">
        <v>1238</v>
      </c>
      <c r="C55" s="1" t="s">
        <v>22</v>
      </c>
      <c r="D55" s="1" t="s">
        <v>16</v>
      </c>
      <c r="E55" s="1" t="s">
        <v>25</v>
      </c>
      <c r="F55" s="1" t="s">
        <v>22</v>
      </c>
      <c r="G55" s="1">
        <v>9989</v>
      </c>
      <c r="H55" s="1">
        <v>5013</v>
      </c>
      <c r="I55" s="1">
        <v>310</v>
      </c>
      <c r="J55" s="1">
        <v>180</v>
      </c>
      <c r="K55" s="1">
        <v>0</v>
      </c>
      <c r="L55" s="1" t="s">
        <v>19</v>
      </c>
      <c r="M55" s="1">
        <f>Table1[[#This Row],[ApplicantIncome]]+Table1[[#This Row],[CoapplicantIncome]]</f>
        <v>15002</v>
      </c>
      <c r="N55" s="1" t="s">
        <v>20</v>
      </c>
      <c r="O55" s="1" t="str">
        <f>IF(Table1[[#This Row],[Total_Income]]&lt;3000,"Low",IF(Table1[[#This Row],[Total_Income]]&lt;7000,"Medium","High"))</f>
        <v>High</v>
      </c>
      <c r="P55" s="1" t="str">
        <f t="shared" si="0"/>
        <v>Approved</v>
      </c>
      <c r="Q55" s="1" t="str">
        <f t="shared" si="1"/>
        <v>High Risk</v>
      </c>
      <c r="R55" s="2">
        <f t="shared" si="2"/>
        <v>2962.5214614240895</v>
      </c>
    </row>
    <row r="56" spans="1:18" s="1" customFormat="1" ht="11.5" x14ac:dyDescent="0.25">
      <c r="A56" s="1" t="s">
        <v>87</v>
      </c>
      <c r="B56" s="1" t="s">
        <v>52</v>
      </c>
      <c r="C56" s="1" t="s">
        <v>22</v>
      </c>
      <c r="D56" s="1">
        <v>0</v>
      </c>
      <c r="E56" s="1" t="s">
        <v>25</v>
      </c>
      <c r="F56" s="1" t="s">
        <v>29</v>
      </c>
      <c r="G56" s="1">
        <v>18167</v>
      </c>
      <c r="H56" s="1">
        <v>6725</v>
      </c>
      <c r="I56" s="1">
        <v>412</v>
      </c>
      <c r="J56" s="1">
        <v>360</v>
      </c>
      <c r="K56" s="1">
        <v>0</v>
      </c>
      <c r="L56" s="1" t="s">
        <v>30</v>
      </c>
      <c r="M56" s="1">
        <f>Table1[[#This Row],[ApplicantIncome]]+Table1[[#This Row],[CoapplicantIncome]]</f>
        <v>24892</v>
      </c>
      <c r="N56" s="1" t="s">
        <v>26</v>
      </c>
      <c r="O56" s="1" t="str">
        <f>IF(Table1[[#This Row],[Total_Income]]&lt;3000,"Low",IF(Table1[[#This Row],[Total_Income]]&lt;7000,"Medium","High"))</f>
        <v>High</v>
      </c>
      <c r="P56" s="1" t="str">
        <f t="shared" si="0"/>
        <v>Rejected</v>
      </c>
      <c r="Q56" s="1" t="str">
        <f t="shared" si="1"/>
        <v>High Risk</v>
      </c>
      <c r="R56" s="2">
        <f t="shared" si="2"/>
        <v>3023.1100443830301</v>
      </c>
    </row>
    <row r="57" spans="1:18" s="1" customFormat="1" ht="11.5" x14ac:dyDescent="0.25">
      <c r="A57" s="1" t="s">
        <v>88</v>
      </c>
      <c r="B57" s="1" t="s">
        <v>1238</v>
      </c>
      <c r="C57" s="1" t="s">
        <v>29</v>
      </c>
      <c r="D57" s="1">
        <v>1</v>
      </c>
      <c r="E57" s="1" t="s">
        <v>25</v>
      </c>
      <c r="F57" s="1" t="s">
        <v>22</v>
      </c>
      <c r="G57" s="1">
        <v>7971</v>
      </c>
      <c r="H57" s="1">
        <v>2090</v>
      </c>
      <c r="I57" s="1">
        <v>583</v>
      </c>
      <c r="J57" s="1">
        <v>120</v>
      </c>
      <c r="K57" s="1">
        <v>1</v>
      </c>
      <c r="L57" s="1" t="s">
        <v>30</v>
      </c>
      <c r="M57" s="1">
        <f>Table1[[#This Row],[ApplicantIncome]]+Table1[[#This Row],[CoapplicantIncome]]</f>
        <v>10061</v>
      </c>
      <c r="N57" s="1" t="s">
        <v>26</v>
      </c>
      <c r="O57" s="1" t="str">
        <f>IF(Table1[[#This Row],[Total_Income]]&lt;3000,"Low",IF(Table1[[#This Row],[Total_Income]]&lt;7000,"Medium","High"))</f>
        <v>High</v>
      </c>
      <c r="P57" s="1" t="str">
        <f t="shared" si="0"/>
        <v>Rejected</v>
      </c>
      <c r="Q57" s="1" t="str">
        <f t="shared" si="1"/>
        <v>Low Risk</v>
      </c>
      <c r="R57" s="2">
        <f t="shared" si="2"/>
        <v>7073.3987509173085</v>
      </c>
    </row>
    <row r="58" spans="1:18" s="1" customFormat="1" ht="11.5" x14ac:dyDescent="0.25">
      <c r="A58" s="1" t="s">
        <v>89</v>
      </c>
      <c r="B58" s="1" t="s">
        <v>52</v>
      </c>
      <c r="C58" s="1" t="s">
        <v>22</v>
      </c>
      <c r="D58" s="1" t="s">
        <v>16</v>
      </c>
      <c r="E58" s="1" t="s">
        <v>17</v>
      </c>
      <c r="F58" s="1" t="s">
        <v>29</v>
      </c>
      <c r="G58" s="1">
        <v>4763</v>
      </c>
      <c r="H58" s="1">
        <v>7638</v>
      </c>
      <c r="I58" s="1">
        <v>382</v>
      </c>
      <c r="J58" s="1">
        <v>360</v>
      </c>
      <c r="K58" s="1">
        <v>1</v>
      </c>
      <c r="L58" s="1" t="s">
        <v>30</v>
      </c>
      <c r="M58" s="1">
        <f>Table1[[#This Row],[ApplicantIncome]]+Table1[[#This Row],[CoapplicantIncome]]</f>
        <v>12401</v>
      </c>
      <c r="N58" s="1" t="s">
        <v>20</v>
      </c>
      <c r="O58" s="1" t="str">
        <f>IF(Table1[[#This Row],[Total_Income]]&lt;3000,"Low",IF(Table1[[#This Row],[Total_Income]]&lt;7000,"Medium","High"))</f>
        <v>High</v>
      </c>
      <c r="P58" s="1" t="str">
        <f t="shared" si="0"/>
        <v>Approved</v>
      </c>
      <c r="Q58" s="1" t="str">
        <f t="shared" si="1"/>
        <v>Low Risk</v>
      </c>
      <c r="R58" s="2">
        <f t="shared" si="2"/>
        <v>2802.980672219217</v>
      </c>
    </row>
    <row r="59" spans="1:18" s="1" customFormat="1" ht="11.5" x14ac:dyDescent="0.25">
      <c r="A59" s="1" t="s">
        <v>90</v>
      </c>
      <c r="B59" s="1" t="s">
        <v>1238</v>
      </c>
      <c r="C59" s="1" t="s">
        <v>22</v>
      </c>
      <c r="D59" s="1">
        <v>1</v>
      </c>
      <c r="E59" s="1" t="s">
        <v>17</v>
      </c>
      <c r="F59" s="1" t="s">
        <v>22</v>
      </c>
      <c r="G59" s="1">
        <v>9137</v>
      </c>
      <c r="H59" s="1">
        <v>297</v>
      </c>
      <c r="I59" s="1">
        <v>114</v>
      </c>
      <c r="J59" s="1">
        <v>360</v>
      </c>
      <c r="K59" s="1">
        <v>1</v>
      </c>
      <c r="L59" s="1" t="s">
        <v>41</v>
      </c>
      <c r="M59" s="1">
        <f>Table1[[#This Row],[ApplicantIncome]]+Table1[[#This Row],[CoapplicantIncome]]</f>
        <v>9434</v>
      </c>
      <c r="N59" s="1" t="s">
        <v>26</v>
      </c>
      <c r="O59" s="1" t="str">
        <f>IF(Table1[[#This Row],[Total_Income]]&lt;3000,"Low",IF(Table1[[#This Row],[Total_Income]]&lt;7000,"Medium","High"))</f>
        <v>High</v>
      </c>
      <c r="P59" s="1" t="str">
        <f t="shared" si="0"/>
        <v>Rejected</v>
      </c>
      <c r="Q59" s="1" t="str">
        <f t="shared" si="1"/>
        <v>Low Risk</v>
      </c>
      <c r="R59" s="2">
        <f t="shared" si="2"/>
        <v>836.49161422248892</v>
      </c>
    </row>
    <row r="60" spans="1:18" s="1" customFormat="1" ht="11.5" x14ac:dyDescent="0.25">
      <c r="A60" s="1" t="s">
        <v>91</v>
      </c>
      <c r="B60" s="1" t="s">
        <v>28</v>
      </c>
      <c r="C60" s="1" t="s">
        <v>22</v>
      </c>
      <c r="D60" s="1">
        <v>0</v>
      </c>
      <c r="E60" s="1" t="s">
        <v>17</v>
      </c>
      <c r="F60" s="1" t="s">
        <v>29</v>
      </c>
      <c r="G60" s="1">
        <v>17606</v>
      </c>
      <c r="H60" s="1">
        <v>2844</v>
      </c>
      <c r="I60" s="1">
        <v>110</v>
      </c>
      <c r="J60" s="1">
        <v>180</v>
      </c>
      <c r="K60" s="1">
        <v>1</v>
      </c>
      <c r="L60" s="1" t="s">
        <v>30</v>
      </c>
      <c r="M60" s="1">
        <f>Table1[[#This Row],[ApplicantIncome]]+Table1[[#This Row],[CoapplicantIncome]]</f>
        <v>20450</v>
      </c>
      <c r="N60" s="1" t="s">
        <v>26</v>
      </c>
      <c r="O60" s="1" t="str">
        <f>IF(Table1[[#This Row],[Total_Income]]&lt;3000,"Low",IF(Table1[[#This Row],[Total_Income]]&lt;7000,"Medium","High"))</f>
        <v>High</v>
      </c>
      <c r="P60" s="1" t="str">
        <f t="shared" si="0"/>
        <v>Rejected</v>
      </c>
      <c r="Q60" s="1" t="str">
        <f t="shared" si="1"/>
        <v>Low Risk</v>
      </c>
      <c r="R60" s="2">
        <f t="shared" si="2"/>
        <v>1051.2172927633865</v>
      </c>
    </row>
    <row r="61" spans="1:18" s="1" customFormat="1" ht="11.5" x14ac:dyDescent="0.25">
      <c r="A61" s="1" t="s">
        <v>92</v>
      </c>
      <c r="B61" s="1" t="s">
        <v>1238</v>
      </c>
      <c r="C61" s="1" t="s">
        <v>29</v>
      </c>
      <c r="D61" s="1">
        <v>0</v>
      </c>
      <c r="E61" s="1" t="s">
        <v>17</v>
      </c>
      <c r="F61" s="1" t="s">
        <v>22</v>
      </c>
      <c r="G61" s="1">
        <v>16987</v>
      </c>
      <c r="H61" s="1">
        <v>511</v>
      </c>
      <c r="I61" s="1">
        <v>622</v>
      </c>
      <c r="J61" s="1">
        <v>180</v>
      </c>
      <c r="K61" s="1">
        <v>0</v>
      </c>
      <c r="L61" s="1" t="s">
        <v>41</v>
      </c>
      <c r="M61" s="1">
        <f>Table1[[#This Row],[ApplicantIncome]]+Table1[[#This Row],[CoapplicantIncome]]</f>
        <v>17498</v>
      </c>
      <c r="N61" s="1" t="s">
        <v>26</v>
      </c>
      <c r="O61" s="1" t="str">
        <f>IF(Table1[[#This Row],[Total_Income]]&lt;3000,"Low",IF(Table1[[#This Row],[Total_Income]]&lt;7000,"Medium","High"))</f>
        <v>High</v>
      </c>
      <c r="P61" s="1" t="str">
        <f t="shared" si="0"/>
        <v>Rejected</v>
      </c>
      <c r="Q61" s="1" t="str">
        <f t="shared" si="1"/>
        <v>High Risk</v>
      </c>
      <c r="R61" s="2">
        <f t="shared" si="2"/>
        <v>5944.1559645347861</v>
      </c>
    </row>
    <row r="62" spans="1:18" s="1" customFormat="1" ht="11.5" x14ac:dyDescent="0.25">
      <c r="A62" s="1" t="s">
        <v>93</v>
      </c>
      <c r="B62" s="1" t="s">
        <v>28</v>
      </c>
      <c r="C62" s="1" t="s">
        <v>22</v>
      </c>
      <c r="D62" s="1">
        <v>2</v>
      </c>
      <c r="E62" s="1" t="s">
        <v>17</v>
      </c>
      <c r="F62" s="1" t="s">
        <v>22</v>
      </c>
      <c r="G62" s="1">
        <v>3940</v>
      </c>
      <c r="H62" s="1">
        <v>5419</v>
      </c>
      <c r="I62" s="1">
        <v>262</v>
      </c>
      <c r="J62" s="1">
        <v>360</v>
      </c>
      <c r="K62" s="1">
        <v>1</v>
      </c>
      <c r="L62" s="1" t="s">
        <v>19</v>
      </c>
      <c r="M62" s="1">
        <f>Table1[[#This Row],[ApplicantIncome]]+Table1[[#This Row],[CoapplicantIncome]]</f>
        <v>9359</v>
      </c>
      <c r="N62" s="1" t="s">
        <v>20</v>
      </c>
      <c r="O62" s="1" t="str">
        <f>IF(Table1[[#This Row],[Total_Income]]&lt;3000,"Low",IF(Table1[[#This Row],[Total_Income]]&lt;7000,"Medium","High"))</f>
        <v>High</v>
      </c>
      <c r="P62" s="1" t="str">
        <f t="shared" si="0"/>
        <v>Approved</v>
      </c>
      <c r="Q62" s="1" t="str">
        <f t="shared" si="1"/>
        <v>Low Risk</v>
      </c>
      <c r="R62" s="2">
        <f t="shared" si="2"/>
        <v>1922.4631835639657</v>
      </c>
    </row>
    <row r="63" spans="1:18" s="1" customFormat="1" ht="11.5" x14ac:dyDescent="0.25">
      <c r="A63" s="1" t="s">
        <v>94</v>
      </c>
      <c r="B63" s="1" t="s">
        <v>1238</v>
      </c>
      <c r="C63" s="1" t="s">
        <v>22</v>
      </c>
      <c r="D63" s="1">
        <v>1</v>
      </c>
      <c r="E63" s="1" t="s">
        <v>17</v>
      </c>
      <c r="F63" s="1" t="s">
        <v>22</v>
      </c>
      <c r="G63" s="1">
        <v>1726</v>
      </c>
      <c r="H63" s="1">
        <v>4865</v>
      </c>
      <c r="I63" s="1">
        <v>149</v>
      </c>
      <c r="J63" s="1">
        <v>360</v>
      </c>
      <c r="K63" s="1">
        <v>0</v>
      </c>
      <c r="L63" s="1" t="s">
        <v>19</v>
      </c>
      <c r="M63" s="1">
        <f>Table1[[#This Row],[ApplicantIncome]]+Table1[[#This Row],[CoapplicantIncome]]</f>
        <v>6591</v>
      </c>
      <c r="N63" s="1" t="s">
        <v>26</v>
      </c>
      <c r="O63" s="1" t="str">
        <f>IF(Table1[[#This Row],[Total_Income]]&lt;3000,"Low",IF(Table1[[#This Row],[Total_Income]]&lt;7000,"Medium","High"))</f>
        <v>Medium</v>
      </c>
      <c r="P63" s="1" t="str">
        <f t="shared" si="0"/>
        <v>Rejected</v>
      </c>
      <c r="Q63" s="1" t="str">
        <f t="shared" si="1"/>
        <v>High Risk</v>
      </c>
      <c r="R63" s="2">
        <f t="shared" si="2"/>
        <v>1093.3092150802706</v>
      </c>
    </row>
    <row r="64" spans="1:18" s="1" customFormat="1" ht="11.5" x14ac:dyDescent="0.25">
      <c r="A64" s="1" t="s">
        <v>95</v>
      </c>
      <c r="B64" s="1" t="s">
        <v>52</v>
      </c>
      <c r="C64" s="1" t="s">
        <v>29</v>
      </c>
      <c r="D64" s="1">
        <v>0</v>
      </c>
      <c r="E64" s="1" t="s">
        <v>17</v>
      </c>
      <c r="F64" s="1" t="s">
        <v>22</v>
      </c>
      <c r="G64" s="1">
        <v>14368</v>
      </c>
      <c r="H64" s="1">
        <v>7824</v>
      </c>
      <c r="I64" s="1">
        <v>632</v>
      </c>
      <c r="J64" s="1">
        <v>180</v>
      </c>
      <c r="K64" s="1">
        <v>1</v>
      </c>
      <c r="L64" s="1" t="s">
        <v>19</v>
      </c>
      <c r="M64" s="1">
        <f>Table1[[#This Row],[ApplicantIncome]]+Table1[[#This Row],[CoapplicantIncome]]</f>
        <v>22192</v>
      </c>
      <c r="N64" s="1" t="s">
        <v>26</v>
      </c>
      <c r="O64" s="1" t="str">
        <f>IF(Table1[[#This Row],[Total_Income]]&lt;3000,"Low",IF(Table1[[#This Row],[Total_Income]]&lt;7000,"Medium","High"))</f>
        <v>High</v>
      </c>
      <c r="P64" s="1" t="str">
        <f t="shared" si="0"/>
        <v>Rejected</v>
      </c>
      <c r="Q64" s="1" t="str">
        <f t="shared" si="1"/>
        <v>Low Risk</v>
      </c>
      <c r="R64" s="2">
        <f t="shared" si="2"/>
        <v>6039.7211729678211</v>
      </c>
    </row>
    <row r="65" spans="1:18" s="1" customFormat="1" ht="11.5" x14ac:dyDescent="0.25">
      <c r="A65" s="1" t="s">
        <v>96</v>
      </c>
      <c r="B65" s="1" t="s">
        <v>28</v>
      </c>
      <c r="C65" s="1" t="s">
        <v>22</v>
      </c>
      <c r="D65" s="1">
        <v>2</v>
      </c>
      <c r="E65" s="1" t="s">
        <v>25</v>
      </c>
      <c r="F65" s="1" t="s">
        <v>29</v>
      </c>
      <c r="G65" s="1">
        <v>16400</v>
      </c>
      <c r="H65" s="1">
        <v>965</v>
      </c>
      <c r="I65" s="1">
        <v>601</v>
      </c>
      <c r="J65" s="1">
        <v>120</v>
      </c>
      <c r="K65" s="1">
        <v>0</v>
      </c>
      <c r="L65" s="1" t="s">
        <v>30</v>
      </c>
      <c r="M65" s="1">
        <f>Table1[[#This Row],[ApplicantIncome]]+Table1[[#This Row],[CoapplicantIncome]]</f>
        <v>17365</v>
      </c>
      <c r="N65" s="1" t="s">
        <v>26</v>
      </c>
      <c r="O65" s="1" t="str">
        <f>IF(Table1[[#This Row],[Total_Income]]&lt;3000,"Low",IF(Table1[[#This Row],[Total_Income]]&lt;7000,"Medium","High"))</f>
        <v>High</v>
      </c>
      <c r="P65" s="1" t="str">
        <f t="shared" si="0"/>
        <v>Rejected</v>
      </c>
      <c r="Q65" s="1" t="str">
        <f t="shared" si="1"/>
        <v>High Risk</v>
      </c>
      <c r="R65" s="2">
        <f t="shared" si="2"/>
        <v>7291.7884207569514</v>
      </c>
    </row>
    <row r="66" spans="1:18" s="1" customFormat="1" ht="11.5" x14ac:dyDescent="0.25">
      <c r="A66" s="1" t="s">
        <v>97</v>
      </c>
      <c r="B66" s="1" t="s">
        <v>28</v>
      </c>
      <c r="C66" s="1" t="s">
        <v>22</v>
      </c>
      <c r="D66" s="1">
        <v>1</v>
      </c>
      <c r="E66" s="1" t="s">
        <v>17</v>
      </c>
      <c r="F66" s="1" t="s">
        <v>22</v>
      </c>
      <c r="G66" s="1">
        <v>15110</v>
      </c>
      <c r="H66" s="1">
        <v>1468</v>
      </c>
      <c r="I66" s="1">
        <v>249</v>
      </c>
      <c r="J66" s="1">
        <v>180</v>
      </c>
      <c r="K66" s="1">
        <v>0</v>
      </c>
      <c r="L66" s="1" t="s">
        <v>30</v>
      </c>
      <c r="M66" s="1">
        <f>Table1[[#This Row],[ApplicantIncome]]+Table1[[#This Row],[CoapplicantIncome]]</f>
        <v>16578</v>
      </c>
      <c r="N66" s="1" t="s">
        <v>26</v>
      </c>
      <c r="O66" s="1" t="str">
        <f>IF(Table1[[#This Row],[Total_Income]]&lt;3000,"Low",IF(Table1[[#This Row],[Total_Income]]&lt;7000,"Medium","High"))</f>
        <v>High</v>
      </c>
      <c r="P66" s="1" t="str">
        <f t="shared" ref="P66:P129" si="3">IF(N66="Y","Approved","Rejected")</f>
        <v>Rejected</v>
      </c>
      <c r="Q66" s="1" t="str">
        <f t="shared" ref="Q66:Q129" si="4">IF(K66=1,"Low Risk","High Risk")</f>
        <v>High Risk</v>
      </c>
      <c r="R66" s="2">
        <f t="shared" ref="R66:R129" si="5">-PMT(8%/12,J66,I66*1000)</f>
        <v>2379.5736899825752</v>
      </c>
    </row>
    <row r="67" spans="1:18" s="1" customFormat="1" ht="11.5" x14ac:dyDescent="0.25">
      <c r="A67" s="1" t="s">
        <v>98</v>
      </c>
      <c r="B67" s="1" t="s">
        <v>28</v>
      </c>
      <c r="C67" s="1" t="s">
        <v>22</v>
      </c>
      <c r="D67" s="1">
        <v>1</v>
      </c>
      <c r="E67" s="1" t="s">
        <v>25</v>
      </c>
      <c r="F67" s="1" t="s">
        <v>22</v>
      </c>
      <c r="G67" s="1">
        <v>15688</v>
      </c>
      <c r="H67" s="1">
        <v>4198</v>
      </c>
      <c r="I67" s="1">
        <v>349</v>
      </c>
      <c r="J67" s="1">
        <v>120</v>
      </c>
      <c r="K67" s="1">
        <v>1</v>
      </c>
      <c r="L67" s="1" t="s">
        <v>30</v>
      </c>
      <c r="M67" s="1">
        <f>Table1[[#This Row],[ApplicantIncome]]+Table1[[#This Row],[CoapplicantIncome]]</f>
        <v>19886</v>
      </c>
      <c r="N67" s="1" t="s">
        <v>20</v>
      </c>
      <c r="O67" s="1" t="str">
        <f>IF(Table1[[#This Row],[Total_Income]]&lt;3000,"Low",IF(Table1[[#This Row],[Total_Income]]&lt;7000,"Medium","High"))</f>
        <v>High</v>
      </c>
      <c r="P67" s="1" t="str">
        <f t="shared" si="3"/>
        <v>Approved</v>
      </c>
      <c r="Q67" s="1" t="str">
        <f t="shared" si="4"/>
        <v>Low Risk</v>
      </c>
      <c r="R67" s="2">
        <f t="shared" si="5"/>
        <v>4234.3330430019569</v>
      </c>
    </row>
    <row r="68" spans="1:18" s="1" customFormat="1" ht="11.5" x14ac:dyDescent="0.25">
      <c r="A68" s="1" t="s">
        <v>99</v>
      </c>
      <c r="B68" s="1" t="s">
        <v>52</v>
      </c>
      <c r="C68" s="1" t="s">
        <v>29</v>
      </c>
      <c r="D68" s="1">
        <v>2</v>
      </c>
      <c r="E68" s="1" t="s">
        <v>25</v>
      </c>
      <c r="F68" s="1" t="s">
        <v>29</v>
      </c>
      <c r="G68" s="1">
        <v>11585</v>
      </c>
      <c r="H68" s="1">
        <v>565</v>
      </c>
      <c r="I68" s="1">
        <v>305</v>
      </c>
      <c r="J68" s="1">
        <v>120</v>
      </c>
      <c r="K68" s="1">
        <v>0</v>
      </c>
      <c r="L68" s="1" t="s">
        <v>41</v>
      </c>
      <c r="M68" s="1">
        <f>Table1[[#This Row],[ApplicantIncome]]+Table1[[#This Row],[CoapplicantIncome]]</f>
        <v>12150</v>
      </c>
      <c r="N68" s="1" t="s">
        <v>26</v>
      </c>
      <c r="O68" s="1" t="str">
        <f>IF(Table1[[#This Row],[Total_Income]]&lt;3000,"Low",IF(Table1[[#This Row],[Total_Income]]&lt;7000,"Medium","High"))</f>
        <v>High</v>
      </c>
      <c r="P68" s="1" t="str">
        <f t="shared" si="3"/>
        <v>Rejected</v>
      </c>
      <c r="Q68" s="1" t="str">
        <f t="shared" si="4"/>
        <v>High Risk</v>
      </c>
      <c r="R68" s="2">
        <f t="shared" si="5"/>
        <v>3700.4916278383862</v>
      </c>
    </row>
    <row r="69" spans="1:18" s="1" customFormat="1" ht="11.5" x14ac:dyDescent="0.25">
      <c r="A69" s="1" t="s">
        <v>100</v>
      </c>
      <c r="B69" s="1" t="s">
        <v>52</v>
      </c>
      <c r="C69" s="1" t="s">
        <v>22</v>
      </c>
      <c r="D69" s="1" t="s">
        <v>16</v>
      </c>
      <c r="E69" s="1" t="s">
        <v>17</v>
      </c>
      <c r="F69" s="1" t="s">
        <v>29</v>
      </c>
      <c r="G69" s="1">
        <v>8281</v>
      </c>
      <c r="H69" s="1">
        <v>912</v>
      </c>
      <c r="I69" s="1">
        <v>421</v>
      </c>
      <c r="J69" s="1">
        <v>120</v>
      </c>
      <c r="K69" s="1">
        <v>0</v>
      </c>
      <c r="L69" s="1" t="s">
        <v>30</v>
      </c>
      <c r="M69" s="1">
        <f>Table1[[#This Row],[ApplicantIncome]]+Table1[[#This Row],[CoapplicantIncome]]</f>
        <v>9193</v>
      </c>
      <c r="N69" s="1" t="s">
        <v>20</v>
      </c>
      <c r="O69" s="1" t="str">
        <f>IF(Table1[[#This Row],[Total_Income]]&lt;3000,"Low",IF(Table1[[#This Row],[Total_Income]]&lt;7000,"Medium","High"))</f>
        <v>High</v>
      </c>
      <c r="P69" s="1" t="str">
        <f t="shared" si="3"/>
        <v>Approved</v>
      </c>
      <c r="Q69" s="1" t="str">
        <f t="shared" si="4"/>
        <v>High Risk</v>
      </c>
      <c r="R69" s="2">
        <f t="shared" si="5"/>
        <v>5107.8917223605267</v>
      </c>
    </row>
    <row r="70" spans="1:18" s="1" customFormat="1" ht="11.5" x14ac:dyDescent="0.25">
      <c r="A70" s="1" t="s">
        <v>101</v>
      </c>
      <c r="B70" s="1" t="s">
        <v>52</v>
      </c>
      <c r="C70" s="1" t="s">
        <v>29</v>
      </c>
      <c r="D70" s="1">
        <v>2</v>
      </c>
      <c r="E70" s="1" t="s">
        <v>17</v>
      </c>
      <c r="F70" s="1" t="s">
        <v>22</v>
      </c>
      <c r="G70" s="1">
        <v>13971</v>
      </c>
      <c r="H70" s="1">
        <v>9008</v>
      </c>
      <c r="I70" s="1">
        <v>601</v>
      </c>
      <c r="J70" s="1">
        <v>360</v>
      </c>
      <c r="K70" s="1">
        <v>1</v>
      </c>
      <c r="L70" s="1" t="s">
        <v>19</v>
      </c>
      <c r="M70" s="1">
        <f>Table1[[#This Row],[ApplicantIncome]]+Table1[[#This Row],[CoapplicantIncome]]</f>
        <v>22979</v>
      </c>
      <c r="N70" s="1" t="s">
        <v>26</v>
      </c>
      <c r="O70" s="1" t="str">
        <f>IF(Table1[[#This Row],[Total_Income]]&lt;3000,"Low",IF(Table1[[#This Row],[Total_Income]]&lt;7000,"Medium","High"))</f>
        <v>High</v>
      </c>
      <c r="P70" s="1" t="str">
        <f t="shared" si="3"/>
        <v>Rejected</v>
      </c>
      <c r="Q70" s="1" t="str">
        <f t="shared" si="4"/>
        <v>Low Risk</v>
      </c>
      <c r="R70" s="2">
        <f t="shared" si="5"/>
        <v>4409.9250890150506</v>
      </c>
    </row>
    <row r="71" spans="1:18" s="1" customFormat="1" ht="11.5" x14ac:dyDescent="0.25">
      <c r="A71" s="1" t="s">
        <v>102</v>
      </c>
      <c r="B71" s="1" t="s">
        <v>52</v>
      </c>
      <c r="C71" s="1" t="s">
        <v>22</v>
      </c>
      <c r="D71" s="1">
        <v>0</v>
      </c>
      <c r="E71" s="1" t="s">
        <v>25</v>
      </c>
      <c r="F71" s="1" t="s">
        <v>29</v>
      </c>
      <c r="G71" s="1">
        <v>11242</v>
      </c>
      <c r="H71" s="1">
        <v>887</v>
      </c>
      <c r="I71" s="1">
        <v>301</v>
      </c>
      <c r="J71" s="1">
        <v>180</v>
      </c>
      <c r="K71" s="1">
        <v>0</v>
      </c>
      <c r="L71" s="1" t="s">
        <v>30</v>
      </c>
      <c r="M71" s="1">
        <f>Table1[[#This Row],[ApplicantIncome]]+Table1[[#This Row],[CoapplicantIncome]]</f>
        <v>12129</v>
      </c>
      <c r="N71" s="1" t="s">
        <v>20</v>
      </c>
      <c r="O71" s="1" t="str">
        <f>IF(Table1[[#This Row],[Total_Income]]&lt;3000,"Low",IF(Table1[[#This Row],[Total_Income]]&lt;7000,"Medium","High"))</f>
        <v>High</v>
      </c>
      <c r="P71" s="1" t="str">
        <f t="shared" si="3"/>
        <v>Approved</v>
      </c>
      <c r="Q71" s="1" t="str">
        <f t="shared" si="4"/>
        <v>High Risk</v>
      </c>
      <c r="R71" s="2">
        <f t="shared" si="5"/>
        <v>2876.5127738343576</v>
      </c>
    </row>
    <row r="72" spans="1:18" s="1" customFormat="1" ht="11.5" x14ac:dyDescent="0.25">
      <c r="A72" s="1" t="s">
        <v>103</v>
      </c>
      <c r="B72" s="1" t="s">
        <v>52</v>
      </c>
      <c r="C72" s="1" t="s">
        <v>29</v>
      </c>
      <c r="D72" s="1">
        <v>0</v>
      </c>
      <c r="E72" s="1" t="s">
        <v>25</v>
      </c>
      <c r="F72" s="1" t="s">
        <v>29</v>
      </c>
      <c r="G72" s="1">
        <v>10911</v>
      </c>
      <c r="H72" s="1">
        <v>4892</v>
      </c>
      <c r="I72" s="1">
        <v>122</v>
      </c>
      <c r="J72" s="1">
        <v>360</v>
      </c>
      <c r="K72" s="1">
        <v>0</v>
      </c>
      <c r="L72" s="1" t="s">
        <v>41</v>
      </c>
      <c r="M72" s="1">
        <f>Table1[[#This Row],[ApplicantIncome]]+Table1[[#This Row],[CoapplicantIncome]]</f>
        <v>15803</v>
      </c>
      <c r="N72" s="1" t="s">
        <v>26</v>
      </c>
      <c r="O72" s="1" t="str">
        <f>IF(Table1[[#This Row],[Total_Income]]&lt;3000,"Low",IF(Table1[[#This Row],[Total_Income]]&lt;7000,"Medium","High"))</f>
        <v>High</v>
      </c>
      <c r="P72" s="1" t="str">
        <f t="shared" si="3"/>
        <v>Rejected</v>
      </c>
      <c r="Q72" s="1" t="str">
        <f t="shared" si="4"/>
        <v>High Risk</v>
      </c>
      <c r="R72" s="2">
        <f t="shared" si="5"/>
        <v>895.19278013283895</v>
      </c>
    </row>
    <row r="73" spans="1:18" s="1" customFormat="1" ht="11.5" x14ac:dyDescent="0.25">
      <c r="A73" s="1" t="s">
        <v>104</v>
      </c>
      <c r="B73" s="1" t="s">
        <v>1238</v>
      </c>
      <c r="C73" s="1" t="s">
        <v>22</v>
      </c>
      <c r="D73" s="1">
        <v>0</v>
      </c>
      <c r="E73" s="1" t="s">
        <v>17</v>
      </c>
      <c r="F73" s="1" t="s">
        <v>22</v>
      </c>
      <c r="G73" s="1">
        <v>18768</v>
      </c>
      <c r="H73" s="1">
        <v>1158</v>
      </c>
      <c r="I73" s="1">
        <v>649</v>
      </c>
      <c r="J73" s="1">
        <v>360</v>
      </c>
      <c r="K73" s="1">
        <v>1</v>
      </c>
      <c r="L73" s="1" t="s">
        <v>19</v>
      </c>
      <c r="M73" s="1">
        <f>Table1[[#This Row],[ApplicantIncome]]+Table1[[#This Row],[CoapplicantIncome]]</f>
        <v>19926</v>
      </c>
      <c r="N73" s="1" t="s">
        <v>20</v>
      </c>
      <c r="O73" s="1" t="str">
        <f>IF(Table1[[#This Row],[Total_Income]]&lt;3000,"Low",IF(Table1[[#This Row],[Total_Income]]&lt;7000,"Medium","High"))</f>
        <v>High</v>
      </c>
      <c r="P73" s="1" t="str">
        <f t="shared" si="3"/>
        <v>Approved</v>
      </c>
      <c r="Q73" s="1" t="str">
        <f t="shared" si="4"/>
        <v>Low Risk</v>
      </c>
      <c r="R73" s="2">
        <f t="shared" si="5"/>
        <v>4762.1320844771517</v>
      </c>
    </row>
    <row r="74" spans="1:18" s="1" customFormat="1" ht="11.5" x14ac:dyDescent="0.25">
      <c r="A74" s="1" t="s">
        <v>105</v>
      </c>
      <c r="B74" s="1" t="s">
        <v>1238</v>
      </c>
      <c r="C74" s="1" t="s">
        <v>29</v>
      </c>
      <c r="D74" s="1">
        <v>1</v>
      </c>
      <c r="E74" s="1" t="s">
        <v>17</v>
      </c>
      <c r="F74" s="1" t="s">
        <v>22</v>
      </c>
      <c r="G74" s="1">
        <v>17454</v>
      </c>
      <c r="H74" s="1">
        <v>9143</v>
      </c>
      <c r="I74" s="1">
        <v>568</v>
      </c>
      <c r="J74" s="1">
        <v>120</v>
      </c>
      <c r="K74" s="1">
        <v>0</v>
      </c>
      <c r="L74" s="1" t="s">
        <v>30</v>
      </c>
      <c r="M74" s="1">
        <f>Table1[[#This Row],[ApplicantIncome]]+Table1[[#This Row],[CoapplicantIncome]]</f>
        <v>26597</v>
      </c>
      <c r="N74" s="1" t="s">
        <v>26</v>
      </c>
      <c r="O74" s="1" t="str">
        <f>IF(Table1[[#This Row],[Total_Income]]&lt;3000,"Low",IF(Table1[[#This Row],[Total_Income]]&lt;7000,"Medium","High"))</f>
        <v>High</v>
      </c>
      <c r="P74" s="1" t="str">
        <f t="shared" si="3"/>
        <v>Rejected</v>
      </c>
      <c r="Q74" s="1" t="str">
        <f t="shared" si="4"/>
        <v>High Risk</v>
      </c>
      <c r="R74" s="2">
        <f t="shared" si="5"/>
        <v>6891.4073593842731</v>
      </c>
    </row>
    <row r="75" spans="1:18" s="1" customFormat="1" ht="11.5" x14ac:dyDescent="0.25">
      <c r="A75" s="1" t="s">
        <v>106</v>
      </c>
      <c r="B75" s="1" t="s">
        <v>1238</v>
      </c>
      <c r="C75" s="1" t="s">
        <v>22</v>
      </c>
      <c r="D75" s="1">
        <v>1</v>
      </c>
      <c r="E75" s="1" t="s">
        <v>17</v>
      </c>
      <c r="F75" s="1" t="s">
        <v>22</v>
      </c>
      <c r="G75" s="1">
        <v>3536</v>
      </c>
      <c r="H75" s="1">
        <v>7526</v>
      </c>
      <c r="I75" s="1">
        <v>89</v>
      </c>
      <c r="J75" s="1">
        <v>120</v>
      </c>
      <c r="K75" s="1">
        <v>0</v>
      </c>
      <c r="L75" s="1" t="s">
        <v>41</v>
      </c>
      <c r="M75" s="1">
        <f>Table1[[#This Row],[ApplicantIncome]]+Table1[[#This Row],[CoapplicantIncome]]</f>
        <v>11062</v>
      </c>
      <c r="N75" s="1" t="s">
        <v>20</v>
      </c>
      <c r="O75" s="1" t="str">
        <f>IF(Table1[[#This Row],[Total_Income]]&lt;3000,"Low",IF(Table1[[#This Row],[Total_Income]]&lt;7000,"Medium","High"))</f>
        <v>High</v>
      </c>
      <c r="P75" s="1" t="str">
        <f t="shared" si="3"/>
        <v>Approved</v>
      </c>
      <c r="Q75" s="1" t="str">
        <f t="shared" si="4"/>
        <v>High Risk</v>
      </c>
      <c r="R75" s="2">
        <f t="shared" si="5"/>
        <v>1079.8155897626766</v>
      </c>
    </row>
    <row r="76" spans="1:18" s="1" customFormat="1" ht="11.5" x14ac:dyDescent="0.25">
      <c r="A76" s="1" t="s">
        <v>107</v>
      </c>
      <c r="B76" s="1" t="s">
        <v>1238</v>
      </c>
      <c r="C76" s="1" t="s">
        <v>22</v>
      </c>
      <c r="D76" s="1" t="s">
        <v>16</v>
      </c>
      <c r="E76" s="1" t="s">
        <v>17</v>
      </c>
      <c r="F76" s="1" t="s">
        <v>22</v>
      </c>
      <c r="G76" s="1">
        <v>10537</v>
      </c>
      <c r="H76" s="1">
        <v>7032</v>
      </c>
      <c r="I76" s="1">
        <v>273</v>
      </c>
      <c r="J76" s="1">
        <v>360</v>
      </c>
      <c r="K76" s="1">
        <v>0</v>
      </c>
      <c r="L76" s="1" t="s">
        <v>30</v>
      </c>
      <c r="M76" s="1">
        <f>Table1[[#This Row],[ApplicantIncome]]+Table1[[#This Row],[CoapplicantIncome]]</f>
        <v>17569</v>
      </c>
      <c r="N76" s="1" t="s">
        <v>26</v>
      </c>
      <c r="O76" s="1" t="str">
        <f>IF(Table1[[#This Row],[Total_Income]]&lt;3000,"Low",IF(Table1[[#This Row],[Total_Income]]&lt;7000,"Medium","High"))</f>
        <v>High</v>
      </c>
      <c r="P76" s="1" t="str">
        <f t="shared" si="3"/>
        <v>Rejected</v>
      </c>
      <c r="Q76" s="1" t="str">
        <f t="shared" si="4"/>
        <v>High Risk</v>
      </c>
      <c r="R76" s="2">
        <f t="shared" si="5"/>
        <v>2003.1772866906972</v>
      </c>
    </row>
    <row r="77" spans="1:18" s="1" customFormat="1" ht="11.5" x14ac:dyDescent="0.25">
      <c r="A77" s="1" t="s">
        <v>108</v>
      </c>
      <c r="B77" s="1" t="s">
        <v>28</v>
      </c>
      <c r="C77" s="1" t="s">
        <v>22</v>
      </c>
      <c r="D77" s="1">
        <v>2</v>
      </c>
      <c r="E77" s="1" t="s">
        <v>17</v>
      </c>
      <c r="F77" s="1" t="s">
        <v>22</v>
      </c>
      <c r="G77" s="1">
        <v>9903</v>
      </c>
      <c r="H77" s="1">
        <v>1705</v>
      </c>
      <c r="I77" s="1">
        <v>490</v>
      </c>
      <c r="J77" s="1">
        <v>360</v>
      </c>
      <c r="K77" s="1">
        <v>1</v>
      </c>
      <c r="L77" s="1" t="s">
        <v>19</v>
      </c>
      <c r="M77" s="1">
        <f>Table1[[#This Row],[ApplicantIncome]]+Table1[[#This Row],[CoapplicantIncome]]</f>
        <v>11608</v>
      </c>
      <c r="N77" s="1" t="s">
        <v>20</v>
      </c>
      <c r="O77" s="1" t="str">
        <f>IF(Table1[[#This Row],[Total_Income]]&lt;3000,"Low",IF(Table1[[#This Row],[Total_Income]]&lt;7000,"Medium","High"))</f>
        <v>High</v>
      </c>
      <c r="P77" s="1" t="str">
        <f t="shared" si="3"/>
        <v>Approved</v>
      </c>
      <c r="Q77" s="1" t="str">
        <f t="shared" si="4"/>
        <v>Low Risk</v>
      </c>
      <c r="R77" s="2">
        <f t="shared" si="5"/>
        <v>3595.4464120089438</v>
      </c>
    </row>
    <row r="78" spans="1:18" s="1" customFormat="1" ht="11.5" x14ac:dyDescent="0.25">
      <c r="A78" s="1" t="s">
        <v>109</v>
      </c>
      <c r="B78" s="1" t="s">
        <v>1238</v>
      </c>
      <c r="C78" s="1" t="s">
        <v>29</v>
      </c>
      <c r="D78" s="1">
        <v>0</v>
      </c>
      <c r="E78" s="1" t="s">
        <v>17</v>
      </c>
      <c r="F78" s="1" t="s">
        <v>22</v>
      </c>
      <c r="G78" s="1">
        <v>14557</v>
      </c>
      <c r="H78" s="1">
        <v>5045</v>
      </c>
      <c r="I78" s="1">
        <v>96</v>
      </c>
      <c r="J78" s="1">
        <v>180</v>
      </c>
      <c r="K78" s="1">
        <v>0</v>
      </c>
      <c r="L78" s="1" t="s">
        <v>41</v>
      </c>
      <c r="M78" s="1">
        <f>Table1[[#This Row],[ApplicantIncome]]+Table1[[#This Row],[CoapplicantIncome]]</f>
        <v>19602</v>
      </c>
      <c r="N78" s="1" t="s">
        <v>26</v>
      </c>
      <c r="O78" s="1" t="str">
        <f>IF(Table1[[#This Row],[Total_Income]]&lt;3000,"Low",IF(Table1[[#This Row],[Total_Income]]&lt;7000,"Medium","High"))</f>
        <v>High</v>
      </c>
      <c r="P78" s="1" t="str">
        <f t="shared" si="3"/>
        <v>Rejected</v>
      </c>
      <c r="Q78" s="1" t="str">
        <f t="shared" si="4"/>
        <v>High Risk</v>
      </c>
      <c r="R78" s="2">
        <f t="shared" si="5"/>
        <v>917.42600095713726</v>
      </c>
    </row>
    <row r="79" spans="1:18" s="1" customFormat="1" ht="11.5" x14ac:dyDescent="0.25">
      <c r="A79" s="1" t="s">
        <v>110</v>
      </c>
      <c r="B79" s="1" t="s">
        <v>52</v>
      </c>
      <c r="C79" s="1" t="s">
        <v>22</v>
      </c>
      <c r="D79" s="1">
        <v>2</v>
      </c>
      <c r="E79" s="1" t="s">
        <v>17</v>
      </c>
      <c r="F79" s="1" t="s">
        <v>22</v>
      </c>
      <c r="G79" s="1">
        <v>16905</v>
      </c>
      <c r="H79" s="1">
        <v>18</v>
      </c>
      <c r="I79" s="1">
        <v>632</v>
      </c>
      <c r="J79" s="1">
        <v>120</v>
      </c>
      <c r="K79" s="1">
        <v>1</v>
      </c>
      <c r="L79" s="1" t="s">
        <v>30</v>
      </c>
      <c r="M79" s="1">
        <f>Table1[[#This Row],[ApplicantIncome]]+Table1[[#This Row],[CoapplicantIncome]]</f>
        <v>16923</v>
      </c>
      <c r="N79" s="1" t="s">
        <v>26</v>
      </c>
      <c r="O79" s="1" t="str">
        <f>IF(Table1[[#This Row],[Total_Income]]&lt;3000,"Low",IF(Table1[[#This Row],[Total_Income]]&lt;7000,"Medium","High"))</f>
        <v>High</v>
      </c>
      <c r="P79" s="1" t="str">
        <f t="shared" si="3"/>
        <v>Rejected</v>
      </c>
      <c r="Q79" s="1" t="str">
        <f t="shared" si="4"/>
        <v>Low Risk</v>
      </c>
      <c r="R79" s="2">
        <f t="shared" si="5"/>
        <v>7667.9039632585573</v>
      </c>
    </row>
    <row r="80" spans="1:18" s="1" customFormat="1" ht="11.5" x14ac:dyDescent="0.25">
      <c r="A80" s="1" t="s">
        <v>111</v>
      </c>
      <c r="B80" s="1" t="s">
        <v>28</v>
      </c>
      <c r="C80" s="1" t="s">
        <v>29</v>
      </c>
      <c r="D80" s="1" t="s">
        <v>16</v>
      </c>
      <c r="E80" s="1" t="s">
        <v>25</v>
      </c>
      <c r="F80" s="1" t="s">
        <v>22</v>
      </c>
      <c r="G80" s="1">
        <v>17517</v>
      </c>
      <c r="H80" s="1">
        <v>1640</v>
      </c>
      <c r="I80" s="1">
        <v>127</v>
      </c>
      <c r="J80" s="1">
        <v>360</v>
      </c>
      <c r="K80" s="1">
        <v>0</v>
      </c>
      <c r="L80" s="1" t="s">
        <v>41</v>
      </c>
      <c r="M80" s="1">
        <f>Table1[[#This Row],[ApplicantIncome]]+Table1[[#This Row],[CoapplicantIncome]]</f>
        <v>19157</v>
      </c>
      <c r="N80" s="1" t="s">
        <v>26</v>
      </c>
      <c r="O80" s="1" t="str">
        <f>IF(Table1[[#This Row],[Total_Income]]&lt;3000,"Low",IF(Table1[[#This Row],[Total_Income]]&lt;7000,"Medium","High"))</f>
        <v>High</v>
      </c>
      <c r="P80" s="1" t="str">
        <f t="shared" si="3"/>
        <v>Rejected</v>
      </c>
      <c r="Q80" s="1" t="str">
        <f t="shared" si="4"/>
        <v>High Risk</v>
      </c>
      <c r="R80" s="2">
        <f t="shared" si="5"/>
        <v>931.88100882680783</v>
      </c>
    </row>
    <row r="81" spans="1:18" s="1" customFormat="1" ht="11.5" x14ac:dyDescent="0.25">
      <c r="A81" s="1" t="s">
        <v>112</v>
      </c>
      <c r="B81" s="1" t="s">
        <v>1238</v>
      </c>
      <c r="C81" s="1" t="s">
        <v>22</v>
      </c>
      <c r="D81" s="1">
        <v>2</v>
      </c>
      <c r="E81" s="1" t="s">
        <v>25</v>
      </c>
      <c r="F81" s="1" t="s">
        <v>29</v>
      </c>
      <c r="G81" s="1">
        <v>18393</v>
      </c>
      <c r="H81" s="1">
        <v>2385</v>
      </c>
      <c r="I81" s="1">
        <v>144</v>
      </c>
      <c r="J81" s="1">
        <v>360</v>
      </c>
      <c r="K81" s="1">
        <v>1</v>
      </c>
      <c r="L81" s="1" t="s">
        <v>30</v>
      </c>
      <c r="M81" s="1">
        <f>Table1[[#This Row],[ApplicantIncome]]+Table1[[#This Row],[CoapplicantIncome]]</f>
        <v>20778</v>
      </c>
      <c r="N81" s="1" t="s">
        <v>26</v>
      </c>
      <c r="O81" s="1" t="str">
        <f>IF(Table1[[#This Row],[Total_Income]]&lt;3000,"Low",IF(Table1[[#This Row],[Total_Income]]&lt;7000,"Medium","High"))</f>
        <v>High</v>
      </c>
      <c r="P81" s="1" t="str">
        <f t="shared" si="3"/>
        <v>Rejected</v>
      </c>
      <c r="Q81" s="1" t="str">
        <f t="shared" si="4"/>
        <v>Low Risk</v>
      </c>
      <c r="R81" s="2">
        <f t="shared" si="5"/>
        <v>1056.6209863863016</v>
      </c>
    </row>
    <row r="82" spans="1:18" s="1" customFormat="1" ht="11.5" x14ac:dyDescent="0.25">
      <c r="A82" s="1" t="s">
        <v>113</v>
      </c>
      <c r="B82" s="1" t="s">
        <v>52</v>
      </c>
      <c r="C82" s="1" t="s">
        <v>29</v>
      </c>
      <c r="D82" s="1">
        <v>1</v>
      </c>
      <c r="E82" s="1" t="s">
        <v>17</v>
      </c>
      <c r="F82" s="1" t="s">
        <v>22</v>
      </c>
      <c r="G82" s="1">
        <v>11548</v>
      </c>
      <c r="H82" s="1">
        <v>9487</v>
      </c>
      <c r="I82" s="1">
        <v>435</v>
      </c>
      <c r="J82" s="1">
        <v>180</v>
      </c>
      <c r="K82" s="1">
        <v>0</v>
      </c>
      <c r="L82" s="1" t="s">
        <v>30</v>
      </c>
      <c r="M82" s="1">
        <f>Table1[[#This Row],[ApplicantIncome]]+Table1[[#This Row],[CoapplicantIncome]]</f>
        <v>21035</v>
      </c>
      <c r="N82" s="1" t="s">
        <v>26</v>
      </c>
      <c r="O82" s="1" t="str">
        <f>IF(Table1[[#This Row],[Total_Income]]&lt;3000,"Low",IF(Table1[[#This Row],[Total_Income]]&lt;7000,"Medium","High"))</f>
        <v>High</v>
      </c>
      <c r="P82" s="1" t="str">
        <f t="shared" si="3"/>
        <v>Rejected</v>
      </c>
      <c r="Q82" s="1" t="str">
        <f t="shared" si="4"/>
        <v>High Risk</v>
      </c>
      <c r="R82" s="2">
        <f t="shared" si="5"/>
        <v>4157.0865668370288</v>
      </c>
    </row>
    <row r="83" spans="1:18" s="1" customFormat="1" ht="11.5" x14ac:dyDescent="0.25">
      <c r="A83" s="1" t="s">
        <v>114</v>
      </c>
      <c r="B83" s="1" t="s">
        <v>1238</v>
      </c>
      <c r="C83" s="1" t="s">
        <v>22</v>
      </c>
      <c r="D83" s="1" t="s">
        <v>16</v>
      </c>
      <c r="E83" s="1" t="s">
        <v>17</v>
      </c>
      <c r="F83" s="1" t="s">
        <v>22</v>
      </c>
      <c r="G83" s="1">
        <v>17474</v>
      </c>
      <c r="H83" s="1">
        <v>475</v>
      </c>
      <c r="I83" s="1">
        <v>395</v>
      </c>
      <c r="J83" s="1">
        <v>180</v>
      </c>
      <c r="K83" s="1">
        <v>0</v>
      </c>
      <c r="L83" s="1" t="s">
        <v>30</v>
      </c>
      <c r="M83" s="1">
        <f>Table1[[#This Row],[ApplicantIncome]]+Table1[[#This Row],[CoapplicantIncome]]</f>
        <v>17949</v>
      </c>
      <c r="N83" s="1" t="s">
        <v>26</v>
      </c>
      <c r="O83" s="1" t="str">
        <f>IF(Table1[[#This Row],[Total_Income]]&lt;3000,"Low",IF(Table1[[#This Row],[Total_Income]]&lt;7000,"Medium","High"))</f>
        <v>High</v>
      </c>
      <c r="P83" s="1" t="str">
        <f t="shared" si="3"/>
        <v>Rejected</v>
      </c>
      <c r="Q83" s="1" t="str">
        <f t="shared" si="4"/>
        <v>High Risk</v>
      </c>
      <c r="R83" s="2">
        <f t="shared" si="5"/>
        <v>3774.8257331048885</v>
      </c>
    </row>
    <row r="84" spans="1:18" s="1" customFormat="1" ht="11.5" x14ac:dyDescent="0.25">
      <c r="A84" s="1" t="s">
        <v>115</v>
      </c>
      <c r="B84" s="1" t="s">
        <v>1238</v>
      </c>
      <c r="C84" s="1" t="s">
        <v>22</v>
      </c>
      <c r="D84" s="1">
        <v>2</v>
      </c>
      <c r="E84" s="1" t="s">
        <v>25</v>
      </c>
      <c r="F84" s="1" t="s">
        <v>22</v>
      </c>
      <c r="G84" s="1">
        <v>15138</v>
      </c>
      <c r="H84" s="1">
        <v>5402</v>
      </c>
      <c r="I84" s="1">
        <v>673</v>
      </c>
      <c r="J84" s="1">
        <v>180</v>
      </c>
      <c r="K84" s="1">
        <v>0</v>
      </c>
      <c r="L84" s="1" t="s">
        <v>19</v>
      </c>
      <c r="M84" s="1">
        <f>Table1[[#This Row],[ApplicantIncome]]+Table1[[#This Row],[CoapplicantIncome]]</f>
        <v>20540</v>
      </c>
      <c r="N84" s="1" t="s">
        <v>26</v>
      </c>
      <c r="O84" s="1" t="str">
        <f>IF(Table1[[#This Row],[Total_Income]]&lt;3000,"Low",IF(Table1[[#This Row],[Total_Income]]&lt;7000,"Medium","High"))</f>
        <v>High</v>
      </c>
      <c r="P84" s="1" t="str">
        <f t="shared" si="3"/>
        <v>Rejected</v>
      </c>
      <c r="Q84" s="1" t="str">
        <f t="shared" si="4"/>
        <v>High Risk</v>
      </c>
      <c r="R84" s="2">
        <f t="shared" si="5"/>
        <v>6431.5385275432654</v>
      </c>
    </row>
    <row r="85" spans="1:18" s="1" customFormat="1" ht="11.5" x14ac:dyDescent="0.25">
      <c r="A85" s="1" t="s">
        <v>116</v>
      </c>
      <c r="B85" s="1" t="s">
        <v>52</v>
      </c>
      <c r="C85" s="1" t="s">
        <v>22</v>
      </c>
      <c r="D85" s="1">
        <v>2</v>
      </c>
      <c r="E85" s="1" t="s">
        <v>25</v>
      </c>
      <c r="F85" s="1" t="s">
        <v>29</v>
      </c>
      <c r="G85" s="1">
        <v>18189</v>
      </c>
      <c r="H85" s="1">
        <v>6462</v>
      </c>
      <c r="I85" s="1">
        <v>552</v>
      </c>
      <c r="J85" s="1">
        <v>180</v>
      </c>
      <c r="K85" s="1">
        <v>0</v>
      </c>
      <c r="L85" s="1" t="s">
        <v>41</v>
      </c>
      <c r="M85" s="1">
        <f>Table1[[#This Row],[ApplicantIncome]]+Table1[[#This Row],[CoapplicantIncome]]</f>
        <v>24651</v>
      </c>
      <c r="N85" s="1" t="s">
        <v>20</v>
      </c>
      <c r="O85" s="1" t="str">
        <f>IF(Table1[[#This Row],[Total_Income]]&lt;3000,"Low",IF(Table1[[#This Row],[Total_Income]]&lt;7000,"Medium","High"))</f>
        <v>High</v>
      </c>
      <c r="P85" s="1" t="str">
        <f t="shared" si="3"/>
        <v>Approved</v>
      </c>
      <c r="Q85" s="1" t="str">
        <f t="shared" si="4"/>
        <v>High Risk</v>
      </c>
      <c r="R85" s="2">
        <f t="shared" si="5"/>
        <v>5275.1995055035395</v>
      </c>
    </row>
    <row r="86" spans="1:18" s="1" customFormat="1" ht="11.5" x14ac:dyDescent="0.25">
      <c r="A86" s="1" t="s">
        <v>117</v>
      </c>
      <c r="B86" s="1" t="s">
        <v>52</v>
      </c>
      <c r="C86" s="1" t="s">
        <v>22</v>
      </c>
      <c r="D86" s="1">
        <v>1</v>
      </c>
      <c r="E86" s="1" t="s">
        <v>25</v>
      </c>
      <c r="F86" s="1" t="s">
        <v>29</v>
      </c>
      <c r="G86" s="1">
        <v>17798</v>
      </c>
      <c r="H86" s="1">
        <v>4189</v>
      </c>
      <c r="I86" s="1">
        <v>494</v>
      </c>
      <c r="J86" s="1">
        <v>360</v>
      </c>
      <c r="K86" s="1">
        <v>0</v>
      </c>
      <c r="L86" s="1" t="s">
        <v>30</v>
      </c>
      <c r="M86" s="1">
        <f>Table1[[#This Row],[ApplicantIncome]]+Table1[[#This Row],[CoapplicantIncome]]</f>
        <v>21987</v>
      </c>
      <c r="N86" s="1" t="s">
        <v>26</v>
      </c>
      <c r="O86" s="1" t="str">
        <f>IF(Table1[[#This Row],[Total_Income]]&lt;3000,"Low",IF(Table1[[#This Row],[Total_Income]]&lt;7000,"Medium","High"))</f>
        <v>High</v>
      </c>
      <c r="P86" s="1" t="str">
        <f t="shared" si="3"/>
        <v>Rejected</v>
      </c>
      <c r="Q86" s="1" t="str">
        <f t="shared" si="4"/>
        <v>High Risk</v>
      </c>
      <c r="R86" s="2">
        <f t="shared" si="5"/>
        <v>3624.7969949641183</v>
      </c>
    </row>
    <row r="87" spans="1:18" s="1" customFormat="1" ht="11.5" x14ac:dyDescent="0.25">
      <c r="A87" s="1" t="s">
        <v>118</v>
      </c>
      <c r="B87" s="1" t="s">
        <v>52</v>
      </c>
      <c r="C87" s="1" t="s">
        <v>22</v>
      </c>
      <c r="D87" s="1" t="s">
        <v>16</v>
      </c>
      <c r="E87" s="1" t="s">
        <v>17</v>
      </c>
      <c r="F87" s="1" t="s">
        <v>29</v>
      </c>
      <c r="G87" s="1">
        <v>3423</v>
      </c>
      <c r="H87" s="1">
        <v>9414</v>
      </c>
      <c r="I87" s="1">
        <v>685</v>
      </c>
      <c r="J87" s="1">
        <v>360</v>
      </c>
      <c r="K87" s="1">
        <v>0</v>
      </c>
      <c r="L87" s="1" t="s">
        <v>41</v>
      </c>
      <c r="M87" s="1">
        <f>Table1[[#This Row],[ApplicantIncome]]+Table1[[#This Row],[CoapplicantIncome]]</f>
        <v>12837</v>
      </c>
      <c r="N87" s="1" t="s">
        <v>26</v>
      </c>
      <c r="O87" s="1" t="str">
        <f>IF(Table1[[#This Row],[Total_Income]]&lt;3000,"Low",IF(Table1[[#This Row],[Total_Income]]&lt;7000,"Medium","High"))</f>
        <v>High</v>
      </c>
      <c r="P87" s="1" t="str">
        <f t="shared" si="3"/>
        <v>Rejected</v>
      </c>
      <c r="Q87" s="1" t="str">
        <f t="shared" si="4"/>
        <v>High Risk</v>
      </c>
      <c r="R87" s="2">
        <f t="shared" si="5"/>
        <v>5026.2873310737268</v>
      </c>
    </row>
    <row r="88" spans="1:18" s="1" customFormat="1" ht="11.5" x14ac:dyDescent="0.25">
      <c r="A88" s="1" t="s">
        <v>119</v>
      </c>
      <c r="B88" s="1" t="s">
        <v>1238</v>
      </c>
      <c r="C88" s="1" t="s">
        <v>29</v>
      </c>
      <c r="D88" s="1">
        <v>2</v>
      </c>
      <c r="E88" s="1" t="s">
        <v>25</v>
      </c>
      <c r="F88" s="1" t="s">
        <v>22</v>
      </c>
      <c r="G88" s="1">
        <v>2121</v>
      </c>
      <c r="H88" s="1">
        <v>1225</v>
      </c>
      <c r="I88" s="1">
        <v>364</v>
      </c>
      <c r="J88" s="1">
        <v>360</v>
      </c>
      <c r="K88" s="1">
        <v>0</v>
      </c>
      <c r="L88" s="1" t="s">
        <v>30</v>
      </c>
      <c r="M88" s="1">
        <f>Table1[[#This Row],[ApplicantIncome]]+Table1[[#This Row],[CoapplicantIncome]]</f>
        <v>3346</v>
      </c>
      <c r="N88" s="1" t="s">
        <v>26</v>
      </c>
      <c r="O88" s="1" t="str">
        <f>IF(Table1[[#This Row],[Total_Income]]&lt;3000,"Low",IF(Table1[[#This Row],[Total_Income]]&lt;7000,"Medium","High"))</f>
        <v>Medium</v>
      </c>
      <c r="P88" s="1" t="str">
        <f t="shared" si="3"/>
        <v>Rejected</v>
      </c>
      <c r="Q88" s="1" t="str">
        <f t="shared" si="4"/>
        <v>High Risk</v>
      </c>
      <c r="R88" s="2">
        <f t="shared" si="5"/>
        <v>2670.903048920929</v>
      </c>
    </row>
    <row r="89" spans="1:18" s="1" customFormat="1" ht="11.5" x14ac:dyDescent="0.25">
      <c r="A89" s="1" t="s">
        <v>120</v>
      </c>
      <c r="B89" s="1" t="s">
        <v>1238</v>
      </c>
      <c r="C89" s="1" t="s">
        <v>29</v>
      </c>
      <c r="D89" s="1">
        <v>0</v>
      </c>
      <c r="E89" s="1" t="s">
        <v>17</v>
      </c>
      <c r="F89" s="1" t="s">
        <v>22</v>
      </c>
      <c r="G89" s="1">
        <v>17974</v>
      </c>
      <c r="H89" s="1">
        <v>5038</v>
      </c>
      <c r="I89" s="1">
        <v>327</v>
      </c>
      <c r="J89" s="1">
        <v>120</v>
      </c>
      <c r="K89" s="1">
        <v>0</v>
      </c>
      <c r="L89" s="1" t="s">
        <v>41</v>
      </c>
      <c r="M89" s="1">
        <f>Table1[[#This Row],[ApplicantIncome]]+Table1[[#This Row],[CoapplicantIncome]]</f>
        <v>23012</v>
      </c>
      <c r="N89" s="1" t="s">
        <v>26</v>
      </c>
      <c r="O89" s="1" t="str">
        <f>IF(Table1[[#This Row],[Total_Income]]&lt;3000,"Low",IF(Table1[[#This Row],[Total_Income]]&lt;7000,"Medium","High"))</f>
        <v>High</v>
      </c>
      <c r="P89" s="1" t="str">
        <f t="shared" si="3"/>
        <v>Rejected</v>
      </c>
      <c r="Q89" s="1" t="str">
        <f t="shared" si="4"/>
        <v>High Risk</v>
      </c>
      <c r="R89" s="2">
        <f t="shared" si="5"/>
        <v>3967.4123354201711</v>
      </c>
    </row>
    <row r="90" spans="1:18" s="1" customFormat="1" ht="11.5" x14ac:dyDescent="0.25">
      <c r="A90" s="1" t="s">
        <v>121</v>
      </c>
      <c r="B90" s="1" t="s">
        <v>1238</v>
      </c>
      <c r="C90" s="1" t="s">
        <v>22</v>
      </c>
      <c r="D90" s="1" t="s">
        <v>16</v>
      </c>
      <c r="E90" s="1" t="s">
        <v>17</v>
      </c>
      <c r="F90" s="1" t="s">
        <v>22</v>
      </c>
      <c r="G90" s="1">
        <v>12503</v>
      </c>
      <c r="H90" s="1">
        <v>864</v>
      </c>
      <c r="I90" s="1">
        <v>627</v>
      </c>
      <c r="J90" s="1">
        <v>180</v>
      </c>
      <c r="K90" s="1">
        <v>0</v>
      </c>
      <c r="L90" s="1" t="s">
        <v>19</v>
      </c>
      <c r="M90" s="1">
        <f>Table1[[#This Row],[ApplicantIncome]]+Table1[[#This Row],[CoapplicantIncome]]</f>
        <v>13367</v>
      </c>
      <c r="N90" s="1" t="s">
        <v>20</v>
      </c>
      <c r="O90" s="1" t="str">
        <f>IF(Table1[[#This Row],[Total_Income]]&lt;3000,"Low",IF(Table1[[#This Row],[Total_Income]]&lt;7000,"Medium","High"))</f>
        <v>High</v>
      </c>
      <c r="P90" s="1" t="str">
        <f t="shared" si="3"/>
        <v>Approved</v>
      </c>
      <c r="Q90" s="1" t="str">
        <f t="shared" si="4"/>
        <v>High Risk</v>
      </c>
      <c r="R90" s="2">
        <f t="shared" si="5"/>
        <v>5991.9385687513031</v>
      </c>
    </row>
    <row r="91" spans="1:18" s="1" customFormat="1" ht="11.5" x14ac:dyDescent="0.25">
      <c r="A91" s="1" t="s">
        <v>122</v>
      </c>
      <c r="B91" s="1" t="s">
        <v>52</v>
      </c>
      <c r="C91" s="1" t="s">
        <v>29</v>
      </c>
      <c r="D91" s="1">
        <v>1</v>
      </c>
      <c r="E91" s="1" t="s">
        <v>17</v>
      </c>
      <c r="F91" s="1" t="s">
        <v>29</v>
      </c>
      <c r="G91" s="1">
        <v>1991</v>
      </c>
      <c r="H91" s="1">
        <v>5361</v>
      </c>
      <c r="I91" s="1">
        <v>282</v>
      </c>
      <c r="J91" s="1">
        <v>360</v>
      </c>
      <c r="K91" s="1">
        <v>0</v>
      </c>
      <c r="L91" s="1" t="s">
        <v>19</v>
      </c>
      <c r="M91" s="1">
        <f>Table1[[#This Row],[ApplicantIncome]]+Table1[[#This Row],[CoapplicantIncome]]</f>
        <v>7352</v>
      </c>
      <c r="N91" s="1" t="s">
        <v>20</v>
      </c>
      <c r="O91" s="1" t="str">
        <f>IF(Table1[[#This Row],[Total_Income]]&lt;3000,"Low",IF(Table1[[#This Row],[Total_Income]]&lt;7000,"Medium","High"))</f>
        <v>High</v>
      </c>
      <c r="P91" s="1" t="str">
        <f t="shared" si="3"/>
        <v>Approved</v>
      </c>
      <c r="Q91" s="1" t="str">
        <f t="shared" si="4"/>
        <v>High Risk</v>
      </c>
      <c r="R91" s="2">
        <f t="shared" si="5"/>
        <v>2069.2160983398412</v>
      </c>
    </row>
    <row r="92" spans="1:18" s="1" customFormat="1" ht="11.5" x14ac:dyDescent="0.25">
      <c r="A92" s="1" t="s">
        <v>123</v>
      </c>
      <c r="B92" s="1" t="s">
        <v>1238</v>
      </c>
      <c r="C92" s="1" t="s">
        <v>22</v>
      </c>
      <c r="D92" s="1" t="s">
        <v>16</v>
      </c>
      <c r="E92" s="1" t="s">
        <v>25</v>
      </c>
      <c r="F92" s="1" t="s">
        <v>22</v>
      </c>
      <c r="G92" s="1">
        <v>2318</v>
      </c>
      <c r="H92" s="1">
        <v>6905</v>
      </c>
      <c r="I92" s="1">
        <v>371</v>
      </c>
      <c r="J92" s="1">
        <v>360</v>
      </c>
      <c r="K92" s="1">
        <v>0</v>
      </c>
      <c r="L92" s="1" t="s">
        <v>41</v>
      </c>
      <c r="M92" s="1">
        <f>Table1[[#This Row],[ApplicantIncome]]+Table1[[#This Row],[CoapplicantIncome]]</f>
        <v>9223</v>
      </c>
      <c r="N92" s="1" t="s">
        <v>20</v>
      </c>
      <c r="O92" s="1" t="str">
        <f>IF(Table1[[#This Row],[Total_Income]]&lt;3000,"Low",IF(Table1[[#This Row],[Total_Income]]&lt;7000,"Medium","High"))</f>
        <v>High</v>
      </c>
      <c r="P92" s="1" t="str">
        <f t="shared" si="3"/>
        <v>Approved</v>
      </c>
      <c r="Q92" s="1" t="str">
        <f t="shared" si="4"/>
        <v>High Risk</v>
      </c>
      <c r="R92" s="2">
        <f t="shared" si="5"/>
        <v>2722.266569092486</v>
      </c>
    </row>
    <row r="93" spans="1:18" s="1" customFormat="1" ht="11.5" x14ac:dyDescent="0.25">
      <c r="A93" s="1" t="s">
        <v>124</v>
      </c>
      <c r="B93" s="1" t="s">
        <v>52</v>
      </c>
      <c r="C93" s="1" t="s">
        <v>22</v>
      </c>
      <c r="D93" s="1">
        <v>1</v>
      </c>
      <c r="E93" s="1" t="s">
        <v>25</v>
      </c>
      <c r="F93" s="1" t="s">
        <v>22</v>
      </c>
      <c r="G93" s="1">
        <v>19792</v>
      </c>
      <c r="H93" s="1">
        <v>8367</v>
      </c>
      <c r="I93" s="1">
        <v>257</v>
      </c>
      <c r="J93" s="1">
        <v>120</v>
      </c>
      <c r="K93" s="1">
        <v>0</v>
      </c>
      <c r="L93" s="1" t="s">
        <v>19</v>
      </c>
      <c r="M93" s="1">
        <f>Table1[[#This Row],[ApplicantIncome]]+Table1[[#This Row],[CoapplicantIncome]]</f>
        <v>28159</v>
      </c>
      <c r="N93" s="1" t="s">
        <v>26</v>
      </c>
      <c r="O93" s="1" t="str">
        <f>IF(Table1[[#This Row],[Total_Income]]&lt;3000,"Low",IF(Table1[[#This Row],[Total_Income]]&lt;7000,"Medium","High"))</f>
        <v>High</v>
      </c>
      <c r="P93" s="1" t="str">
        <f t="shared" si="3"/>
        <v>Rejected</v>
      </c>
      <c r="Q93" s="1" t="str">
        <f t="shared" si="4"/>
        <v>High Risk</v>
      </c>
      <c r="R93" s="2">
        <f t="shared" si="5"/>
        <v>3118.1191749326731</v>
      </c>
    </row>
    <row r="94" spans="1:18" s="1" customFormat="1" ht="11.5" x14ac:dyDescent="0.25">
      <c r="A94" s="1" t="s">
        <v>125</v>
      </c>
      <c r="B94" s="1" t="s">
        <v>28</v>
      </c>
      <c r="C94" s="1" t="s">
        <v>22</v>
      </c>
      <c r="D94" s="1">
        <v>1</v>
      </c>
      <c r="E94" s="1" t="s">
        <v>17</v>
      </c>
      <c r="F94" s="1" t="s">
        <v>22</v>
      </c>
      <c r="G94" s="1">
        <v>9843</v>
      </c>
      <c r="H94" s="1">
        <v>4425</v>
      </c>
      <c r="I94" s="1">
        <v>561</v>
      </c>
      <c r="J94" s="1">
        <v>120</v>
      </c>
      <c r="K94" s="1">
        <v>0</v>
      </c>
      <c r="L94" s="1" t="s">
        <v>41</v>
      </c>
      <c r="M94" s="1">
        <f>Table1[[#This Row],[ApplicantIncome]]+Table1[[#This Row],[CoapplicantIncome]]</f>
        <v>14268</v>
      </c>
      <c r="N94" s="1" t="s">
        <v>26</v>
      </c>
      <c r="O94" s="1" t="str">
        <f>IF(Table1[[#This Row],[Total_Income]]&lt;3000,"Low",IF(Table1[[#This Row],[Total_Income]]&lt;7000,"Medium","High"))</f>
        <v>High</v>
      </c>
      <c r="P94" s="1" t="str">
        <f t="shared" si="3"/>
        <v>Rejected</v>
      </c>
      <c r="Q94" s="1" t="str">
        <f t="shared" si="4"/>
        <v>High Risk</v>
      </c>
      <c r="R94" s="2">
        <f t="shared" si="5"/>
        <v>6806.4780433355236</v>
      </c>
    </row>
    <row r="95" spans="1:18" s="1" customFormat="1" ht="11.5" x14ac:dyDescent="0.25">
      <c r="A95" s="1" t="s">
        <v>126</v>
      </c>
      <c r="B95" s="1" t="s">
        <v>52</v>
      </c>
      <c r="C95" s="1" t="s">
        <v>29</v>
      </c>
      <c r="D95" s="1">
        <v>1</v>
      </c>
      <c r="E95" s="1" t="s">
        <v>25</v>
      </c>
      <c r="F95" s="1" t="s">
        <v>22</v>
      </c>
      <c r="G95" s="1">
        <v>17821</v>
      </c>
      <c r="H95" s="1">
        <v>1424</v>
      </c>
      <c r="I95" s="1">
        <v>239</v>
      </c>
      <c r="J95" s="1">
        <v>360</v>
      </c>
      <c r="K95" s="1">
        <v>0</v>
      </c>
      <c r="L95" s="1" t="s">
        <v>19</v>
      </c>
      <c r="M95" s="1">
        <f>Table1[[#This Row],[ApplicantIncome]]+Table1[[#This Row],[CoapplicantIncome]]</f>
        <v>19245</v>
      </c>
      <c r="N95" s="1" t="s">
        <v>20</v>
      </c>
      <c r="O95" s="1" t="str">
        <f>IF(Table1[[#This Row],[Total_Income]]&lt;3000,"Low",IF(Table1[[#This Row],[Total_Income]]&lt;7000,"Medium","High"))</f>
        <v>High</v>
      </c>
      <c r="P95" s="1" t="str">
        <f t="shared" si="3"/>
        <v>Approved</v>
      </c>
      <c r="Q95" s="1" t="str">
        <f t="shared" si="4"/>
        <v>High Risk</v>
      </c>
      <c r="R95" s="2">
        <f t="shared" si="5"/>
        <v>1753.6973315717091</v>
      </c>
    </row>
    <row r="96" spans="1:18" s="1" customFormat="1" ht="11.5" x14ac:dyDescent="0.25">
      <c r="A96" s="1" t="s">
        <v>127</v>
      </c>
      <c r="B96" s="1" t="s">
        <v>52</v>
      </c>
      <c r="C96" s="1" t="s">
        <v>29</v>
      </c>
      <c r="D96" s="1">
        <v>2</v>
      </c>
      <c r="E96" s="1" t="s">
        <v>25</v>
      </c>
      <c r="F96" s="1" t="s">
        <v>22</v>
      </c>
      <c r="G96" s="1">
        <v>9092</v>
      </c>
      <c r="H96" s="1">
        <v>2389</v>
      </c>
      <c r="I96" s="1">
        <v>488</v>
      </c>
      <c r="J96" s="1">
        <v>180</v>
      </c>
      <c r="K96" s="1">
        <v>0</v>
      </c>
      <c r="L96" s="1" t="s">
        <v>41</v>
      </c>
      <c r="M96" s="1">
        <f>Table1[[#This Row],[ApplicantIncome]]+Table1[[#This Row],[CoapplicantIncome]]</f>
        <v>11481</v>
      </c>
      <c r="N96" s="1" t="s">
        <v>20</v>
      </c>
      <c r="O96" s="1" t="str">
        <f>IF(Table1[[#This Row],[Total_Income]]&lt;3000,"Low",IF(Table1[[#This Row],[Total_Income]]&lt;7000,"Medium","High"))</f>
        <v>High</v>
      </c>
      <c r="P96" s="1" t="str">
        <f t="shared" si="3"/>
        <v>Approved</v>
      </c>
      <c r="Q96" s="1" t="str">
        <f t="shared" si="4"/>
        <v>High Risk</v>
      </c>
      <c r="R96" s="2">
        <f t="shared" si="5"/>
        <v>4663.5821715321154</v>
      </c>
    </row>
    <row r="97" spans="1:18" s="1" customFormat="1" ht="11.5" x14ac:dyDescent="0.25">
      <c r="A97" s="1" t="s">
        <v>128</v>
      </c>
      <c r="B97" s="1" t="s">
        <v>28</v>
      </c>
      <c r="C97" s="1" t="s">
        <v>22</v>
      </c>
      <c r="D97" s="1">
        <v>1</v>
      </c>
      <c r="E97" s="1" t="s">
        <v>25</v>
      </c>
      <c r="F97" s="1" t="s">
        <v>29</v>
      </c>
      <c r="G97" s="1">
        <v>12342</v>
      </c>
      <c r="H97" s="1">
        <v>1591</v>
      </c>
      <c r="I97" s="1">
        <v>478</v>
      </c>
      <c r="J97" s="1">
        <v>360</v>
      </c>
      <c r="K97" s="1">
        <v>0</v>
      </c>
      <c r="L97" s="1" t="s">
        <v>19</v>
      </c>
      <c r="M97" s="1">
        <f>Table1[[#This Row],[ApplicantIncome]]+Table1[[#This Row],[CoapplicantIncome]]</f>
        <v>13933</v>
      </c>
      <c r="N97" s="1" t="s">
        <v>26</v>
      </c>
      <c r="O97" s="1" t="str">
        <f>IF(Table1[[#This Row],[Total_Income]]&lt;3000,"Low",IF(Table1[[#This Row],[Total_Income]]&lt;7000,"Medium","High"))</f>
        <v>High</v>
      </c>
      <c r="P97" s="1" t="str">
        <f t="shared" si="3"/>
        <v>Rejected</v>
      </c>
      <c r="Q97" s="1" t="str">
        <f t="shared" si="4"/>
        <v>High Risk</v>
      </c>
      <c r="R97" s="2">
        <f t="shared" si="5"/>
        <v>3507.3946631434183</v>
      </c>
    </row>
    <row r="98" spans="1:18" s="1" customFormat="1" ht="11.5" x14ac:dyDescent="0.25">
      <c r="A98" s="1" t="s">
        <v>129</v>
      </c>
      <c r="B98" s="1" t="s">
        <v>28</v>
      </c>
      <c r="C98" s="1" t="s">
        <v>22</v>
      </c>
      <c r="D98" s="1">
        <v>1</v>
      </c>
      <c r="E98" s="1" t="s">
        <v>25</v>
      </c>
      <c r="F98" s="1" t="s">
        <v>22</v>
      </c>
      <c r="G98" s="1">
        <v>15020</v>
      </c>
      <c r="H98" s="1">
        <v>6481</v>
      </c>
      <c r="I98" s="1">
        <v>388</v>
      </c>
      <c r="J98" s="1">
        <v>120</v>
      </c>
      <c r="K98" s="1">
        <v>0</v>
      </c>
      <c r="L98" s="1" t="s">
        <v>19</v>
      </c>
      <c r="M98" s="1">
        <f>Table1[[#This Row],[ApplicantIncome]]+Table1[[#This Row],[CoapplicantIncome]]</f>
        <v>21501</v>
      </c>
      <c r="N98" s="1" t="s">
        <v>26</v>
      </c>
      <c r="O98" s="1" t="str">
        <f>IF(Table1[[#This Row],[Total_Income]]&lt;3000,"Low",IF(Table1[[#This Row],[Total_Income]]&lt;7000,"Medium","High"))</f>
        <v>High</v>
      </c>
      <c r="P98" s="1" t="str">
        <f t="shared" si="3"/>
        <v>Rejected</v>
      </c>
      <c r="Q98" s="1" t="str">
        <f t="shared" si="4"/>
        <v>High Risk</v>
      </c>
      <c r="R98" s="2">
        <f t="shared" si="5"/>
        <v>4707.5106609878494</v>
      </c>
    </row>
    <row r="99" spans="1:18" s="1" customFormat="1" ht="11.5" x14ac:dyDescent="0.25">
      <c r="A99" s="1" t="s">
        <v>130</v>
      </c>
      <c r="B99" s="1" t="s">
        <v>52</v>
      </c>
      <c r="C99" s="1" t="s">
        <v>22</v>
      </c>
      <c r="D99" s="1" t="s">
        <v>16</v>
      </c>
      <c r="E99" s="1" t="s">
        <v>25</v>
      </c>
      <c r="F99" s="1" t="s">
        <v>22</v>
      </c>
      <c r="G99" s="1">
        <v>3160</v>
      </c>
      <c r="H99" s="1">
        <v>502</v>
      </c>
      <c r="I99" s="1">
        <v>242</v>
      </c>
      <c r="J99" s="1">
        <v>360</v>
      </c>
      <c r="K99" s="1">
        <v>0</v>
      </c>
      <c r="L99" s="1" t="s">
        <v>41</v>
      </c>
      <c r="M99" s="1">
        <f>Table1[[#This Row],[ApplicantIncome]]+Table1[[#This Row],[CoapplicantIncome]]</f>
        <v>3662</v>
      </c>
      <c r="N99" s="1" t="s">
        <v>20</v>
      </c>
      <c r="O99" s="1" t="str">
        <f>IF(Table1[[#This Row],[Total_Income]]&lt;3000,"Low",IF(Table1[[#This Row],[Total_Income]]&lt;7000,"Medium","High"))</f>
        <v>Medium</v>
      </c>
      <c r="P99" s="1" t="str">
        <f t="shared" si="3"/>
        <v>Approved</v>
      </c>
      <c r="Q99" s="1" t="str">
        <f t="shared" si="4"/>
        <v>High Risk</v>
      </c>
      <c r="R99" s="2">
        <f t="shared" si="5"/>
        <v>1775.7102687880902</v>
      </c>
    </row>
    <row r="100" spans="1:18" s="1" customFormat="1" ht="11.5" x14ac:dyDescent="0.25">
      <c r="A100" s="1" t="s">
        <v>131</v>
      </c>
      <c r="B100" s="1" t="s">
        <v>52</v>
      </c>
      <c r="C100" s="1" t="s">
        <v>22</v>
      </c>
      <c r="D100" s="1">
        <v>1</v>
      </c>
      <c r="E100" s="1" t="s">
        <v>25</v>
      </c>
      <c r="F100" s="1" t="s">
        <v>29</v>
      </c>
      <c r="G100" s="1">
        <v>7436</v>
      </c>
      <c r="H100" s="1">
        <v>9912</v>
      </c>
      <c r="I100" s="1">
        <v>526</v>
      </c>
      <c r="J100" s="1">
        <v>120</v>
      </c>
      <c r="K100" s="1">
        <v>1</v>
      </c>
      <c r="L100" s="1" t="s">
        <v>19</v>
      </c>
      <c r="M100" s="1">
        <f>Table1[[#This Row],[ApplicantIncome]]+Table1[[#This Row],[CoapplicantIncome]]</f>
        <v>17348</v>
      </c>
      <c r="N100" s="1" t="s">
        <v>26</v>
      </c>
      <c r="O100" s="1" t="str">
        <f>IF(Table1[[#This Row],[Total_Income]]&lt;3000,"Low",IF(Table1[[#This Row],[Total_Income]]&lt;7000,"Medium","High"))</f>
        <v>High</v>
      </c>
      <c r="P100" s="1" t="str">
        <f t="shared" si="3"/>
        <v>Rejected</v>
      </c>
      <c r="Q100" s="1" t="str">
        <f t="shared" si="4"/>
        <v>Low Risk</v>
      </c>
      <c r="R100" s="2">
        <f t="shared" si="5"/>
        <v>6381.8314630917739</v>
      </c>
    </row>
    <row r="101" spans="1:18" s="1" customFormat="1" ht="11.5" x14ac:dyDescent="0.25">
      <c r="A101" s="1" t="s">
        <v>132</v>
      </c>
      <c r="B101" s="1" t="s">
        <v>52</v>
      </c>
      <c r="C101" s="1" t="s">
        <v>22</v>
      </c>
      <c r="D101" s="1">
        <v>1</v>
      </c>
      <c r="E101" s="1" t="s">
        <v>17</v>
      </c>
      <c r="F101" s="1" t="s">
        <v>22</v>
      </c>
      <c r="G101" s="1">
        <v>10116</v>
      </c>
      <c r="H101" s="1">
        <v>9601</v>
      </c>
      <c r="I101" s="1">
        <v>332</v>
      </c>
      <c r="J101" s="1">
        <v>120</v>
      </c>
      <c r="K101" s="1">
        <v>0</v>
      </c>
      <c r="L101" s="1" t="s">
        <v>19</v>
      </c>
      <c r="M101" s="1">
        <f>Table1[[#This Row],[ApplicantIncome]]+Table1[[#This Row],[CoapplicantIncome]]</f>
        <v>19717</v>
      </c>
      <c r="N101" s="1" t="s">
        <v>26</v>
      </c>
      <c r="O101" s="1" t="str">
        <f>IF(Table1[[#This Row],[Total_Income]]&lt;3000,"Low",IF(Table1[[#This Row],[Total_Income]]&lt;7000,"Medium","High"))</f>
        <v>High</v>
      </c>
      <c r="P101" s="1" t="str">
        <f t="shared" si="3"/>
        <v>Rejected</v>
      </c>
      <c r="Q101" s="1" t="str">
        <f t="shared" si="4"/>
        <v>High Risk</v>
      </c>
      <c r="R101" s="2">
        <f t="shared" si="5"/>
        <v>4028.0761325978497</v>
      </c>
    </row>
    <row r="102" spans="1:18" s="1" customFormat="1" ht="11.5" x14ac:dyDescent="0.25">
      <c r="A102" s="1" t="s">
        <v>133</v>
      </c>
      <c r="B102" s="1" t="s">
        <v>52</v>
      </c>
      <c r="C102" s="1" t="s">
        <v>29</v>
      </c>
      <c r="D102" s="1">
        <v>1</v>
      </c>
      <c r="E102" s="1" t="s">
        <v>17</v>
      </c>
      <c r="F102" s="1" t="s">
        <v>29</v>
      </c>
      <c r="G102" s="1">
        <v>19757</v>
      </c>
      <c r="H102" s="1">
        <v>3121</v>
      </c>
      <c r="I102" s="1">
        <v>637</v>
      </c>
      <c r="J102" s="1">
        <v>180</v>
      </c>
      <c r="K102" s="1">
        <v>0</v>
      </c>
      <c r="L102" s="1" t="s">
        <v>19</v>
      </c>
      <c r="M102" s="1">
        <f>Table1[[#This Row],[ApplicantIncome]]+Table1[[#This Row],[CoapplicantIncome]]</f>
        <v>22878</v>
      </c>
      <c r="N102" s="1" t="s">
        <v>26</v>
      </c>
      <c r="O102" s="1" t="str">
        <f>IF(Table1[[#This Row],[Total_Income]]&lt;3000,"Low",IF(Table1[[#This Row],[Total_Income]]&lt;7000,"Medium","High"))</f>
        <v>High</v>
      </c>
      <c r="P102" s="1" t="str">
        <f t="shared" si="3"/>
        <v>Rejected</v>
      </c>
      <c r="Q102" s="1" t="str">
        <f t="shared" si="4"/>
        <v>High Risk</v>
      </c>
      <c r="R102" s="2">
        <f t="shared" si="5"/>
        <v>6087.5037771843381</v>
      </c>
    </row>
    <row r="103" spans="1:18" s="1" customFormat="1" ht="11.5" x14ac:dyDescent="0.25">
      <c r="A103" s="1" t="s">
        <v>134</v>
      </c>
      <c r="B103" s="1" t="s">
        <v>52</v>
      </c>
      <c r="C103" s="1" t="s">
        <v>22</v>
      </c>
      <c r="D103" s="1">
        <v>1</v>
      </c>
      <c r="E103" s="1" t="s">
        <v>25</v>
      </c>
      <c r="F103" s="1" t="s">
        <v>22</v>
      </c>
      <c r="G103" s="1">
        <v>8345</v>
      </c>
      <c r="H103" s="1">
        <v>8815</v>
      </c>
      <c r="I103" s="1">
        <v>422</v>
      </c>
      <c r="J103" s="1">
        <v>180</v>
      </c>
      <c r="K103" s="1">
        <v>1</v>
      </c>
      <c r="L103" s="1" t="s">
        <v>19</v>
      </c>
      <c r="M103" s="1">
        <f>Table1[[#This Row],[ApplicantIncome]]+Table1[[#This Row],[CoapplicantIncome]]</f>
        <v>17160</v>
      </c>
      <c r="N103" s="1" t="s">
        <v>20</v>
      </c>
      <c r="O103" s="1" t="str">
        <f>IF(Table1[[#This Row],[Total_Income]]&lt;3000,"Low",IF(Table1[[#This Row],[Total_Income]]&lt;7000,"Medium","High"))</f>
        <v>High</v>
      </c>
      <c r="P103" s="1" t="str">
        <f t="shared" si="3"/>
        <v>Approved</v>
      </c>
      <c r="Q103" s="1" t="str">
        <f t="shared" si="4"/>
        <v>Low Risk</v>
      </c>
      <c r="R103" s="2">
        <f t="shared" si="5"/>
        <v>4032.8517958740831</v>
      </c>
    </row>
    <row r="104" spans="1:18" s="1" customFormat="1" ht="11.5" x14ac:dyDescent="0.25">
      <c r="A104" s="1" t="s">
        <v>135</v>
      </c>
      <c r="B104" s="1" t="s">
        <v>52</v>
      </c>
      <c r="C104" s="1" t="s">
        <v>22</v>
      </c>
      <c r="D104" s="1">
        <v>0</v>
      </c>
      <c r="E104" s="1" t="s">
        <v>25</v>
      </c>
      <c r="F104" s="1" t="s">
        <v>22</v>
      </c>
      <c r="G104" s="1">
        <v>15065</v>
      </c>
      <c r="H104" s="1">
        <v>662</v>
      </c>
      <c r="I104" s="1">
        <v>115</v>
      </c>
      <c r="J104" s="1">
        <v>180</v>
      </c>
      <c r="K104" s="1">
        <v>1</v>
      </c>
      <c r="L104" s="1" t="s">
        <v>30</v>
      </c>
      <c r="M104" s="1">
        <f>Table1[[#This Row],[ApplicantIncome]]+Table1[[#This Row],[CoapplicantIncome]]</f>
        <v>15727</v>
      </c>
      <c r="N104" s="1" t="s">
        <v>26</v>
      </c>
      <c r="O104" s="1" t="str">
        <f>IF(Table1[[#This Row],[Total_Income]]&lt;3000,"Low",IF(Table1[[#This Row],[Total_Income]]&lt;7000,"Medium","High"))</f>
        <v>High</v>
      </c>
      <c r="P104" s="1" t="str">
        <f t="shared" si="3"/>
        <v>Rejected</v>
      </c>
      <c r="Q104" s="1" t="str">
        <f t="shared" si="4"/>
        <v>Low Risk</v>
      </c>
      <c r="R104" s="2">
        <f t="shared" si="5"/>
        <v>1098.9998969799042</v>
      </c>
    </row>
    <row r="105" spans="1:18" s="1" customFormat="1" ht="11.5" x14ac:dyDescent="0.25">
      <c r="A105" s="1" t="s">
        <v>136</v>
      </c>
      <c r="B105" s="1" t="s">
        <v>28</v>
      </c>
      <c r="C105" s="1" t="s">
        <v>29</v>
      </c>
      <c r="D105" s="1">
        <v>2</v>
      </c>
      <c r="E105" s="1" t="s">
        <v>25</v>
      </c>
      <c r="F105" s="1" t="s">
        <v>22</v>
      </c>
      <c r="G105" s="1">
        <v>18815</v>
      </c>
      <c r="H105" s="1">
        <v>4439</v>
      </c>
      <c r="I105" s="1">
        <v>534</v>
      </c>
      <c r="J105" s="1">
        <v>360</v>
      </c>
      <c r="K105" s="1">
        <v>1</v>
      </c>
      <c r="L105" s="1" t="s">
        <v>41</v>
      </c>
      <c r="M105" s="1">
        <f>Table1[[#This Row],[ApplicantIncome]]+Table1[[#This Row],[CoapplicantIncome]]</f>
        <v>23254</v>
      </c>
      <c r="N105" s="1" t="s">
        <v>26</v>
      </c>
      <c r="O105" s="1" t="str">
        <f>IF(Table1[[#This Row],[Total_Income]]&lt;3000,"Low",IF(Table1[[#This Row],[Total_Income]]&lt;7000,"Medium","High"))</f>
        <v>High</v>
      </c>
      <c r="P105" s="1" t="str">
        <f t="shared" si="3"/>
        <v>Rejected</v>
      </c>
      <c r="Q105" s="1" t="str">
        <f t="shared" si="4"/>
        <v>Low Risk</v>
      </c>
      <c r="R105" s="2">
        <f t="shared" si="5"/>
        <v>3918.3028245158689</v>
      </c>
    </row>
    <row r="106" spans="1:18" s="1" customFormat="1" ht="11.5" x14ac:dyDescent="0.25">
      <c r="A106" s="1" t="s">
        <v>137</v>
      </c>
      <c r="B106" s="1" t="s">
        <v>52</v>
      </c>
      <c r="C106" s="1" t="s">
        <v>22</v>
      </c>
      <c r="D106" s="1" t="s">
        <v>16</v>
      </c>
      <c r="E106" s="1" t="s">
        <v>17</v>
      </c>
      <c r="F106" s="1" t="s">
        <v>29</v>
      </c>
      <c r="G106" s="1">
        <v>15687</v>
      </c>
      <c r="H106" s="1">
        <v>99</v>
      </c>
      <c r="I106" s="1">
        <v>377</v>
      </c>
      <c r="J106" s="1">
        <v>120</v>
      </c>
      <c r="K106" s="1">
        <v>0</v>
      </c>
      <c r="L106" s="1" t="s">
        <v>19</v>
      </c>
      <c r="M106" s="1">
        <f>Table1[[#This Row],[ApplicantIncome]]+Table1[[#This Row],[CoapplicantIncome]]</f>
        <v>15786</v>
      </c>
      <c r="N106" s="1" t="s">
        <v>20</v>
      </c>
      <c r="O106" s="1" t="str">
        <f>IF(Table1[[#This Row],[Total_Income]]&lt;3000,"Low",IF(Table1[[#This Row],[Total_Income]]&lt;7000,"Medium","High"))</f>
        <v>High</v>
      </c>
      <c r="P106" s="1" t="str">
        <f t="shared" si="3"/>
        <v>Approved</v>
      </c>
      <c r="Q106" s="1" t="str">
        <f t="shared" si="4"/>
        <v>High Risk</v>
      </c>
      <c r="R106" s="2">
        <f t="shared" si="5"/>
        <v>4574.0503071969561</v>
      </c>
    </row>
    <row r="107" spans="1:18" s="1" customFormat="1" ht="11.5" x14ac:dyDescent="0.25">
      <c r="A107" s="1" t="s">
        <v>138</v>
      </c>
      <c r="B107" s="1" t="s">
        <v>52</v>
      </c>
      <c r="C107" s="1" t="s">
        <v>29</v>
      </c>
      <c r="D107" s="1">
        <v>1</v>
      </c>
      <c r="E107" s="1" t="s">
        <v>25</v>
      </c>
      <c r="F107" s="1" t="s">
        <v>22</v>
      </c>
      <c r="G107" s="1">
        <v>11692</v>
      </c>
      <c r="H107" s="1">
        <v>9572</v>
      </c>
      <c r="I107" s="1">
        <v>312</v>
      </c>
      <c r="J107" s="1">
        <v>360</v>
      </c>
      <c r="K107" s="1">
        <v>0</v>
      </c>
      <c r="L107" s="1" t="s">
        <v>30</v>
      </c>
      <c r="M107" s="1">
        <f>Table1[[#This Row],[ApplicantIncome]]+Table1[[#This Row],[CoapplicantIncome]]</f>
        <v>21264</v>
      </c>
      <c r="N107" s="1" t="s">
        <v>26</v>
      </c>
      <c r="O107" s="1" t="str">
        <f>IF(Table1[[#This Row],[Total_Income]]&lt;3000,"Low",IF(Table1[[#This Row],[Total_Income]]&lt;7000,"Medium","High"))</f>
        <v>High</v>
      </c>
      <c r="P107" s="1" t="str">
        <f t="shared" si="3"/>
        <v>Rejected</v>
      </c>
      <c r="Q107" s="1" t="str">
        <f t="shared" si="4"/>
        <v>High Risk</v>
      </c>
      <c r="R107" s="2">
        <f t="shared" si="5"/>
        <v>2289.3454705036538</v>
      </c>
    </row>
    <row r="108" spans="1:18" s="1" customFormat="1" ht="11.5" x14ac:dyDescent="0.25">
      <c r="A108" s="1" t="s">
        <v>139</v>
      </c>
      <c r="B108" s="1" t="s">
        <v>1238</v>
      </c>
      <c r="C108" s="1" t="s">
        <v>22</v>
      </c>
      <c r="D108" s="1">
        <v>0</v>
      </c>
      <c r="E108" s="1" t="s">
        <v>17</v>
      </c>
      <c r="F108" s="1" t="s">
        <v>22</v>
      </c>
      <c r="G108" s="1">
        <v>15000</v>
      </c>
      <c r="H108" s="1">
        <v>4739</v>
      </c>
      <c r="I108" s="1">
        <v>582</v>
      </c>
      <c r="J108" s="1">
        <v>360</v>
      </c>
      <c r="K108" s="1">
        <v>1</v>
      </c>
      <c r="L108" s="1" t="s">
        <v>41</v>
      </c>
      <c r="M108" s="1">
        <f>Table1[[#This Row],[ApplicantIncome]]+Table1[[#This Row],[CoapplicantIncome]]</f>
        <v>19739</v>
      </c>
      <c r="N108" s="1" t="s">
        <v>20</v>
      </c>
      <c r="O108" s="1" t="str">
        <f>IF(Table1[[#This Row],[Total_Income]]&lt;3000,"Low",IF(Table1[[#This Row],[Total_Income]]&lt;7000,"Medium","High"))</f>
        <v>High</v>
      </c>
      <c r="P108" s="1" t="str">
        <f t="shared" si="3"/>
        <v>Approved</v>
      </c>
      <c r="Q108" s="1" t="str">
        <f t="shared" si="4"/>
        <v>Low Risk</v>
      </c>
      <c r="R108" s="2">
        <f t="shared" si="5"/>
        <v>4270.5098199779695</v>
      </c>
    </row>
    <row r="109" spans="1:18" s="1" customFormat="1" ht="11.5" x14ac:dyDescent="0.25">
      <c r="A109" s="1" t="s">
        <v>140</v>
      </c>
      <c r="B109" s="1" t="s">
        <v>1238</v>
      </c>
      <c r="C109" s="1" t="s">
        <v>29</v>
      </c>
      <c r="D109" s="1">
        <v>2</v>
      </c>
      <c r="E109" s="1" t="s">
        <v>25</v>
      </c>
      <c r="F109" s="1" t="s">
        <v>29</v>
      </c>
      <c r="G109" s="1">
        <v>14573</v>
      </c>
      <c r="H109" s="1">
        <v>1499</v>
      </c>
      <c r="I109" s="1">
        <v>625</v>
      </c>
      <c r="J109" s="1">
        <v>360</v>
      </c>
      <c r="K109" s="1">
        <v>0</v>
      </c>
      <c r="L109" s="1" t="s">
        <v>41</v>
      </c>
      <c r="M109" s="1">
        <f>Table1[[#This Row],[ApplicantIncome]]+Table1[[#This Row],[CoapplicantIncome]]</f>
        <v>16072</v>
      </c>
      <c r="N109" s="1" t="s">
        <v>26</v>
      </c>
      <c r="O109" s="1" t="str">
        <f>IF(Table1[[#This Row],[Total_Income]]&lt;3000,"Low",IF(Table1[[#This Row],[Total_Income]]&lt;7000,"Medium","High"))</f>
        <v>High</v>
      </c>
      <c r="P109" s="1" t="str">
        <f t="shared" si="3"/>
        <v>Rejected</v>
      </c>
      <c r="Q109" s="1" t="str">
        <f t="shared" si="4"/>
        <v>High Risk</v>
      </c>
      <c r="R109" s="2">
        <f t="shared" si="5"/>
        <v>4586.0285867461016</v>
      </c>
    </row>
    <row r="110" spans="1:18" s="1" customFormat="1" ht="11.5" x14ac:dyDescent="0.25">
      <c r="A110" s="1" t="s">
        <v>141</v>
      </c>
      <c r="B110" s="1" t="s">
        <v>1238</v>
      </c>
      <c r="C110" s="1" t="s">
        <v>22</v>
      </c>
      <c r="D110" s="1">
        <v>0</v>
      </c>
      <c r="E110" s="1" t="s">
        <v>25</v>
      </c>
      <c r="F110" s="1" t="s">
        <v>29</v>
      </c>
      <c r="G110" s="1">
        <v>10631</v>
      </c>
      <c r="H110" s="1">
        <v>2904</v>
      </c>
      <c r="I110" s="1">
        <v>159</v>
      </c>
      <c r="J110" s="1">
        <v>120</v>
      </c>
      <c r="K110" s="1">
        <v>0</v>
      </c>
      <c r="L110" s="1" t="s">
        <v>41</v>
      </c>
      <c r="M110" s="1">
        <f>Table1[[#This Row],[ApplicantIncome]]+Table1[[#This Row],[CoapplicantIncome]]</f>
        <v>13535</v>
      </c>
      <c r="N110" s="1" t="s">
        <v>20</v>
      </c>
      <c r="O110" s="1" t="str">
        <f>IF(Table1[[#This Row],[Total_Income]]&lt;3000,"Low",IF(Table1[[#This Row],[Total_Income]]&lt;7000,"Medium","High"))</f>
        <v>High</v>
      </c>
      <c r="P110" s="1" t="str">
        <f t="shared" si="3"/>
        <v>Approved</v>
      </c>
      <c r="Q110" s="1" t="str">
        <f t="shared" si="4"/>
        <v>High Risk</v>
      </c>
      <c r="R110" s="2">
        <f t="shared" si="5"/>
        <v>1929.108750250175</v>
      </c>
    </row>
    <row r="111" spans="1:18" s="1" customFormat="1" ht="11.5" x14ac:dyDescent="0.25">
      <c r="A111" s="1" t="s">
        <v>142</v>
      </c>
      <c r="B111" s="1" t="s">
        <v>52</v>
      </c>
      <c r="C111" s="1" t="s">
        <v>22</v>
      </c>
      <c r="D111" s="1">
        <v>2</v>
      </c>
      <c r="E111" s="1" t="s">
        <v>17</v>
      </c>
      <c r="F111" s="1" t="s">
        <v>22</v>
      </c>
      <c r="G111" s="1">
        <v>3094</v>
      </c>
      <c r="H111" s="1">
        <v>511</v>
      </c>
      <c r="I111" s="1">
        <v>519</v>
      </c>
      <c r="J111" s="1">
        <v>180</v>
      </c>
      <c r="K111" s="1">
        <v>0</v>
      </c>
      <c r="L111" s="1" t="s">
        <v>41</v>
      </c>
      <c r="M111" s="1">
        <f>Table1[[#This Row],[ApplicantIncome]]+Table1[[#This Row],[CoapplicantIncome]]</f>
        <v>3605</v>
      </c>
      <c r="N111" s="1" t="s">
        <v>20</v>
      </c>
      <c r="O111" s="1" t="str">
        <f>IF(Table1[[#This Row],[Total_Income]]&lt;3000,"Low",IF(Table1[[#This Row],[Total_Income]]&lt;7000,"Medium","High"))</f>
        <v>Medium</v>
      </c>
      <c r="P111" s="1" t="str">
        <f t="shared" si="3"/>
        <v>Approved</v>
      </c>
      <c r="Q111" s="1" t="str">
        <f t="shared" si="4"/>
        <v>High Risk</v>
      </c>
      <c r="R111" s="2">
        <f t="shared" si="5"/>
        <v>4959.8343176745238</v>
      </c>
    </row>
    <row r="112" spans="1:18" s="1" customFormat="1" ht="11.5" x14ac:dyDescent="0.25">
      <c r="A112" s="1" t="s">
        <v>143</v>
      </c>
      <c r="B112" s="1" t="s">
        <v>28</v>
      </c>
      <c r="C112" s="1" t="s">
        <v>22</v>
      </c>
      <c r="D112" s="1">
        <v>1</v>
      </c>
      <c r="E112" s="1" t="s">
        <v>17</v>
      </c>
      <c r="F112" s="1" t="s">
        <v>22</v>
      </c>
      <c r="G112" s="1">
        <v>12111</v>
      </c>
      <c r="H112" s="1">
        <v>3110</v>
      </c>
      <c r="I112" s="1">
        <v>569</v>
      </c>
      <c r="J112" s="1">
        <v>120</v>
      </c>
      <c r="K112" s="1">
        <v>0</v>
      </c>
      <c r="L112" s="1" t="s">
        <v>19</v>
      </c>
      <c r="M112" s="1">
        <f>Table1[[#This Row],[ApplicantIncome]]+Table1[[#This Row],[CoapplicantIncome]]</f>
        <v>15221</v>
      </c>
      <c r="N112" s="1" t="s">
        <v>26</v>
      </c>
      <c r="O112" s="1" t="str">
        <f>IF(Table1[[#This Row],[Total_Income]]&lt;3000,"Low",IF(Table1[[#This Row],[Total_Income]]&lt;7000,"Medium","High"))</f>
        <v>High</v>
      </c>
      <c r="P112" s="1" t="str">
        <f t="shared" si="3"/>
        <v>Rejected</v>
      </c>
      <c r="Q112" s="1" t="str">
        <f t="shared" si="4"/>
        <v>High Risk</v>
      </c>
      <c r="R112" s="2">
        <f t="shared" si="5"/>
        <v>6903.5401188198093</v>
      </c>
    </row>
    <row r="113" spans="1:18" s="1" customFormat="1" ht="11.5" x14ac:dyDescent="0.25">
      <c r="A113" s="1" t="s">
        <v>144</v>
      </c>
      <c r="B113" s="1" t="s">
        <v>28</v>
      </c>
      <c r="C113" s="1" t="s">
        <v>22</v>
      </c>
      <c r="D113" s="1" t="s">
        <v>16</v>
      </c>
      <c r="E113" s="1" t="s">
        <v>25</v>
      </c>
      <c r="F113" s="1" t="s">
        <v>22</v>
      </c>
      <c r="G113" s="1">
        <v>8026</v>
      </c>
      <c r="H113" s="1">
        <v>7352</v>
      </c>
      <c r="I113" s="1">
        <v>344</v>
      </c>
      <c r="J113" s="1">
        <v>360</v>
      </c>
      <c r="K113" s="1">
        <v>0</v>
      </c>
      <c r="L113" s="1" t="s">
        <v>30</v>
      </c>
      <c r="M113" s="1">
        <f>Table1[[#This Row],[ApplicantIncome]]+Table1[[#This Row],[CoapplicantIncome]]</f>
        <v>15378</v>
      </c>
      <c r="N113" s="1" t="s">
        <v>20</v>
      </c>
      <c r="O113" s="1" t="str">
        <f>IF(Table1[[#This Row],[Total_Income]]&lt;3000,"Low",IF(Table1[[#This Row],[Total_Income]]&lt;7000,"Medium","High"))</f>
        <v>High</v>
      </c>
      <c r="P113" s="1" t="str">
        <f t="shared" si="3"/>
        <v>Approved</v>
      </c>
      <c r="Q113" s="1" t="str">
        <f t="shared" si="4"/>
        <v>High Risk</v>
      </c>
      <c r="R113" s="2">
        <f t="shared" si="5"/>
        <v>2524.1501341450544</v>
      </c>
    </row>
    <row r="114" spans="1:18" s="1" customFormat="1" ht="11.5" x14ac:dyDescent="0.25">
      <c r="A114" s="1" t="s">
        <v>145</v>
      </c>
      <c r="B114" s="1" t="s">
        <v>52</v>
      </c>
      <c r="C114" s="1" t="s">
        <v>22</v>
      </c>
      <c r="D114" s="1">
        <v>2</v>
      </c>
      <c r="E114" s="1" t="s">
        <v>25</v>
      </c>
      <c r="F114" s="1" t="s">
        <v>22</v>
      </c>
      <c r="G114" s="1">
        <v>2164</v>
      </c>
      <c r="H114" s="1">
        <v>8965</v>
      </c>
      <c r="I114" s="1">
        <v>670</v>
      </c>
      <c r="J114" s="1">
        <v>180</v>
      </c>
      <c r="K114" s="1">
        <v>0</v>
      </c>
      <c r="L114" s="1" t="s">
        <v>41</v>
      </c>
      <c r="M114" s="1">
        <f>Table1[[#This Row],[ApplicantIncome]]+Table1[[#This Row],[CoapplicantIncome]]</f>
        <v>11129</v>
      </c>
      <c r="N114" s="1" t="s">
        <v>26</v>
      </c>
      <c r="O114" s="1" t="str">
        <f>IF(Table1[[#This Row],[Total_Income]]&lt;3000,"Low",IF(Table1[[#This Row],[Total_Income]]&lt;7000,"Medium","High"))</f>
        <v>High</v>
      </c>
      <c r="P114" s="1" t="str">
        <f t="shared" si="3"/>
        <v>Rejected</v>
      </c>
      <c r="Q114" s="1" t="str">
        <f t="shared" si="4"/>
        <v>High Risk</v>
      </c>
      <c r="R114" s="2">
        <f t="shared" si="5"/>
        <v>6402.8689650133547</v>
      </c>
    </row>
    <row r="115" spans="1:18" s="1" customFormat="1" ht="11.5" x14ac:dyDescent="0.25">
      <c r="A115" s="1" t="s">
        <v>146</v>
      </c>
      <c r="B115" s="1" t="s">
        <v>28</v>
      </c>
      <c r="C115" s="1" t="s">
        <v>22</v>
      </c>
      <c r="D115" s="1">
        <v>0</v>
      </c>
      <c r="E115" s="1" t="s">
        <v>25</v>
      </c>
      <c r="F115" s="1" t="s">
        <v>22</v>
      </c>
      <c r="G115" s="1">
        <v>9025</v>
      </c>
      <c r="H115" s="1">
        <v>7009</v>
      </c>
      <c r="I115" s="1">
        <v>236</v>
      </c>
      <c r="J115" s="1">
        <v>360</v>
      </c>
      <c r="K115" s="1">
        <v>1</v>
      </c>
      <c r="L115" s="1" t="s">
        <v>41</v>
      </c>
      <c r="M115" s="1">
        <f>Table1[[#This Row],[ApplicantIncome]]+Table1[[#This Row],[CoapplicantIncome]]</f>
        <v>16034</v>
      </c>
      <c r="N115" s="1" t="s">
        <v>26</v>
      </c>
      <c r="O115" s="1" t="str">
        <f>IF(Table1[[#This Row],[Total_Income]]&lt;3000,"Low",IF(Table1[[#This Row],[Total_Income]]&lt;7000,"Medium","High"))</f>
        <v>High</v>
      </c>
      <c r="P115" s="1" t="str">
        <f t="shared" si="3"/>
        <v>Rejected</v>
      </c>
      <c r="Q115" s="1" t="str">
        <f t="shared" si="4"/>
        <v>Low Risk</v>
      </c>
      <c r="R115" s="2">
        <f t="shared" si="5"/>
        <v>1731.6843943553276</v>
      </c>
    </row>
    <row r="116" spans="1:18" s="1" customFormat="1" ht="11.5" x14ac:dyDescent="0.25">
      <c r="A116" s="1" t="s">
        <v>147</v>
      </c>
      <c r="B116" s="1" t="s">
        <v>1238</v>
      </c>
      <c r="C116" s="1" t="s">
        <v>22</v>
      </c>
      <c r="D116" s="1" t="s">
        <v>16</v>
      </c>
      <c r="E116" s="1" t="s">
        <v>25</v>
      </c>
      <c r="F116" s="1" t="s">
        <v>29</v>
      </c>
      <c r="G116" s="1">
        <v>15261</v>
      </c>
      <c r="H116" s="1">
        <v>6225</v>
      </c>
      <c r="I116" s="1">
        <v>499</v>
      </c>
      <c r="J116" s="1">
        <v>360</v>
      </c>
      <c r="K116" s="1">
        <v>0</v>
      </c>
      <c r="L116" s="1" t="s">
        <v>19</v>
      </c>
      <c r="M116" s="1">
        <f>Table1[[#This Row],[ApplicantIncome]]+Table1[[#This Row],[CoapplicantIncome]]</f>
        <v>21486</v>
      </c>
      <c r="N116" s="1" t="s">
        <v>20</v>
      </c>
      <c r="O116" s="1" t="str">
        <f>IF(Table1[[#This Row],[Total_Income]]&lt;3000,"Low",IF(Table1[[#This Row],[Total_Income]]&lt;7000,"Medium","High"))</f>
        <v>High</v>
      </c>
      <c r="P116" s="1" t="str">
        <f t="shared" si="3"/>
        <v>Approved</v>
      </c>
      <c r="Q116" s="1" t="str">
        <f t="shared" si="4"/>
        <v>High Risk</v>
      </c>
      <c r="R116" s="2">
        <f t="shared" si="5"/>
        <v>3661.4852236580873</v>
      </c>
    </row>
    <row r="117" spans="1:18" s="1" customFormat="1" ht="11.5" x14ac:dyDescent="0.25">
      <c r="A117" s="1" t="s">
        <v>148</v>
      </c>
      <c r="B117" s="1" t="s">
        <v>52</v>
      </c>
      <c r="C117" s="1" t="s">
        <v>29</v>
      </c>
      <c r="D117" s="1" t="s">
        <v>16</v>
      </c>
      <c r="E117" s="1" t="s">
        <v>17</v>
      </c>
      <c r="F117" s="1" t="s">
        <v>29</v>
      </c>
      <c r="G117" s="1">
        <v>15126</v>
      </c>
      <c r="H117" s="1">
        <v>7643</v>
      </c>
      <c r="I117" s="1">
        <v>350</v>
      </c>
      <c r="J117" s="1">
        <v>360</v>
      </c>
      <c r="K117" s="1">
        <v>0</v>
      </c>
      <c r="L117" s="1" t="s">
        <v>41</v>
      </c>
      <c r="M117" s="1">
        <f>Table1[[#This Row],[ApplicantIncome]]+Table1[[#This Row],[CoapplicantIncome]]</f>
        <v>22769</v>
      </c>
      <c r="N117" s="1" t="s">
        <v>20</v>
      </c>
      <c r="O117" s="1" t="str">
        <f>IF(Table1[[#This Row],[Total_Income]]&lt;3000,"Low",IF(Table1[[#This Row],[Total_Income]]&lt;7000,"Medium","High"))</f>
        <v>High</v>
      </c>
      <c r="P117" s="1" t="str">
        <f t="shared" si="3"/>
        <v>Approved</v>
      </c>
      <c r="Q117" s="1" t="str">
        <f t="shared" si="4"/>
        <v>High Risk</v>
      </c>
      <c r="R117" s="2">
        <f t="shared" si="5"/>
        <v>2568.1760085778164</v>
      </c>
    </row>
    <row r="118" spans="1:18" s="1" customFormat="1" ht="11.5" x14ac:dyDescent="0.25">
      <c r="A118" s="1" t="s">
        <v>149</v>
      </c>
      <c r="B118" s="1" t="s">
        <v>52</v>
      </c>
      <c r="C118" s="1" t="s">
        <v>29</v>
      </c>
      <c r="D118" s="1">
        <v>0</v>
      </c>
      <c r="E118" s="1" t="s">
        <v>25</v>
      </c>
      <c r="F118" s="1" t="s">
        <v>22</v>
      </c>
      <c r="G118" s="1">
        <v>15578</v>
      </c>
      <c r="H118" s="1">
        <v>5851</v>
      </c>
      <c r="I118" s="1">
        <v>578</v>
      </c>
      <c r="J118" s="1">
        <v>180</v>
      </c>
      <c r="K118" s="1">
        <v>1</v>
      </c>
      <c r="L118" s="1" t="s">
        <v>41</v>
      </c>
      <c r="M118" s="1">
        <f>Table1[[#This Row],[ApplicantIncome]]+Table1[[#This Row],[CoapplicantIncome]]</f>
        <v>21429</v>
      </c>
      <c r="N118" s="1" t="s">
        <v>20</v>
      </c>
      <c r="O118" s="1" t="str">
        <f>IF(Table1[[#This Row],[Total_Income]]&lt;3000,"Low",IF(Table1[[#This Row],[Total_Income]]&lt;7000,"Medium","High"))</f>
        <v>High</v>
      </c>
      <c r="P118" s="1" t="str">
        <f t="shared" si="3"/>
        <v>Approved</v>
      </c>
      <c r="Q118" s="1" t="str">
        <f t="shared" si="4"/>
        <v>Low Risk</v>
      </c>
      <c r="R118" s="2">
        <f t="shared" si="5"/>
        <v>5523.6690474294319</v>
      </c>
    </row>
    <row r="119" spans="1:18" s="1" customFormat="1" ht="11.5" x14ac:dyDescent="0.25">
      <c r="A119" s="1" t="s">
        <v>150</v>
      </c>
      <c r="B119" s="1" t="s">
        <v>28</v>
      </c>
      <c r="C119" s="1" t="s">
        <v>22</v>
      </c>
      <c r="D119" s="1" t="s">
        <v>16</v>
      </c>
      <c r="E119" s="1" t="s">
        <v>17</v>
      </c>
      <c r="F119" s="1" t="s">
        <v>22</v>
      </c>
      <c r="G119" s="1">
        <v>13267</v>
      </c>
      <c r="H119" s="1">
        <v>4588</v>
      </c>
      <c r="I119" s="1">
        <v>460</v>
      </c>
      <c r="J119" s="1">
        <v>180</v>
      </c>
      <c r="K119" s="1">
        <v>0</v>
      </c>
      <c r="L119" s="1" t="s">
        <v>19</v>
      </c>
      <c r="M119" s="1">
        <f>Table1[[#This Row],[ApplicantIncome]]+Table1[[#This Row],[CoapplicantIncome]]</f>
        <v>17855</v>
      </c>
      <c r="N119" s="1" t="s">
        <v>26</v>
      </c>
      <c r="O119" s="1" t="str">
        <f>IF(Table1[[#This Row],[Total_Income]]&lt;3000,"Low",IF(Table1[[#This Row],[Total_Income]]&lt;7000,"Medium","High"))</f>
        <v>High</v>
      </c>
      <c r="P119" s="1" t="str">
        <f t="shared" si="3"/>
        <v>Rejected</v>
      </c>
      <c r="Q119" s="1" t="str">
        <f t="shared" si="4"/>
        <v>High Risk</v>
      </c>
      <c r="R119" s="2">
        <f t="shared" si="5"/>
        <v>4395.9995879196167</v>
      </c>
    </row>
    <row r="120" spans="1:18" s="1" customFormat="1" ht="11.5" x14ac:dyDescent="0.25">
      <c r="A120" s="1" t="s">
        <v>151</v>
      </c>
      <c r="B120" s="1" t="s">
        <v>28</v>
      </c>
      <c r="C120" s="1" t="s">
        <v>22</v>
      </c>
      <c r="D120" s="1">
        <v>0</v>
      </c>
      <c r="E120" s="1" t="s">
        <v>17</v>
      </c>
      <c r="F120" s="1" t="s">
        <v>29</v>
      </c>
      <c r="G120" s="1">
        <v>18217</v>
      </c>
      <c r="H120" s="1">
        <v>5493</v>
      </c>
      <c r="I120" s="1">
        <v>272</v>
      </c>
      <c r="J120" s="1">
        <v>360</v>
      </c>
      <c r="K120" s="1">
        <v>0</v>
      </c>
      <c r="L120" s="1" t="s">
        <v>41</v>
      </c>
      <c r="M120" s="1">
        <f>Table1[[#This Row],[ApplicantIncome]]+Table1[[#This Row],[CoapplicantIncome]]</f>
        <v>23710</v>
      </c>
      <c r="N120" s="1" t="s">
        <v>20</v>
      </c>
      <c r="O120" s="1" t="str">
        <f>IF(Table1[[#This Row],[Total_Income]]&lt;3000,"Low",IF(Table1[[#This Row],[Total_Income]]&lt;7000,"Medium","High"))</f>
        <v>High</v>
      </c>
      <c r="P120" s="1" t="str">
        <f t="shared" si="3"/>
        <v>Approved</v>
      </c>
      <c r="Q120" s="1" t="str">
        <f t="shared" si="4"/>
        <v>High Risk</v>
      </c>
      <c r="R120" s="2">
        <f t="shared" si="5"/>
        <v>1995.8396409519034</v>
      </c>
    </row>
    <row r="121" spans="1:18" s="1" customFormat="1" ht="11.5" x14ac:dyDescent="0.25">
      <c r="A121" s="1" t="s">
        <v>152</v>
      </c>
      <c r="B121" s="1" t="s">
        <v>52</v>
      </c>
      <c r="C121" s="1" t="s">
        <v>22</v>
      </c>
      <c r="D121" s="1">
        <v>2</v>
      </c>
      <c r="E121" s="1" t="s">
        <v>25</v>
      </c>
      <c r="F121" s="1" t="s">
        <v>29</v>
      </c>
      <c r="G121" s="1">
        <v>14093</v>
      </c>
      <c r="H121" s="1">
        <v>2923</v>
      </c>
      <c r="I121" s="1">
        <v>477</v>
      </c>
      <c r="J121" s="1">
        <v>360</v>
      </c>
      <c r="K121" s="1">
        <v>1</v>
      </c>
      <c r="L121" s="1" t="s">
        <v>30</v>
      </c>
      <c r="M121" s="1">
        <f>Table1[[#This Row],[ApplicantIncome]]+Table1[[#This Row],[CoapplicantIncome]]</f>
        <v>17016</v>
      </c>
      <c r="N121" s="1" t="s">
        <v>26</v>
      </c>
      <c r="O121" s="1" t="str">
        <f>IF(Table1[[#This Row],[Total_Income]]&lt;3000,"Low",IF(Table1[[#This Row],[Total_Income]]&lt;7000,"Medium","High"))</f>
        <v>High</v>
      </c>
      <c r="P121" s="1" t="str">
        <f t="shared" si="3"/>
        <v>Rejected</v>
      </c>
      <c r="Q121" s="1" t="str">
        <f t="shared" si="4"/>
        <v>Low Risk</v>
      </c>
      <c r="R121" s="2">
        <f t="shared" si="5"/>
        <v>3500.0570174046243</v>
      </c>
    </row>
    <row r="122" spans="1:18" s="1" customFormat="1" ht="11.5" x14ac:dyDescent="0.25">
      <c r="A122" s="1" t="s">
        <v>153</v>
      </c>
      <c r="B122" s="1" t="s">
        <v>52</v>
      </c>
      <c r="C122" s="1" t="s">
        <v>22</v>
      </c>
      <c r="D122" s="1" t="s">
        <v>16</v>
      </c>
      <c r="E122" s="1" t="s">
        <v>17</v>
      </c>
      <c r="F122" s="1" t="s">
        <v>29</v>
      </c>
      <c r="G122" s="1">
        <v>14386</v>
      </c>
      <c r="H122" s="1">
        <v>8132</v>
      </c>
      <c r="I122" s="1">
        <v>629</v>
      </c>
      <c r="J122" s="1">
        <v>120</v>
      </c>
      <c r="K122" s="1">
        <v>0</v>
      </c>
      <c r="L122" s="1" t="s">
        <v>19</v>
      </c>
      <c r="M122" s="1">
        <f>Table1[[#This Row],[ApplicantIncome]]+Table1[[#This Row],[CoapplicantIncome]]</f>
        <v>22518</v>
      </c>
      <c r="N122" s="1" t="s">
        <v>20</v>
      </c>
      <c r="O122" s="1" t="str">
        <f>IF(Table1[[#This Row],[Total_Income]]&lt;3000,"Low",IF(Table1[[#This Row],[Total_Income]]&lt;7000,"Medium","High"))</f>
        <v>High</v>
      </c>
      <c r="P122" s="1" t="str">
        <f t="shared" si="3"/>
        <v>Approved</v>
      </c>
      <c r="Q122" s="1" t="str">
        <f t="shared" si="4"/>
        <v>High Risk</v>
      </c>
      <c r="R122" s="2">
        <f t="shared" si="5"/>
        <v>7631.5056849519506</v>
      </c>
    </row>
    <row r="123" spans="1:18" s="1" customFormat="1" ht="11.5" x14ac:dyDescent="0.25">
      <c r="A123" s="1" t="s">
        <v>154</v>
      </c>
      <c r="B123" s="1" t="s">
        <v>52</v>
      </c>
      <c r="C123" s="1" t="s">
        <v>22</v>
      </c>
      <c r="D123" s="1">
        <v>1</v>
      </c>
      <c r="E123" s="1" t="s">
        <v>25</v>
      </c>
      <c r="F123" s="1" t="s">
        <v>22</v>
      </c>
      <c r="G123" s="1">
        <v>14474</v>
      </c>
      <c r="H123" s="1">
        <v>9451</v>
      </c>
      <c r="I123" s="1">
        <v>415</v>
      </c>
      <c r="J123" s="1">
        <v>360</v>
      </c>
      <c r="K123" s="1">
        <v>0</v>
      </c>
      <c r="L123" s="1" t="s">
        <v>19</v>
      </c>
      <c r="M123" s="1">
        <f>Table1[[#This Row],[ApplicantIncome]]+Table1[[#This Row],[CoapplicantIncome]]</f>
        <v>23925</v>
      </c>
      <c r="N123" s="1" t="s">
        <v>20</v>
      </c>
      <c r="O123" s="1" t="str">
        <f>IF(Table1[[#This Row],[Total_Income]]&lt;3000,"Low",IF(Table1[[#This Row],[Total_Income]]&lt;7000,"Medium","High"))</f>
        <v>High</v>
      </c>
      <c r="P123" s="1" t="str">
        <f t="shared" si="3"/>
        <v>Approved</v>
      </c>
      <c r="Q123" s="1" t="str">
        <f t="shared" si="4"/>
        <v>High Risk</v>
      </c>
      <c r="R123" s="2">
        <f t="shared" si="5"/>
        <v>3045.1229815994111</v>
      </c>
    </row>
    <row r="124" spans="1:18" s="1" customFormat="1" ht="11.5" x14ac:dyDescent="0.25">
      <c r="A124" s="1" t="s">
        <v>155</v>
      </c>
      <c r="B124" s="1" t="s">
        <v>28</v>
      </c>
      <c r="C124" s="1" t="s">
        <v>29</v>
      </c>
      <c r="D124" s="1" t="s">
        <v>16</v>
      </c>
      <c r="E124" s="1" t="s">
        <v>25</v>
      </c>
      <c r="F124" s="1" t="s">
        <v>29</v>
      </c>
      <c r="G124" s="1">
        <v>10032</v>
      </c>
      <c r="H124" s="1">
        <v>1758</v>
      </c>
      <c r="I124" s="1">
        <v>209</v>
      </c>
      <c r="J124" s="1">
        <v>360</v>
      </c>
      <c r="K124" s="1">
        <v>0</v>
      </c>
      <c r="L124" s="1" t="s">
        <v>19</v>
      </c>
      <c r="M124" s="1">
        <f>Table1[[#This Row],[ApplicantIncome]]+Table1[[#This Row],[CoapplicantIncome]]</f>
        <v>11790</v>
      </c>
      <c r="N124" s="1" t="s">
        <v>26</v>
      </c>
      <c r="O124" s="1" t="str">
        <f>IF(Table1[[#This Row],[Total_Income]]&lt;3000,"Low",IF(Table1[[#This Row],[Total_Income]]&lt;7000,"Medium","High"))</f>
        <v>High</v>
      </c>
      <c r="P124" s="1" t="str">
        <f t="shared" si="3"/>
        <v>Rejected</v>
      </c>
      <c r="Q124" s="1" t="str">
        <f t="shared" si="4"/>
        <v>High Risk</v>
      </c>
      <c r="R124" s="2">
        <f t="shared" si="5"/>
        <v>1533.5679594078961</v>
      </c>
    </row>
    <row r="125" spans="1:18" s="1" customFormat="1" ht="11.5" x14ac:dyDescent="0.25">
      <c r="A125" s="1" t="s">
        <v>156</v>
      </c>
      <c r="B125" s="1" t="s">
        <v>28</v>
      </c>
      <c r="C125" s="1" t="s">
        <v>29</v>
      </c>
      <c r="D125" s="1">
        <v>2</v>
      </c>
      <c r="E125" s="1" t="s">
        <v>17</v>
      </c>
      <c r="F125" s="1" t="s">
        <v>22</v>
      </c>
      <c r="G125" s="1">
        <v>9197</v>
      </c>
      <c r="H125" s="1">
        <v>8614</v>
      </c>
      <c r="I125" s="1">
        <v>462</v>
      </c>
      <c r="J125" s="1">
        <v>360</v>
      </c>
      <c r="K125" s="1">
        <v>0</v>
      </c>
      <c r="L125" s="1" t="s">
        <v>41</v>
      </c>
      <c r="M125" s="1">
        <f>Table1[[#This Row],[ApplicantIncome]]+Table1[[#This Row],[CoapplicantIncome]]</f>
        <v>17811</v>
      </c>
      <c r="N125" s="1" t="s">
        <v>20</v>
      </c>
      <c r="O125" s="1" t="str">
        <f>IF(Table1[[#This Row],[Total_Income]]&lt;3000,"Low",IF(Table1[[#This Row],[Total_Income]]&lt;7000,"Medium","High"))</f>
        <v>High</v>
      </c>
      <c r="P125" s="1" t="str">
        <f t="shared" si="3"/>
        <v>Approved</v>
      </c>
      <c r="Q125" s="1" t="str">
        <f t="shared" si="4"/>
        <v>High Risk</v>
      </c>
      <c r="R125" s="2">
        <f t="shared" si="5"/>
        <v>3389.9923313227182</v>
      </c>
    </row>
    <row r="126" spans="1:18" s="1" customFormat="1" ht="11.5" x14ac:dyDescent="0.25">
      <c r="A126" s="1" t="s">
        <v>157</v>
      </c>
      <c r="B126" s="1" t="s">
        <v>52</v>
      </c>
      <c r="C126" s="1" t="s">
        <v>22</v>
      </c>
      <c r="D126" s="1" t="s">
        <v>16</v>
      </c>
      <c r="E126" s="1" t="s">
        <v>25</v>
      </c>
      <c r="F126" s="1" t="s">
        <v>22</v>
      </c>
      <c r="G126" s="1">
        <v>11471</v>
      </c>
      <c r="H126" s="1">
        <v>5166</v>
      </c>
      <c r="I126" s="1">
        <v>480</v>
      </c>
      <c r="J126" s="1">
        <v>180</v>
      </c>
      <c r="K126" s="1">
        <v>0</v>
      </c>
      <c r="L126" s="1" t="s">
        <v>19</v>
      </c>
      <c r="M126" s="1">
        <f>Table1[[#This Row],[ApplicantIncome]]+Table1[[#This Row],[CoapplicantIncome]]</f>
        <v>16637</v>
      </c>
      <c r="N126" s="1" t="s">
        <v>26</v>
      </c>
      <c r="O126" s="1" t="str">
        <f>IF(Table1[[#This Row],[Total_Income]]&lt;3000,"Low",IF(Table1[[#This Row],[Total_Income]]&lt;7000,"Medium","High"))</f>
        <v>High</v>
      </c>
      <c r="P126" s="1" t="str">
        <f t="shared" si="3"/>
        <v>Rejected</v>
      </c>
      <c r="Q126" s="1" t="str">
        <f t="shared" si="4"/>
        <v>High Risk</v>
      </c>
      <c r="R126" s="2">
        <f t="shared" si="5"/>
        <v>4587.1300047856867</v>
      </c>
    </row>
    <row r="127" spans="1:18" s="1" customFormat="1" ht="11.5" x14ac:dyDescent="0.25">
      <c r="A127" s="1" t="s">
        <v>158</v>
      </c>
      <c r="B127" s="1" t="s">
        <v>28</v>
      </c>
      <c r="C127" s="1" t="s">
        <v>29</v>
      </c>
      <c r="D127" s="1" t="s">
        <v>16</v>
      </c>
      <c r="E127" s="1" t="s">
        <v>17</v>
      </c>
      <c r="F127" s="1" t="s">
        <v>22</v>
      </c>
      <c r="G127" s="1">
        <v>5172</v>
      </c>
      <c r="H127" s="1">
        <v>3854</v>
      </c>
      <c r="I127" s="1">
        <v>460</v>
      </c>
      <c r="J127" s="1">
        <v>180</v>
      </c>
      <c r="K127" s="1">
        <v>0</v>
      </c>
      <c r="L127" s="1" t="s">
        <v>30</v>
      </c>
      <c r="M127" s="1">
        <f>Table1[[#This Row],[ApplicantIncome]]+Table1[[#This Row],[CoapplicantIncome]]</f>
        <v>9026</v>
      </c>
      <c r="N127" s="1" t="s">
        <v>26</v>
      </c>
      <c r="O127" s="1" t="str">
        <f>IF(Table1[[#This Row],[Total_Income]]&lt;3000,"Low",IF(Table1[[#This Row],[Total_Income]]&lt;7000,"Medium","High"))</f>
        <v>High</v>
      </c>
      <c r="P127" s="1" t="str">
        <f t="shared" si="3"/>
        <v>Rejected</v>
      </c>
      <c r="Q127" s="1" t="str">
        <f t="shared" si="4"/>
        <v>High Risk</v>
      </c>
      <c r="R127" s="2">
        <f t="shared" si="5"/>
        <v>4395.9995879196167</v>
      </c>
    </row>
    <row r="128" spans="1:18" s="1" customFormat="1" ht="11.5" x14ac:dyDescent="0.25">
      <c r="A128" s="1" t="s">
        <v>159</v>
      </c>
      <c r="B128" s="1" t="s">
        <v>52</v>
      </c>
      <c r="C128" s="1" t="s">
        <v>22</v>
      </c>
      <c r="D128" s="1" t="s">
        <v>16</v>
      </c>
      <c r="E128" s="1" t="s">
        <v>25</v>
      </c>
      <c r="F128" s="1" t="s">
        <v>22</v>
      </c>
      <c r="G128" s="1">
        <v>8183</v>
      </c>
      <c r="H128" s="1">
        <v>2817</v>
      </c>
      <c r="I128" s="1">
        <v>592</v>
      </c>
      <c r="J128" s="1">
        <v>360</v>
      </c>
      <c r="K128" s="1">
        <v>1</v>
      </c>
      <c r="L128" s="1" t="s">
        <v>19</v>
      </c>
      <c r="M128" s="1">
        <f>Table1[[#This Row],[ApplicantIncome]]+Table1[[#This Row],[CoapplicantIncome]]</f>
        <v>11000</v>
      </c>
      <c r="N128" s="1" t="s">
        <v>20</v>
      </c>
      <c r="O128" s="1" t="str">
        <f>IF(Table1[[#This Row],[Total_Income]]&lt;3000,"Low",IF(Table1[[#This Row],[Total_Income]]&lt;7000,"Medium","High"))</f>
        <v>High</v>
      </c>
      <c r="P128" s="1" t="str">
        <f t="shared" si="3"/>
        <v>Approved</v>
      </c>
      <c r="Q128" s="1" t="str">
        <f t="shared" si="4"/>
        <v>Low Risk</v>
      </c>
      <c r="R128" s="2">
        <f t="shared" si="5"/>
        <v>4343.8862773659066</v>
      </c>
    </row>
    <row r="129" spans="1:18" s="1" customFormat="1" ht="11.5" x14ac:dyDescent="0.25">
      <c r="A129" s="1" t="s">
        <v>160</v>
      </c>
      <c r="B129" s="1" t="s">
        <v>1238</v>
      </c>
      <c r="C129" s="1" t="s">
        <v>29</v>
      </c>
      <c r="D129" s="1">
        <v>0</v>
      </c>
      <c r="E129" s="1" t="s">
        <v>17</v>
      </c>
      <c r="F129" s="1" t="s">
        <v>22</v>
      </c>
      <c r="G129" s="1">
        <v>16983</v>
      </c>
      <c r="H129" s="1">
        <v>1738</v>
      </c>
      <c r="I129" s="1">
        <v>649</v>
      </c>
      <c r="J129" s="1">
        <v>360</v>
      </c>
      <c r="K129" s="1">
        <v>0</v>
      </c>
      <c r="L129" s="1" t="s">
        <v>41</v>
      </c>
      <c r="M129" s="1">
        <f>Table1[[#This Row],[ApplicantIncome]]+Table1[[#This Row],[CoapplicantIncome]]</f>
        <v>18721</v>
      </c>
      <c r="N129" s="1" t="s">
        <v>26</v>
      </c>
      <c r="O129" s="1" t="str">
        <f>IF(Table1[[#This Row],[Total_Income]]&lt;3000,"Low",IF(Table1[[#This Row],[Total_Income]]&lt;7000,"Medium","High"))</f>
        <v>High</v>
      </c>
      <c r="P129" s="1" t="str">
        <f t="shared" si="3"/>
        <v>Rejected</v>
      </c>
      <c r="Q129" s="1" t="str">
        <f t="shared" si="4"/>
        <v>High Risk</v>
      </c>
      <c r="R129" s="2">
        <f t="shared" si="5"/>
        <v>4762.1320844771517</v>
      </c>
    </row>
    <row r="130" spans="1:18" s="1" customFormat="1" ht="11.5" x14ac:dyDescent="0.25">
      <c r="A130" s="1" t="s">
        <v>161</v>
      </c>
      <c r="B130" s="1" t="s">
        <v>1238</v>
      </c>
      <c r="C130" s="1" t="s">
        <v>22</v>
      </c>
      <c r="D130" s="1">
        <v>1</v>
      </c>
      <c r="E130" s="1" t="s">
        <v>17</v>
      </c>
      <c r="F130" s="1" t="s">
        <v>22</v>
      </c>
      <c r="G130" s="1">
        <v>11719</v>
      </c>
      <c r="H130" s="1">
        <v>1478</v>
      </c>
      <c r="I130" s="1">
        <v>326</v>
      </c>
      <c r="J130" s="1">
        <v>180</v>
      </c>
      <c r="K130" s="1">
        <v>0</v>
      </c>
      <c r="L130" s="1" t="s">
        <v>19</v>
      </c>
      <c r="M130" s="1">
        <f>Table1[[#This Row],[ApplicantIncome]]+Table1[[#This Row],[CoapplicantIncome]]</f>
        <v>13197</v>
      </c>
      <c r="N130" s="1" t="s">
        <v>20</v>
      </c>
      <c r="O130" s="1" t="str">
        <f>IF(Table1[[#This Row],[Total_Income]]&lt;3000,"Low",IF(Table1[[#This Row],[Total_Income]]&lt;7000,"Medium","High"))</f>
        <v>High</v>
      </c>
      <c r="P130" s="1" t="str">
        <f t="shared" ref="P130:P193" si="6">IF(N130="Y","Approved","Rejected")</f>
        <v>Approved</v>
      </c>
      <c r="Q130" s="1" t="str">
        <f t="shared" ref="Q130:Q193" si="7">IF(K130=1,"Low Risk","High Risk")</f>
        <v>High Risk</v>
      </c>
      <c r="R130" s="2">
        <f t="shared" ref="R130:R193" si="8">-PMT(8%/12,J130,I130*1000)</f>
        <v>3115.4257949169455</v>
      </c>
    </row>
    <row r="131" spans="1:18" s="1" customFormat="1" ht="11.5" x14ac:dyDescent="0.25">
      <c r="A131" s="1" t="s">
        <v>162</v>
      </c>
      <c r="B131" s="1" t="s">
        <v>28</v>
      </c>
      <c r="C131" s="1" t="s">
        <v>29</v>
      </c>
      <c r="D131" s="1">
        <v>2</v>
      </c>
      <c r="E131" s="1" t="s">
        <v>17</v>
      </c>
      <c r="F131" s="1" t="s">
        <v>22</v>
      </c>
      <c r="G131" s="1">
        <v>2898</v>
      </c>
      <c r="H131" s="1">
        <v>8456</v>
      </c>
      <c r="I131" s="1">
        <v>232</v>
      </c>
      <c r="J131" s="1">
        <v>360</v>
      </c>
      <c r="K131" s="1">
        <v>0</v>
      </c>
      <c r="L131" s="1" t="s">
        <v>41</v>
      </c>
      <c r="M131" s="1">
        <f>Table1[[#This Row],[ApplicantIncome]]+Table1[[#This Row],[CoapplicantIncome]]</f>
        <v>11354</v>
      </c>
      <c r="N131" s="1" t="s">
        <v>20</v>
      </c>
      <c r="O131" s="1" t="str">
        <f>IF(Table1[[#This Row],[Total_Income]]&lt;3000,"Low",IF(Table1[[#This Row],[Total_Income]]&lt;7000,"Medium","High"))</f>
        <v>High</v>
      </c>
      <c r="P131" s="1" t="str">
        <f t="shared" si="6"/>
        <v>Approved</v>
      </c>
      <c r="Q131" s="1" t="str">
        <f t="shared" si="7"/>
        <v>High Risk</v>
      </c>
      <c r="R131" s="2">
        <f t="shared" si="8"/>
        <v>1702.3338114001526</v>
      </c>
    </row>
    <row r="132" spans="1:18" s="1" customFormat="1" ht="11.5" x14ac:dyDescent="0.25">
      <c r="A132" s="1" t="s">
        <v>163</v>
      </c>
      <c r="B132" s="1" t="s">
        <v>1238</v>
      </c>
      <c r="C132" s="1" t="s">
        <v>29</v>
      </c>
      <c r="D132" s="1">
        <v>0</v>
      </c>
      <c r="E132" s="1" t="s">
        <v>17</v>
      </c>
      <c r="F132" s="1" t="s">
        <v>29</v>
      </c>
      <c r="G132" s="1">
        <v>19213</v>
      </c>
      <c r="H132" s="1">
        <v>269</v>
      </c>
      <c r="I132" s="1">
        <v>253</v>
      </c>
      <c r="J132" s="1">
        <v>360</v>
      </c>
      <c r="K132" s="1">
        <v>0</v>
      </c>
      <c r="L132" s="1" t="s">
        <v>19</v>
      </c>
      <c r="M132" s="1">
        <f>Table1[[#This Row],[ApplicantIncome]]+Table1[[#This Row],[CoapplicantIncome]]</f>
        <v>19482</v>
      </c>
      <c r="N132" s="1" t="s">
        <v>20</v>
      </c>
      <c r="O132" s="1" t="str">
        <f>IF(Table1[[#This Row],[Total_Income]]&lt;3000,"Low",IF(Table1[[#This Row],[Total_Income]]&lt;7000,"Medium","High"))</f>
        <v>High</v>
      </c>
      <c r="P132" s="1" t="str">
        <f t="shared" si="6"/>
        <v>Approved</v>
      </c>
      <c r="Q132" s="1" t="str">
        <f t="shared" si="7"/>
        <v>High Risk</v>
      </c>
      <c r="R132" s="2">
        <f t="shared" si="8"/>
        <v>1856.4243719148219</v>
      </c>
    </row>
    <row r="133" spans="1:18" s="1" customFormat="1" ht="11.5" x14ac:dyDescent="0.25">
      <c r="A133" s="1" t="s">
        <v>164</v>
      </c>
      <c r="B133" s="1" t="s">
        <v>52</v>
      </c>
      <c r="C133" s="1" t="s">
        <v>22</v>
      </c>
      <c r="D133" s="1">
        <v>1</v>
      </c>
      <c r="E133" s="1" t="s">
        <v>17</v>
      </c>
      <c r="F133" s="1" t="s">
        <v>22</v>
      </c>
      <c r="G133" s="1">
        <v>13941</v>
      </c>
      <c r="H133" s="1">
        <v>3970</v>
      </c>
      <c r="I133" s="1">
        <v>85</v>
      </c>
      <c r="J133" s="1">
        <v>360</v>
      </c>
      <c r="K133" s="1">
        <v>0</v>
      </c>
      <c r="L133" s="1" t="s">
        <v>19</v>
      </c>
      <c r="M133" s="1">
        <f>Table1[[#This Row],[ApplicantIncome]]+Table1[[#This Row],[CoapplicantIncome]]</f>
        <v>17911</v>
      </c>
      <c r="N133" s="1" t="s">
        <v>20</v>
      </c>
      <c r="O133" s="1" t="str">
        <f>IF(Table1[[#This Row],[Total_Income]]&lt;3000,"Low",IF(Table1[[#This Row],[Total_Income]]&lt;7000,"Medium","High"))</f>
        <v>High</v>
      </c>
      <c r="P133" s="1" t="str">
        <f t="shared" si="6"/>
        <v>Approved</v>
      </c>
      <c r="Q133" s="1" t="str">
        <f t="shared" si="7"/>
        <v>High Risk</v>
      </c>
      <c r="R133" s="2">
        <f t="shared" si="8"/>
        <v>623.69988779746984</v>
      </c>
    </row>
    <row r="134" spans="1:18" s="1" customFormat="1" ht="11.5" x14ac:dyDescent="0.25">
      <c r="A134" s="1" t="s">
        <v>165</v>
      </c>
      <c r="B134" s="1" t="s">
        <v>1238</v>
      </c>
      <c r="C134" s="1" t="s">
        <v>22</v>
      </c>
      <c r="D134" s="1">
        <v>2</v>
      </c>
      <c r="E134" s="1" t="s">
        <v>17</v>
      </c>
      <c r="F134" s="1" t="s">
        <v>22</v>
      </c>
      <c r="G134" s="1">
        <v>11641</v>
      </c>
      <c r="H134" s="1">
        <v>2714</v>
      </c>
      <c r="I134" s="1">
        <v>487</v>
      </c>
      <c r="J134" s="1">
        <v>360</v>
      </c>
      <c r="K134" s="1">
        <v>0</v>
      </c>
      <c r="L134" s="1" t="s">
        <v>19</v>
      </c>
      <c r="M134" s="1">
        <f>Table1[[#This Row],[ApplicantIncome]]+Table1[[#This Row],[CoapplicantIncome]]</f>
        <v>14355</v>
      </c>
      <c r="N134" s="1" t="s">
        <v>20</v>
      </c>
      <c r="O134" s="1" t="str">
        <f>IF(Table1[[#This Row],[Total_Income]]&lt;3000,"Low",IF(Table1[[#This Row],[Total_Income]]&lt;7000,"Medium","High"))</f>
        <v>High</v>
      </c>
      <c r="P134" s="1" t="str">
        <f t="shared" si="6"/>
        <v>Approved</v>
      </c>
      <c r="Q134" s="1" t="str">
        <f t="shared" si="7"/>
        <v>High Risk</v>
      </c>
      <c r="R134" s="2">
        <f t="shared" si="8"/>
        <v>3573.4334747925618</v>
      </c>
    </row>
    <row r="135" spans="1:18" s="1" customFormat="1" ht="11.5" x14ac:dyDescent="0.25">
      <c r="A135" s="1" t="s">
        <v>166</v>
      </c>
      <c r="B135" s="1" t="s">
        <v>52</v>
      </c>
      <c r="C135" s="1" t="s">
        <v>29</v>
      </c>
      <c r="D135" s="1">
        <v>2</v>
      </c>
      <c r="E135" s="1" t="s">
        <v>17</v>
      </c>
      <c r="F135" s="1" t="s">
        <v>29</v>
      </c>
      <c r="G135" s="1">
        <v>12273</v>
      </c>
      <c r="H135" s="1">
        <v>5082</v>
      </c>
      <c r="I135" s="1">
        <v>385</v>
      </c>
      <c r="J135" s="1">
        <v>360</v>
      </c>
      <c r="K135" s="1">
        <v>1</v>
      </c>
      <c r="L135" s="1" t="s">
        <v>30</v>
      </c>
      <c r="M135" s="1">
        <f>Table1[[#This Row],[ApplicantIncome]]+Table1[[#This Row],[CoapplicantIncome]]</f>
        <v>17355</v>
      </c>
      <c r="N135" s="1" t="s">
        <v>20</v>
      </c>
      <c r="O135" s="1" t="str">
        <f>IF(Table1[[#This Row],[Total_Income]]&lt;3000,"Low",IF(Table1[[#This Row],[Total_Income]]&lt;7000,"Medium","High"))</f>
        <v>High</v>
      </c>
      <c r="P135" s="1" t="str">
        <f t="shared" si="6"/>
        <v>Approved</v>
      </c>
      <c r="Q135" s="1" t="str">
        <f t="shared" si="7"/>
        <v>Low Risk</v>
      </c>
      <c r="R135" s="2">
        <f t="shared" si="8"/>
        <v>2824.9936094355985</v>
      </c>
    </row>
    <row r="136" spans="1:18" s="1" customFormat="1" ht="11.5" x14ac:dyDescent="0.25">
      <c r="A136" s="1" t="s">
        <v>167</v>
      </c>
      <c r="B136" s="1" t="s">
        <v>1238</v>
      </c>
      <c r="C136" s="1" t="s">
        <v>22</v>
      </c>
      <c r="D136" s="1">
        <v>0</v>
      </c>
      <c r="E136" s="1" t="s">
        <v>25</v>
      </c>
      <c r="F136" s="1" t="s">
        <v>22</v>
      </c>
      <c r="G136" s="1">
        <v>3515</v>
      </c>
      <c r="H136" s="1">
        <v>7537</v>
      </c>
      <c r="I136" s="1">
        <v>116</v>
      </c>
      <c r="J136" s="1">
        <v>120</v>
      </c>
      <c r="K136" s="1">
        <v>0</v>
      </c>
      <c r="L136" s="1" t="s">
        <v>19</v>
      </c>
      <c r="M136" s="1">
        <f>Table1[[#This Row],[ApplicantIncome]]+Table1[[#This Row],[CoapplicantIncome]]</f>
        <v>11052</v>
      </c>
      <c r="N136" s="1" t="s">
        <v>20</v>
      </c>
      <c r="O136" s="1" t="str">
        <f>IF(Table1[[#This Row],[Total_Income]]&lt;3000,"Low",IF(Table1[[#This Row],[Total_Income]]&lt;7000,"Medium","High"))</f>
        <v>High</v>
      </c>
      <c r="P136" s="1" t="str">
        <f t="shared" si="6"/>
        <v>Approved</v>
      </c>
      <c r="Q136" s="1" t="str">
        <f t="shared" si="7"/>
        <v>High Risk</v>
      </c>
      <c r="R136" s="2">
        <f t="shared" si="8"/>
        <v>1407.4000945221403</v>
      </c>
    </row>
    <row r="137" spans="1:18" s="1" customFormat="1" ht="11.5" x14ac:dyDescent="0.25">
      <c r="A137" s="1" t="s">
        <v>168</v>
      </c>
      <c r="B137" s="1" t="s">
        <v>52</v>
      </c>
      <c r="C137" s="1" t="s">
        <v>22</v>
      </c>
      <c r="D137" s="1">
        <v>0</v>
      </c>
      <c r="E137" s="1" t="s">
        <v>17</v>
      </c>
      <c r="F137" s="1" t="s">
        <v>22</v>
      </c>
      <c r="G137" s="1">
        <v>12039</v>
      </c>
      <c r="H137" s="1">
        <v>8150</v>
      </c>
      <c r="I137" s="1">
        <v>480</v>
      </c>
      <c r="J137" s="1">
        <v>360</v>
      </c>
      <c r="K137" s="1">
        <v>0</v>
      </c>
      <c r="L137" s="1" t="s">
        <v>41</v>
      </c>
      <c r="M137" s="1">
        <f>Table1[[#This Row],[ApplicantIncome]]+Table1[[#This Row],[CoapplicantIncome]]</f>
        <v>20189</v>
      </c>
      <c r="N137" s="1" t="s">
        <v>26</v>
      </c>
      <c r="O137" s="1" t="str">
        <f>IF(Table1[[#This Row],[Total_Income]]&lt;3000,"Low",IF(Table1[[#This Row],[Total_Income]]&lt;7000,"Medium","High"))</f>
        <v>High</v>
      </c>
      <c r="P137" s="1" t="str">
        <f t="shared" si="6"/>
        <v>Rejected</v>
      </c>
      <c r="Q137" s="1" t="str">
        <f t="shared" si="7"/>
        <v>High Risk</v>
      </c>
      <c r="R137" s="2">
        <f t="shared" si="8"/>
        <v>3522.0699546210058</v>
      </c>
    </row>
    <row r="138" spans="1:18" s="1" customFormat="1" ht="11.5" x14ac:dyDescent="0.25">
      <c r="A138" s="1" t="s">
        <v>169</v>
      </c>
      <c r="B138" s="1" t="s">
        <v>52</v>
      </c>
      <c r="C138" s="1" t="s">
        <v>22</v>
      </c>
      <c r="D138" s="1">
        <v>1</v>
      </c>
      <c r="E138" s="1" t="s">
        <v>17</v>
      </c>
      <c r="F138" s="1" t="s">
        <v>29</v>
      </c>
      <c r="G138" s="1">
        <v>4134</v>
      </c>
      <c r="H138" s="1">
        <v>2310</v>
      </c>
      <c r="I138" s="1">
        <v>609</v>
      </c>
      <c r="J138" s="1">
        <v>360</v>
      </c>
      <c r="K138" s="1">
        <v>0</v>
      </c>
      <c r="L138" s="1" t="s">
        <v>30</v>
      </c>
      <c r="M138" s="1">
        <f>Table1[[#This Row],[ApplicantIncome]]+Table1[[#This Row],[CoapplicantIncome]]</f>
        <v>6444</v>
      </c>
      <c r="N138" s="1" t="s">
        <v>20</v>
      </c>
      <c r="O138" s="1" t="str">
        <f>IF(Table1[[#This Row],[Total_Income]]&lt;3000,"Low",IF(Table1[[#This Row],[Total_Income]]&lt;7000,"Medium","High"))</f>
        <v>Medium</v>
      </c>
      <c r="P138" s="1" t="str">
        <f t="shared" si="6"/>
        <v>Approved</v>
      </c>
      <c r="Q138" s="1" t="str">
        <f t="shared" si="7"/>
        <v>High Risk</v>
      </c>
      <c r="R138" s="2">
        <f t="shared" si="8"/>
        <v>4468.6262549254016</v>
      </c>
    </row>
    <row r="139" spans="1:18" s="1" customFormat="1" ht="11.5" x14ac:dyDescent="0.25">
      <c r="A139" s="1" t="s">
        <v>170</v>
      </c>
      <c r="B139" s="1" t="s">
        <v>1238</v>
      </c>
      <c r="C139" s="1" t="s">
        <v>29</v>
      </c>
      <c r="D139" s="1">
        <v>2</v>
      </c>
      <c r="E139" s="1" t="s">
        <v>25</v>
      </c>
      <c r="F139" s="1" t="s">
        <v>22</v>
      </c>
      <c r="G139" s="1">
        <v>6207</v>
      </c>
      <c r="H139" s="1">
        <v>7515</v>
      </c>
      <c r="I139" s="1">
        <v>60</v>
      </c>
      <c r="J139" s="1">
        <v>360</v>
      </c>
      <c r="K139" s="1">
        <v>1</v>
      </c>
      <c r="L139" s="1" t="s">
        <v>41</v>
      </c>
      <c r="M139" s="1">
        <f>Table1[[#This Row],[ApplicantIncome]]+Table1[[#This Row],[CoapplicantIncome]]</f>
        <v>13722</v>
      </c>
      <c r="N139" s="1" t="s">
        <v>26</v>
      </c>
      <c r="O139" s="1" t="str">
        <f>IF(Table1[[#This Row],[Total_Income]]&lt;3000,"Low",IF(Table1[[#This Row],[Total_Income]]&lt;7000,"Medium","High"))</f>
        <v>High</v>
      </c>
      <c r="P139" s="1" t="str">
        <f t="shared" si="6"/>
        <v>Rejected</v>
      </c>
      <c r="Q139" s="1" t="str">
        <f t="shared" si="7"/>
        <v>Low Risk</v>
      </c>
      <c r="R139" s="2">
        <f t="shared" si="8"/>
        <v>440.25874432762572</v>
      </c>
    </row>
    <row r="140" spans="1:18" s="1" customFormat="1" ht="11.5" x14ac:dyDescent="0.25">
      <c r="A140" s="1" t="s">
        <v>171</v>
      </c>
      <c r="B140" s="1" t="s">
        <v>28</v>
      </c>
      <c r="C140" s="1" t="s">
        <v>22</v>
      </c>
      <c r="D140" s="1">
        <v>1</v>
      </c>
      <c r="E140" s="1" t="s">
        <v>25</v>
      </c>
      <c r="F140" s="1" t="s">
        <v>22</v>
      </c>
      <c r="G140" s="1">
        <v>4742</v>
      </c>
      <c r="H140" s="1">
        <v>5300</v>
      </c>
      <c r="I140" s="1">
        <v>392</v>
      </c>
      <c r="J140" s="1">
        <v>120</v>
      </c>
      <c r="K140" s="1">
        <v>1</v>
      </c>
      <c r="L140" s="1" t="s">
        <v>19</v>
      </c>
      <c r="M140" s="1">
        <f>Table1[[#This Row],[ApplicantIncome]]+Table1[[#This Row],[CoapplicantIncome]]</f>
        <v>10042</v>
      </c>
      <c r="N140" s="1" t="s">
        <v>20</v>
      </c>
      <c r="O140" s="1" t="str">
        <f>IF(Table1[[#This Row],[Total_Income]]&lt;3000,"Low",IF(Table1[[#This Row],[Total_Income]]&lt;7000,"Medium","High"))</f>
        <v>High</v>
      </c>
      <c r="P140" s="1" t="str">
        <f t="shared" si="6"/>
        <v>Approved</v>
      </c>
      <c r="Q140" s="1" t="str">
        <f t="shared" si="7"/>
        <v>Low Risk</v>
      </c>
      <c r="R140" s="2">
        <f t="shared" si="8"/>
        <v>4756.0416987299914</v>
      </c>
    </row>
    <row r="141" spans="1:18" s="1" customFormat="1" ht="11.5" x14ac:dyDescent="0.25">
      <c r="A141" s="1" t="s">
        <v>172</v>
      </c>
      <c r="B141" s="1" t="s">
        <v>52</v>
      </c>
      <c r="C141" s="1" t="s">
        <v>22</v>
      </c>
      <c r="D141" s="1">
        <v>1</v>
      </c>
      <c r="E141" s="1" t="s">
        <v>17</v>
      </c>
      <c r="F141" s="1" t="s">
        <v>22</v>
      </c>
      <c r="G141" s="1">
        <v>12731</v>
      </c>
      <c r="H141" s="1">
        <v>2130</v>
      </c>
      <c r="I141" s="1">
        <v>560</v>
      </c>
      <c r="J141" s="1">
        <v>360</v>
      </c>
      <c r="K141" s="1">
        <v>0</v>
      </c>
      <c r="L141" s="1" t="s">
        <v>19</v>
      </c>
      <c r="M141" s="1">
        <f>Table1[[#This Row],[ApplicantIncome]]+Table1[[#This Row],[CoapplicantIncome]]</f>
        <v>14861</v>
      </c>
      <c r="N141" s="1" t="s">
        <v>26</v>
      </c>
      <c r="O141" s="1" t="str">
        <f>IF(Table1[[#This Row],[Total_Income]]&lt;3000,"Low",IF(Table1[[#This Row],[Total_Income]]&lt;7000,"Medium","High"))</f>
        <v>High</v>
      </c>
      <c r="P141" s="1" t="str">
        <f t="shared" si="6"/>
        <v>Rejected</v>
      </c>
      <c r="Q141" s="1" t="str">
        <f t="shared" si="7"/>
        <v>High Risk</v>
      </c>
      <c r="R141" s="2">
        <f t="shared" si="8"/>
        <v>4109.0816137245065</v>
      </c>
    </row>
    <row r="142" spans="1:18" s="1" customFormat="1" ht="11.5" x14ac:dyDescent="0.25">
      <c r="A142" s="1" t="s">
        <v>173</v>
      </c>
      <c r="B142" s="1" t="s">
        <v>52</v>
      </c>
      <c r="C142" s="1" t="s">
        <v>29</v>
      </c>
      <c r="D142" s="1" t="s">
        <v>16</v>
      </c>
      <c r="E142" s="1" t="s">
        <v>17</v>
      </c>
      <c r="F142" s="1" t="s">
        <v>22</v>
      </c>
      <c r="G142" s="1">
        <v>19477</v>
      </c>
      <c r="H142" s="1">
        <v>5071</v>
      </c>
      <c r="I142" s="1">
        <v>225</v>
      </c>
      <c r="J142" s="1">
        <v>360</v>
      </c>
      <c r="K142" s="1">
        <v>0</v>
      </c>
      <c r="L142" s="1" t="s">
        <v>30</v>
      </c>
      <c r="M142" s="1">
        <f>Table1[[#This Row],[ApplicantIncome]]+Table1[[#This Row],[CoapplicantIncome]]</f>
        <v>24548</v>
      </c>
      <c r="N142" s="1" t="s">
        <v>20</v>
      </c>
      <c r="O142" s="1" t="str">
        <f>IF(Table1[[#This Row],[Total_Income]]&lt;3000,"Low",IF(Table1[[#This Row],[Total_Income]]&lt;7000,"Medium","High"))</f>
        <v>High</v>
      </c>
      <c r="P142" s="1" t="str">
        <f t="shared" si="6"/>
        <v>Approved</v>
      </c>
      <c r="Q142" s="1" t="str">
        <f t="shared" si="7"/>
        <v>High Risk</v>
      </c>
      <c r="R142" s="2">
        <f t="shared" si="8"/>
        <v>1650.9702912285964</v>
      </c>
    </row>
    <row r="143" spans="1:18" s="1" customFormat="1" ht="11.5" x14ac:dyDescent="0.25">
      <c r="A143" s="1" t="s">
        <v>174</v>
      </c>
      <c r="B143" s="1" t="s">
        <v>52</v>
      </c>
      <c r="C143" s="1" t="s">
        <v>29</v>
      </c>
      <c r="D143" s="1">
        <v>0</v>
      </c>
      <c r="E143" s="1" t="s">
        <v>17</v>
      </c>
      <c r="F143" s="1" t="s">
        <v>29</v>
      </c>
      <c r="G143" s="1">
        <v>16224</v>
      </c>
      <c r="H143" s="1">
        <v>944</v>
      </c>
      <c r="I143" s="1">
        <v>650</v>
      </c>
      <c r="J143" s="1">
        <v>120</v>
      </c>
      <c r="K143" s="1">
        <v>0</v>
      </c>
      <c r="L143" s="1" t="s">
        <v>41</v>
      </c>
      <c r="M143" s="1">
        <f>Table1[[#This Row],[ApplicantIncome]]+Table1[[#This Row],[CoapplicantIncome]]</f>
        <v>17168</v>
      </c>
      <c r="N143" s="1" t="s">
        <v>26</v>
      </c>
      <c r="O143" s="1" t="str">
        <f>IF(Table1[[#This Row],[Total_Income]]&lt;3000,"Low",IF(Table1[[#This Row],[Total_Income]]&lt;7000,"Medium","High"))</f>
        <v>High</v>
      </c>
      <c r="P143" s="1" t="str">
        <f t="shared" si="6"/>
        <v>Rejected</v>
      </c>
      <c r="Q143" s="1" t="str">
        <f t="shared" si="7"/>
        <v>High Risk</v>
      </c>
      <c r="R143" s="2">
        <f t="shared" si="8"/>
        <v>7886.2936330982011</v>
      </c>
    </row>
    <row r="144" spans="1:18" s="1" customFormat="1" ht="11.5" x14ac:dyDescent="0.25">
      <c r="A144" s="1" t="s">
        <v>175</v>
      </c>
      <c r="B144" s="1" t="s">
        <v>1238</v>
      </c>
      <c r="C144" s="1" t="s">
        <v>22</v>
      </c>
      <c r="D144" s="1">
        <v>1</v>
      </c>
      <c r="E144" s="1" t="s">
        <v>17</v>
      </c>
      <c r="F144" s="1" t="s">
        <v>29</v>
      </c>
      <c r="G144" s="1">
        <v>5434</v>
      </c>
      <c r="H144" s="1">
        <v>1965</v>
      </c>
      <c r="I144" s="1">
        <v>447</v>
      </c>
      <c r="J144" s="1">
        <v>180</v>
      </c>
      <c r="K144" s="1">
        <v>0</v>
      </c>
      <c r="L144" s="1" t="s">
        <v>30</v>
      </c>
      <c r="M144" s="1">
        <f>Table1[[#This Row],[ApplicantIncome]]+Table1[[#This Row],[CoapplicantIncome]]</f>
        <v>7399</v>
      </c>
      <c r="N144" s="1" t="s">
        <v>26</v>
      </c>
      <c r="O144" s="1" t="str">
        <f>IF(Table1[[#This Row],[Total_Income]]&lt;3000,"Low",IF(Table1[[#This Row],[Total_Income]]&lt;7000,"Medium","High"))</f>
        <v>High</v>
      </c>
      <c r="P144" s="1" t="str">
        <f t="shared" si="6"/>
        <v>Rejected</v>
      </c>
      <c r="Q144" s="1" t="str">
        <f t="shared" si="7"/>
        <v>High Risk</v>
      </c>
      <c r="R144" s="2">
        <f t="shared" si="8"/>
        <v>4271.764816956671</v>
      </c>
    </row>
    <row r="145" spans="1:18" s="1" customFormat="1" ht="11.5" x14ac:dyDescent="0.25">
      <c r="A145" s="1" t="s">
        <v>176</v>
      </c>
      <c r="B145" s="1" t="s">
        <v>1238</v>
      </c>
      <c r="C145" s="1" t="s">
        <v>22</v>
      </c>
      <c r="D145" s="1" t="s">
        <v>16</v>
      </c>
      <c r="E145" s="1" t="s">
        <v>25</v>
      </c>
      <c r="F145" s="1" t="s">
        <v>22</v>
      </c>
      <c r="G145" s="1">
        <v>19575</v>
      </c>
      <c r="H145" s="1">
        <v>9971</v>
      </c>
      <c r="I145" s="1">
        <v>380</v>
      </c>
      <c r="J145" s="1">
        <v>180</v>
      </c>
      <c r="K145" s="1">
        <v>0</v>
      </c>
      <c r="L145" s="1" t="s">
        <v>30</v>
      </c>
      <c r="M145" s="1">
        <f>Table1[[#This Row],[ApplicantIncome]]+Table1[[#This Row],[CoapplicantIncome]]</f>
        <v>29546</v>
      </c>
      <c r="N145" s="1" t="s">
        <v>20</v>
      </c>
      <c r="O145" s="1" t="str">
        <f>IF(Table1[[#This Row],[Total_Income]]&lt;3000,"Low",IF(Table1[[#This Row],[Total_Income]]&lt;7000,"Medium","High"))</f>
        <v>High</v>
      </c>
      <c r="P145" s="1" t="str">
        <f t="shared" si="6"/>
        <v>Approved</v>
      </c>
      <c r="Q145" s="1" t="str">
        <f t="shared" si="7"/>
        <v>High Risk</v>
      </c>
      <c r="R145" s="2">
        <f t="shared" si="8"/>
        <v>3631.4779204553352</v>
      </c>
    </row>
    <row r="146" spans="1:18" s="1" customFormat="1" ht="11.5" x14ac:dyDescent="0.25">
      <c r="A146" s="1" t="s">
        <v>177</v>
      </c>
      <c r="B146" s="1" t="s">
        <v>28</v>
      </c>
      <c r="C146" s="1" t="s">
        <v>29</v>
      </c>
      <c r="D146" s="1">
        <v>1</v>
      </c>
      <c r="E146" s="1" t="s">
        <v>25</v>
      </c>
      <c r="F146" s="1" t="s">
        <v>22</v>
      </c>
      <c r="G146" s="1">
        <v>5497</v>
      </c>
      <c r="H146" s="1">
        <v>7058</v>
      </c>
      <c r="I146" s="1">
        <v>444</v>
      </c>
      <c r="J146" s="1">
        <v>360</v>
      </c>
      <c r="K146" s="1">
        <v>0</v>
      </c>
      <c r="L146" s="1" t="s">
        <v>41</v>
      </c>
      <c r="M146" s="1">
        <f>Table1[[#This Row],[ApplicantIncome]]+Table1[[#This Row],[CoapplicantIncome]]</f>
        <v>12555</v>
      </c>
      <c r="N146" s="1" t="s">
        <v>20</v>
      </c>
      <c r="O146" s="1" t="str">
        <f>IF(Table1[[#This Row],[Total_Income]]&lt;3000,"Low",IF(Table1[[#This Row],[Total_Income]]&lt;7000,"Medium","High"))</f>
        <v>High</v>
      </c>
      <c r="P146" s="1" t="str">
        <f t="shared" si="6"/>
        <v>Approved</v>
      </c>
      <c r="Q146" s="1" t="str">
        <f t="shared" si="7"/>
        <v>High Risk</v>
      </c>
      <c r="R146" s="2">
        <f t="shared" si="8"/>
        <v>3257.9147080244306</v>
      </c>
    </row>
    <row r="147" spans="1:18" s="1" customFormat="1" ht="11.5" x14ac:dyDescent="0.25">
      <c r="A147" s="1" t="s">
        <v>178</v>
      </c>
      <c r="B147" s="1" t="s">
        <v>1238</v>
      </c>
      <c r="C147" s="1" t="s">
        <v>29</v>
      </c>
      <c r="D147" s="1">
        <v>0</v>
      </c>
      <c r="E147" s="1" t="s">
        <v>25</v>
      </c>
      <c r="F147" s="1" t="s">
        <v>22</v>
      </c>
      <c r="G147" s="1">
        <v>14559</v>
      </c>
      <c r="H147" s="1">
        <v>9946</v>
      </c>
      <c r="I147" s="1">
        <v>170</v>
      </c>
      <c r="J147" s="1">
        <v>120</v>
      </c>
      <c r="K147" s="1">
        <v>0</v>
      </c>
      <c r="L147" s="1" t="s">
        <v>41</v>
      </c>
      <c r="M147" s="1">
        <f>Table1[[#This Row],[ApplicantIncome]]+Table1[[#This Row],[CoapplicantIncome]]</f>
        <v>24505</v>
      </c>
      <c r="N147" s="1" t="s">
        <v>20</v>
      </c>
      <c r="O147" s="1" t="str">
        <f>IF(Table1[[#This Row],[Total_Income]]&lt;3000,"Low",IF(Table1[[#This Row],[Total_Income]]&lt;7000,"Medium","High"))</f>
        <v>High</v>
      </c>
      <c r="P147" s="1" t="str">
        <f t="shared" si="6"/>
        <v>Approved</v>
      </c>
      <c r="Q147" s="1" t="str">
        <f t="shared" si="7"/>
        <v>High Risk</v>
      </c>
      <c r="R147" s="2">
        <f t="shared" si="8"/>
        <v>2062.5691040410679</v>
      </c>
    </row>
    <row r="148" spans="1:18" s="1" customFormat="1" ht="11.5" x14ac:dyDescent="0.25">
      <c r="A148" s="1" t="s">
        <v>179</v>
      </c>
      <c r="B148" s="1" t="s">
        <v>1238</v>
      </c>
      <c r="C148" s="1" t="s">
        <v>22</v>
      </c>
      <c r="D148" s="1">
        <v>1</v>
      </c>
      <c r="E148" s="1" t="s">
        <v>25</v>
      </c>
      <c r="F148" s="1" t="s">
        <v>22</v>
      </c>
      <c r="G148" s="1">
        <v>11411</v>
      </c>
      <c r="H148" s="1">
        <v>3040</v>
      </c>
      <c r="I148" s="1">
        <v>441</v>
      </c>
      <c r="J148" s="1">
        <v>180</v>
      </c>
      <c r="K148" s="1">
        <v>0</v>
      </c>
      <c r="L148" s="1" t="s">
        <v>41</v>
      </c>
      <c r="M148" s="1">
        <f>Table1[[#This Row],[ApplicantIncome]]+Table1[[#This Row],[CoapplicantIncome]]</f>
        <v>14451</v>
      </c>
      <c r="N148" s="1" t="s">
        <v>20</v>
      </c>
      <c r="O148" s="1" t="str">
        <f>IF(Table1[[#This Row],[Total_Income]]&lt;3000,"Low",IF(Table1[[#This Row],[Total_Income]]&lt;7000,"Medium","High"))</f>
        <v>High</v>
      </c>
      <c r="P148" s="1" t="str">
        <f t="shared" si="6"/>
        <v>Approved</v>
      </c>
      <c r="Q148" s="1" t="str">
        <f t="shared" si="7"/>
        <v>High Risk</v>
      </c>
      <c r="R148" s="2">
        <f t="shared" si="8"/>
        <v>4214.4256918968495</v>
      </c>
    </row>
    <row r="149" spans="1:18" s="1" customFormat="1" ht="11.5" x14ac:dyDescent="0.25">
      <c r="A149" s="1" t="s">
        <v>180</v>
      </c>
      <c r="B149" s="1" t="s">
        <v>28</v>
      </c>
      <c r="C149" s="1" t="s">
        <v>29</v>
      </c>
      <c r="D149" s="1">
        <v>2</v>
      </c>
      <c r="E149" s="1" t="s">
        <v>17</v>
      </c>
      <c r="F149" s="1" t="s">
        <v>22</v>
      </c>
      <c r="G149" s="1">
        <v>13679</v>
      </c>
      <c r="H149" s="1">
        <v>1014</v>
      </c>
      <c r="I149" s="1">
        <v>674</v>
      </c>
      <c r="J149" s="1">
        <v>120</v>
      </c>
      <c r="K149" s="1">
        <v>0</v>
      </c>
      <c r="L149" s="1" t="s">
        <v>41</v>
      </c>
      <c r="M149" s="1">
        <f>Table1[[#This Row],[ApplicantIncome]]+Table1[[#This Row],[CoapplicantIncome]]</f>
        <v>14693</v>
      </c>
      <c r="N149" s="1" t="s">
        <v>20</v>
      </c>
      <c r="O149" s="1" t="str">
        <f>IF(Table1[[#This Row],[Total_Income]]&lt;3000,"Low",IF(Table1[[#This Row],[Total_Income]]&lt;7000,"Medium","High"))</f>
        <v>High</v>
      </c>
      <c r="P149" s="1" t="str">
        <f t="shared" si="6"/>
        <v>Approved</v>
      </c>
      <c r="Q149" s="1" t="str">
        <f t="shared" si="7"/>
        <v>High Risk</v>
      </c>
      <c r="R149" s="2">
        <f t="shared" si="8"/>
        <v>8177.4798595510565</v>
      </c>
    </row>
    <row r="150" spans="1:18" s="1" customFormat="1" ht="11.5" x14ac:dyDescent="0.25">
      <c r="A150" s="1" t="s">
        <v>181</v>
      </c>
      <c r="B150" s="1" t="s">
        <v>1238</v>
      </c>
      <c r="C150" s="1" t="s">
        <v>22</v>
      </c>
      <c r="D150" s="1">
        <v>2</v>
      </c>
      <c r="E150" s="1" t="s">
        <v>17</v>
      </c>
      <c r="F150" s="1" t="s">
        <v>29</v>
      </c>
      <c r="G150" s="1">
        <v>10912</v>
      </c>
      <c r="H150" s="1">
        <v>1100</v>
      </c>
      <c r="I150" s="1">
        <v>74</v>
      </c>
      <c r="J150" s="1">
        <v>120</v>
      </c>
      <c r="K150" s="1">
        <v>0</v>
      </c>
      <c r="L150" s="1" t="s">
        <v>19</v>
      </c>
      <c r="M150" s="1">
        <f>Table1[[#This Row],[ApplicantIncome]]+Table1[[#This Row],[CoapplicantIncome]]</f>
        <v>12012</v>
      </c>
      <c r="N150" s="1" t="s">
        <v>26</v>
      </c>
      <c r="O150" s="1" t="str">
        <f>IF(Table1[[#This Row],[Total_Income]]&lt;3000,"Low",IF(Table1[[#This Row],[Total_Income]]&lt;7000,"Medium","High"))</f>
        <v>High</v>
      </c>
      <c r="P150" s="1" t="str">
        <f t="shared" si="6"/>
        <v>Rejected</v>
      </c>
      <c r="Q150" s="1" t="str">
        <f t="shared" si="7"/>
        <v>High Risk</v>
      </c>
      <c r="R150" s="2">
        <f t="shared" si="8"/>
        <v>897.8241982296413</v>
      </c>
    </row>
    <row r="151" spans="1:18" s="1" customFormat="1" ht="11.5" x14ac:dyDescent="0.25">
      <c r="A151" s="1" t="s">
        <v>182</v>
      </c>
      <c r="B151" s="1" t="s">
        <v>1238</v>
      </c>
      <c r="C151" s="1" t="s">
        <v>29</v>
      </c>
      <c r="D151" s="1" t="s">
        <v>16</v>
      </c>
      <c r="E151" s="1" t="s">
        <v>25</v>
      </c>
      <c r="F151" s="1" t="s">
        <v>22</v>
      </c>
      <c r="G151" s="1">
        <v>18210</v>
      </c>
      <c r="H151" s="1">
        <v>7845</v>
      </c>
      <c r="I151" s="1">
        <v>170</v>
      </c>
      <c r="J151" s="1">
        <v>360</v>
      </c>
      <c r="K151" s="1">
        <v>0</v>
      </c>
      <c r="L151" s="1" t="s">
        <v>19</v>
      </c>
      <c r="M151" s="1">
        <f>Table1[[#This Row],[ApplicantIncome]]+Table1[[#This Row],[CoapplicantIncome]]</f>
        <v>26055</v>
      </c>
      <c r="N151" s="1" t="s">
        <v>20</v>
      </c>
      <c r="O151" s="1" t="str">
        <f>IF(Table1[[#This Row],[Total_Income]]&lt;3000,"Low",IF(Table1[[#This Row],[Total_Income]]&lt;7000,"Medium","High"))</f>
        <v>High</v>
      </c>
      <c r="P151" s="1" t="str">
        <f t="shared" si="6"/>
        <v>Approved</v>
      </c>
      <c r="Q151" s="1" t="str">
        <f t="shared" si="7"/>
        <v>High Risk</v>
      </c>
      <c r="R151" s="2">
        <f t="shared" si="8"/>
        <v>1247.3997755949397</v>
      </c>
    </row>
    <row r="152" spans="1:18" s="1" customFormat="1" ht="11.5" x14ac:dyDescent="0.25">
      <c r="A152" s="1" t="s">
        <v>183</v>
      </c>
      <c r="B152" s="1" t="s">
        <v>1238</v>
      </c>
      <c r="C152" s="1" t="s">
        <v>22</v>
      </c>
      <c r="D152" s="1">
        <v>0</v>
      </c>
      <c r="E152" s="1" t="s">
        <v>17</v>
      </c>
      <c r="F152" s="1" t="s">
        <v>29</v>
      </c>
      <c r="G152" s="1">
        <v>11621</v>
      </c>
      <c r="H152" s="1">
        <v>2729</v>
      </c>
      <c r="I152" s="1">
        <v>413</v>
      </c>
      <c r="J152" s="1">
        <v>360</v>
      </c>
      <c r="K152" s="1">
        <v>0</v>
      </c>
      <c r="L152" s="1" t="s">
        <v>19</v>
      </c>
      <c r="M152" s="1">
        <f>Table1[[#This Row],[ApplicantIncome]]+Table1[[#This Row],[CoapplicantIncome]]</f>
        <v>14350</v>
      </c>
      <c r="N152" s="1" t="s">
        <v>26</v>
      </c>
      <c r="O152" s="1" t="str">
        <f>IF(Table1[[#This Row],[Total_Income]]&lt;3000,"Low",IF(Table1[[#This Row],[Total_Income]]&lt;7000,"Medium","High"))</f>
        <v>High</v>
      </c>
      <c r="P152" s="1" t="str">
        <f t="shared" si="6"/>
        <v>Rejected</v>
      </c>
      <c r="Q152" s="1" t="str">
        <f t="shared" si="7"/>
        <v>High Risk</v>
      </c>
      <c r="R152" s="2">
        <f t="shared" si="8"/>
        <v>3030.4476901218241</v>
      </c>
    </row>
    <row r="153" spans="1:18" s="1" customFormat="1" ht="11.5" x14ac:dyDescent="0.25">
      <c r="A153" s="1" t="s">
        <v>184</v>
      </c>
      <c r="B153" s="1" t="s">
        <v>52</v>
      </c>
      <c r="C153" s="1" t="s">
        <v>29</v>
      </c>
      <c r="D153" s="1">
        <v>1</v>
      </c>
      <c r="E153" s="1" t="s">
        <v>25</v>
      </c>
      <c r="F153" s="1" t="s">
        <v>29</v>
      </c>
      <c r="G153" s="1">
        <v>19353</v>
      </c>
      <c r="H153" s="1">
        <v>6397</v>
      </c>
      <c r="I153" s="1">
        <v>546</v>
      </c>
      <c r="J153" s="1">
        <v>120</v>
      </c>
      <c r="K153" s="1">
        <v>1</v>
      </c>
      <c r="L153" s="1" t="s">
        <v>30</v>
      </c>
      <c r="M153" s="1">
        <f>Table1[[#This Row],[ApplicantIncome]]+Table1[[#This Row],[CoapplicantIncome]]</f>
        <v>25750</v>
      </c>
      <c r="N153" s="1" t="s">
        <v>26</v>
      </c>
      <c r="O153" s="1" t="str">
        <f>IF(Table1[[#This Row],[Total_Income]]&lt;3000,"Low",IF(Table1[[#This Row],[Total_Income]]&lt;7000,"Medium","High"))</f>
        <v>High</v>
      </c>
      <c r="P153" s="1" t="str">
        <f t="shared" si="6"/>
        <v>Rejected</v>
      </c>
      <c r="Q153" s="1" t="str">
        <f t="shared" si="7"/>
        <v>Low Risk</v>
      </c>
      <c r="R153" s="2">
        <f t="shared" si="8"/>
        <v>6624.4866518024883</v>
      </c>
    </row>
    <row r="154" spans="1:18" s="1" customFormat="1" ht="11.5" x14ac:dyDescent="0.25">
      <c r="A154" s="1" t="s">
        <v>185</v>
      </c>
      <c r="B154" s="1" t="s">
        <v>28</v>
      </c>
      <c r="C154" s="1" t="s">
        <v>22</v>
      </c>
      <c r="D154" s="1">
        <v>0</v>
      </c>
      <c r="E154" s="1" t="s">
        <v>17</v>
      </c>
      <c r="F154" s="1" t="s">
        <v>29</v>
      </c>
      <c r="G154" s="1">
        <v>12005</v>
      </c>
      <c r="H154" s="1">
        <v>8400</v>
      </c>
      <c r="I154" s="1">
        <v>75</v>
      </c>
      <c r="J154" s="1">
        <v>180</v>
      </c>
      <c r="K154" s="1">
        <v>0</v>
      </c>
      <c r="L154" s="1" t="s">
        <v>19</v>
      </c>
      <c r="M154" s="1">
        <f>Table1[[#This Row],[ApplicantIncome]]+Table1[[#This Row],[CoapplicantIncome]]</f>
        <v>20405</v>
      </c>
      <c r="N154" s="1" t="s">
        <v>20</v>
      </c>
      <c r="O154" s="1" t="str">
        <f>IF(Table1[[#This Row],[Total_Income]]&lt;3000,"Low",IF(Table1[[#This Row],[Total_Income]]&lt;7000,"Medium","High"))</f>
        <v>High</v>
      </c>
      <c r="P154" s="1" t="str">
        <f t="shared" si="6"/>
        <v>Approved</v>
      </c>
      <c r="Q154" s="1" t="str">
        <f t="shared" si="7"/>
        <v>High Risk</v>
      </c>
      <c r="R154" s="2">
        <f t="shared" si="8"/>
        <v>716.73906324776362</v>
      </c>
    </row>
    <row r="155" spans="1:18" s="1" customFormat="1" ht="11.5" x14ac:dyDescent="0.25">
      <c r="A155" s="1" t="s">
        <v>186</v>
      </c>
      <c r="B155" s="1" t="s">
        <v>1238</v>
      </c>
      <c r="C155" s="1" t="s">
        <v>29</v>
      </c>
      <c r="D155" s="1">
        <v>2</v>
      </c>
      <c r="E155" s="1" t="s">
        <v>17</v>
      </c>
      <c r="F155" s="1" t="s">
        <v>22</v>
      </c>
      <c r="G155" s="1">
        <v>12025</v>
      </c>
      <c r="H155" s="1">
        <v>5088</v>
      </c>
      <c r="I155" s="1">
        <v>565</v>
      </c>
      <c r="J155" s="1">
        <v>360</v>
      </c>
      <c r="K155" s="1">
        <v>0</v>
      </c>
      <c r="L155" s="1" t="s">
        <v>41</v>
      </c>
      <c r="M155" s="1">
        <f>Table1[[#This Row],[ApplicantIncome]]+Table1[[#This Row],[CoapplicantIncome]]</f>
        <v>17113</v>
      </c>
      <c r="N155" s="1" t="s">
        <v>26</v>
      </c>
      <c r="O155" s="1" t="str">
        <f>IF(Table1[[#This Row],[Total_Income]]&lt;3000,"Low",IF(Table1[[#This Row],[Total_Income]]&lt;7000,"Medium","High"))</f>
        <v>High</v>
      </c>
      <c r="P155" s="1" t="str">
        <f t="shared" si="6"/>
        <v>Rejected</v>
      </c>
      <c r="Q155" s="1" t="str">
        <f t="shared" si="7"/>
        <v>High Risk</v>
      </c>
      <c r="R155" s="2">
        <f t="shared" si="8"/>
        <v>4145.7698424184755</v>
      </c>
    </row>
    <row r="156" spans="1:18" s="1" customFormat="1" ht="11.5" x14ac:dyDescent="0.25">
      <c r="A156" s="1" t="s">
        <v>187</v>
      </c>
      <c r="B156" s="1" t="s">
        <v>28</v>
      </c>
      <c r="C156" s="1" t="s">
        <v>29</v>
      </c>
      <c r="D156" s="1" t="s">
        <v>16</v>
      </c>
      <c r="E156" s="1" t="s">
        <v>25</v>
      </c>
      <c r="F156" s="1" t="s">
        <v>29</v>
      </c>
      <c r="G156" s="1">
        <v>17091</v>
      </c>
      <c r="H156" s="1">
        <v>2224</v>
      </c>
      <c r="I156" s="1">
        <v>505</v>
      </c>
      <c r="J156" s="1">
        <v>180</v>
      </c>
      <c r="K156" s="1">
        <v>1</v>
      </c>
      <c r="L156" s="1" t="s">
        <v>30</v>
      </c>
      <c r="M156" s="1">
        <f>Table1[[#This Row],[ApplicantIncome]]+Table1[[#This Row],[CoapplicantIncome]]</f>
        <v>19315</v>
      </c>
      <c r="N156" s="1" t="s">
        <v>26</v>
      </c>
      <c r="O156" s="1" t="str">
        <f>IF(Table1[[#This Row],[Total_Income]]&lt;3000,"Low",IF(Table1[[#This Row],[Total_Income]]&lt;7000,"Medium","High"))</f>
        <v>High</v>
      </c>
      <c r="P156" s="1" t="str">
        <f t="shared" si="6"/>
        <v>Rejected</v>
      </c>
      <c r="Q156" s="1" t="str">
        <f t="shared" si="7"/>
        <v>Low Risk</v>
      </c>
      <c r="R156" s="2">
        <f t="shared" si="8"/>
        <v>4826.0430258682745</v>
      </c>
    </row>
    <row r="157" spans="1:18" s="1" customFormat="1" ht="11.5" x14ac:dyDescent="0.25">
      <c r="A157" s="1" t="s">
        <v>188</v>
      </c>
      <c r="B157" s="1" t="s">
        <v>52</v>
      </c>
      <c r="C157" s="1" t="s">
        <v>22</v>
      </c>
      <c r="D157" s="1" t="s">
        <v>16</v>
      </c>
      <c r="E157" s="1" t="s">
        <v>25</v>
      </c>
      <c r="F157" s="1" t="s">
        <v>22</v>
      </c>
      <c r="G157" s="1">
        <v>17132</v>
      </c>
      <c r="H157" s="1">
        <v>8205</v>
      </c>
      <c r="I157" s="1">
        <v>457</v>
      </c>
      <c r="J157" s="1">
        <v>120</v>
      </c>
      <c r="K157" s="1">
        <v>0</v>
      </c>
      <c r="L157" s="1" t="s">
        <v>19</v>
      </c>
      <c r="M157" s="1">
        <f>Table1[[#This Row],[ApplicantIncome]]+Table1[[#This Row],[CoapplicantIncome]]</f>
        <v>25337</v>
      </c>
      <c r="N157" s="1" t="s">
        <v>26</v>
      </c>
      <c r="O157" s="1" t="str">
        <f>IF(Table1[[#This Row],[Total_Income]]&lt;3000,"Low",IF(Table1[[#This Row],[Total_Income]]&lt;7000,"Medium","High"))</f>
        <v>High</v>
      </c>
      <c r="P157" s="1" t="str">
        <f t="shared" si="6"/>
        <v>Rejected</v>
      </c>
      <c r="Q157" s="1" t="str">
        <f t="shared" si="7"/>
        <v>High Risk</v>
      </c>
      <c r="R157" s="2">
        <f t="shared" si="8"/>
        <v>5544.6710620398117</v>
      </c>
    </row>
    <row r="158" spans="1:18" s="1" customFormat="1" ht="11.5" x14ac:dyDescent="0.25">
      <c r="A158" s="1" t="s">
        <v>189</v>
      </c>
      <c r="B158" s="1" t="s">
        <v>52</v>
      </c>
      <c r="C158" s="1" t="s">
        <v>22</v>
      </c>
      <c r="D158" s="1">
        <v>0</v>
      </c>
      <c r="E158" s="1" t="s">
        <v>17</v>
      </c>
      <c r="F158" s="1" t="s">
        <v>22</v>
      </c>
      <c r="G158" s="1">
        <v>7413</v>
      </c>
      <c r="H158" s="1">
        <v>4051</v>
      </c>
      <c r="I158" s="1">
        <v>647</v>
      </c>
      <c r="J158" s="1">
        <v>180</v>
      </c>
      <c r="K158" s="1">
        <v>0</v>
      </c>
      <c r="L158" s="1" t="s">
        <v>30</v>
      </c>
      <c r="M158" s="1">
        <f>Table1[[#This Row],[ApplicantIncome]]+Table1[[#This Row],[CoapplicantIncome]]</f>
        <v>11464</v>
      </c>
      <c r="N158" s="1" t="s">
        <v>26</v>
      </c>
      <c r="O158" s="1" t="str">
        <f>IF(Table1[[#This Row],[Total_Income]]&lt;3000,"Low",IF(Table1[[#This Row],[Total_Income]]&lt;7000,"Medium","High"))</f>
        <v>High</v>
      </c>
      <c r="P158" s="1" t="str">
        <f t="shared" si="6"/>
        <v>Rejected</v>
      </c>
      <c r="Q158" s="1" t="str">
        <f t="shared" si="7"/>
        <v>High Risk</v>
      </c>
      <c r="R158" s="2">
        <f t="shared" si="8"/>
        <v>6183.068985617374</v>
      </c>
    </row>
    <row r="159" spans="1:18" s="1" customFormat="1" ht="11.5" x14ac:dyDescent="0.25">
      <c r="A159" s="1" t="s">
        <v>190</v>
      </c>
      <c r="B159" s="1" t="s">
        <v>28</v>
      </c>
      <c r="C159" s="1" t="s">
        <v>22</v>
      </c>
      <c r="D159" s="1">
        <v>0</v>
      </c>
      <c r="E159" s="1" t="s">
        <v>25</v>
      </c>
      <c r="F159" s="1" t="s">
        <v>22</v>
      </c>
      <c r="G159" s="1">
        <v>7374</v>
      </c>
      <c r="H159" s="1">
        <v>8102</v>
      </c>
      <c r="I159" s="1">
        <v>599</v>
      </c>
      <c r="J159" s="1">
        <v>360</v>
      </c>
      <c r="K159" s="1">
        <v>0</v>
      </c>
      <c r="L159" s="1" t="s">
        <v>19</v>
      </c>
      <c r="M159" s="1">
        <f>Table1[[#This Row],[ApplicantIncome]]+Table1[[#This Row],[CoapplicantIncome]]</f>
        <v>15476</v>
      </c>
      <c r="N159" s="1" t="s">
        <v>26</v>
      </c>
      <c r="O159" s="1" t="str">
        <f>IF(Table1[[#This Row],[Total_Income]]&lt;3000,"Low",IF(Table1[[#This Row],[Total_Income]]&lt;7000,"Medium","High"))</f>
        <v>High</v>
      </c>
      <c r="P159" s="1" t="str">
        <f t="shared" si="6"/>
        <v>Rejected</v>
      </c>
      <c r="Q159" s="1" t="str">
        <f t="shared" si="7"/>
        <v>High Risk</v>
      </c>
      <c r="R159" s="2">
        <f t="shared" si="8"/>
        <v>4395.2497975374636</v>
      </c>
    </row>
    <row r="160" spans="1:18" s="1" customFormat="1" ht="11.5" x14ac:dyDescent="0.25">
      <c r="A160" s="1" t="s">
        <v>191</v>
      </c>
      <c r="B160" s="1" t="s">
        <v>1238</v>
      </c>
      <c r="C160" s="1" t="s">
        <v>22</v>
      </c>
      <c r="D160" s="1">
        <v>2</v>
      </c>
      <c r="E160" s="1" t="s">
        <v>17</v>
      </c>
      <c r="F160" s="1" t="s">
        <v>22</v>
      </c>
      <c r="G160" s="1">
        <v>15757</v>
      </c>
      <c r="H160" s="1">
        <v>2872</v>
      </c>
      <c r="I160" s="1">
        <v>633</v>
      </c>
      <c r="J160" s="1">
        <v>360</v>
      </c>
      <c r="K160" s="1">
        <v>1</v>
      </c>
      <c r="L160" s="1" t="s">
        <v>19</v>
      </c>
      <c r="M160" s="1">
        <f>Table1[[#This Row],[ApplicantIncome]]+Table1[[#This Row],[CoapplicantIncome]]</f>
        <v>18629</v>
      </c>
      <c r="N160" s="1" t="s">
        <v>26</v>
      </c>
      <c r="O160" s="1" t="str">
        <f>IF(Table1[[#This Row],[Total_Income]]&lt;3000,"Low",IF(Table1[[#This Row],[Total_Income]]&lt;7000,"Medium","High"))</f>
        <v>High</v>
      </c>
      <c r="P160" s="1" t="str">
        <f t="shared" si="6"/>
        <v>Rejected</v>
      </c>
      <c r="Q160" s="1" t="str">
        <f t="shared" si="7"/>
        <v>Low Risk</v>
      </c>
      <c r="R160" s="2">
        <f t="shared" si="8"/>
        <v>4644.7297526564516</v>
      </c>
    </row>
    <row r="161" spans="1:18" s="1" customFormat="1" ht="11.5" x14ac:dyDescent="0.25">
      <c r="A161" s="1" t="s">
        <v>192</v>
      </c>
      <c r="B161" s="1" t="s">
        <v>28</v>
      </c>
      <c r="C161" s="1" t="s">
        <v>22</v>
      </c>
      <c r="D161" s="1">
        <v>0</v>
      </c>
      <c r="E161" s="1" t="s">
        <v>25</v>
      </c>
      <c r="F161" s="1" t="s">
        <v>29</v>
      </c>
      <c r="G161" s="1">
        <v>19300</v>
      </c>
      <c r="H161" s="1">
        <v>5949</v>
      </c>
      <c r="I161" s="1">
        <v>695</v>
      </c>
      <c r="J161" s="1">
        <v>120</v>
      </c>
      <c r="K161" s="1">
        <v>0</v>
      </c>
      <c r="L161" s="1" t="s">
        <v>19</v>
      </c>
      <c r="M161" s="1">
        <f>Table1[[#This Row],[ApplicantIncome]]+Table1[[#This Row],[CoapplicantIncome]]</f>
        <v>25249</v>
      </c>
      <c r="N161" s="1" t="s">
        <v>20</v>
      </c>
      <c r="O161" s="1" t="str">
        <f>IF(Table1[[#This Row],[Total_Income]]&lt;3000,"Low",IF(Table1[[#This Row],[Total_Income]]&lt;7000,"Medium","High"))</f>
        <v>High</v>
      </c>
      <c r="P161" s="1" t="str">
        <f t="shared" si="6"/>
        <v>Approved</v>
      </c>
      <c r="Q161" s="1" t="str">
        <f t="shared" si="7"/>
        <v>High Risk</v>
      </c>
      <c r="R161" s="2">
        <f t="shared" si="8"/>
        <v>8432.2678076973061</v>
      </c>
    </row>
    <row r="162" spans="1:18" s="1" customFormat="1" ht="11.5" x14ac:dyDescent="0.25">
      <c r="A162" s="1" t="s">
        <v>193</v>
      </c>
      <c r="B162" s="1" t="s">
        <v>1238</v>
      </c>
      <c r="C162" s="1" t="s">
        <v>29</v>
      </c>
      <c r="D162" s="1">
        <v>2</v>
      </c>
      <c r="E162" s="1" t="s">
        <v>25</v>
      </c>
      <c r="F162" s="1" t="s">
        <v>29</v>
      </c>
      <c r="G162" s="1">
        <v>17334</v>
      </c>
      <c r="H162" s="1">
        <v>7531</v>
      </c>
      <c r="I162" s="1">
        <v>149</v>
      </c>
      <c r="J162" s="1">
        <v>360</v>
      </c>
      <c r="K162" s="1">
        <v>0</v>
      </c>
      <c r="L162" s="1" t="s">
        <v>41</v>
      </c>
      <c r="M162" s="1">
        <f>Table1[[#This Row],[ApplicantIncome]]+Table1[[#This Row],[CoapplicantIncome]]</f>
        <v>24865</v>
      </c>
      <c r="N162" s="1" t="s">
        <v>20</v>
      </c>
      <c r="O162" s="1" t="str">
        <f>IF(Table1[[#This Row],[Total_Income]]&lt;3000,"Low",IF(Table1[[#This Row],[Total_Income]]&lt;7000,"Medium","High"))</f>
        <v>High</v>
      </c>
      <c r="P162" s="1" t="str">
        <f t="shared" si="6"/>
        <v>Approved</v>
      </c>
      <c r="Q162" s="1" t="str">
        <f t="shared" si="7"/>
        <v>High Risk</v>
      </c>
      <c r="R162" s="2">
        <f t="shared" si="8"/>
        <v>1093.3092150802706</v>
      </c>
    </row>
    <row r="163" spans="1:18" s="1" customFormat="1" ht="11.5" x14ac:dyDescent="0.25">
      <c r="A163" s="1" t="s">
        <v>194</v>
      </c>
      <c r="B163" s="1" t="s">
        <v>28</v>
      </c>
      <c r="C163" s="1" t="s">
        <v>22</v>
      </c>
      <c r="D163" s="1">
        <v>0</v>
      </c>
      <c r="E163" s="1" t="s">
        <v>25</v>
      </c>
      <c r="F163" s="1" t="s">
        <v>22</v>
      </c>
      <c r="G163" s="1">
        <v>16230</v>
      </c>
      <c r="H163" s="1">
        <v>3007</v>
      </c>
      <c r="I163" s="1">
        <v>598</v>
      </c>
      <c r="J163" s="1">
        <v>120</v>
      </c>
      <c r="K163" s="1">
        <v>0</v>
      </c>
      <c r="L163" s="1" t="s">
        <v>30</v>
      </c>
      <c r="M163" s="1">
        <f>Table1[[#This Row],[ApplicantIncome]]+Table1[[#This Row],[CoapplicantIncome]]</f>
        <v>19237</v>
      </c>
      <c r="N163" s="1" t="s">
        <v>26</v>
      </c>
      <c r="O163" s="1" t="str">
        <f>IF(Table1[[#This Row],[Total_Income]]&lt;3000,"Low",IF(Table1[[#This Row],[Total_Income]]&lt;7000,"Medium","High"))</f>
        <v>High</v>
      </c>
      <c r="P163" s="1" t="str">
        <f t="shared" si="6"/>
        <v>Rejected</v>
      </c>
      <c r="Q163" s="1" t="str">
        <f t="shared" si="7"/>
        <v>High Risk</v>
      </c>
      <c r="R163" s="2">
        <f t="shared" si="8"/>
        <v>7255.3901424503438</v>
      </c>
    </row>
    <row r="164" spans="1:18" s="1" customFormat="1" ht="11.5" x14ac:dyDescent="0.25">
      <c r="A164" s="1" t="s">
        <v>195</v>
      </c>
      <c r="B164" s="1" t="s">
        <v>52</v>
      </c>
      <c r="C164" s="1" t="s">
        <v>29</v>
      </c>
      <c r="D164" s="1" t="s">
        <v>16</v>
      </c>
      <c r="E164" s="1" t="s">
        <v>17</v>
      </c>
      <c r="F164" s="1" t="s">
        <v>22</v>
      </c>
      <c r="G164" s="1">
        <v>1714</v>
      </c>
      <c r="H164" s="1">
        <v>2872</v>
      </c>
      <c r="I164" s="1">
        <v>167</v>
      </c>
      <c r="J164" s="1">
        <v>180</v>
      </c>
      <c r="K164" s="1">
        <v>0</v>
      </c>
      <c r="L164" s="1" t="s">
        <v>30</v>
      </c>
      <c r="M164" s="1">
        <f>Table1[[#This Row],[ApplicantIncome]]+Table1[[#This Row],[CoapplicantIncome]]</f>
        <v>4586</v>
      </c>
      <c r="N164" s="1" t="s">
        <v>20</v>
      </c>
      <c r="O164" s="1" t="str">
        <f>IF(Table1[[#This Row],[Total_Income]]&lt;3000,"Low",IF(Table1[[#This Row],[Total_Income]]&lt;7000,"Medium","High"))</f>
        <v>Medium</v>
      </c>
      <c r="P164" s="1" t="str">
        <f t="shared" si="6"/>
        <v>Approved</v>
      </c>
      <c r="Q164" s="1" t="str">
        <f t="shared" si="7"/>
        <v>High Risk</v>
      </c>
      <c r="R164" s="2">
        <f t="shared" si="8"/>
        <v>1595.9389808316869</v>
      </c>
    </row>
    <row r="165" spans="1:18" s="1" customFormat="1" ht="11.5" x14ac:dyDescent="0.25">
      <c r="A165" s="1" t="s">
        <v>196</v>
      </c>
      <c r="B165" s="1" t="s">
        <v>1238</v>
      </c>
      <c r="C165" s="1" t="s">
        <v>22</v>
      </c>
      <c r="D165" s="1">
        <v>1</v>
      </c>
      <c r="E165" s="1" t="s">
        <v>25</v>
      </c>
      <c r="F165" s="1" t="s">
        <v>22</v>
      </c>
      <c r="G165" s="1">
        <v>15639</v>
      </c>
      <c r="H165" s="1">
        <v>7808</v>
      </c>
      <c r="I165" s="1">
        <v>605</v>
      </c>
      <c r="J165" s="1">
        <v>180</v>
      </c>
      <c r="K165" s="1">
        <v>0</v>
      </c>
      <c r="L165" s="1" t="s">
        <v>30</v>
      </c>
      <c r="M165" s="1">
        <f>Table1[[#This Row],[ApplicantIncome]]+Table1[[#This Row],[CoapplicantIncome]]</f>
        <v>23447</v>
      </c>
      <c r="N165" s="1" t="s">
        <v>26</v>
      </c>
      <c r="O165" s="1" t="str">
        <f>IF(Table1[[#This Row],[Total_Income]]&lt;3000,"Low",IF(Table1[[#This Row],[Total_Income]]&lt;7000,"Medium","High"))</f>
        <v>High</v>
      </c>
      <c r="P165" s="1" t="str">
        <f t="shared" si="6"/>
        <v>Rejected</v>
      </c>
      <c r="Q165" s="1" t="str">
        <f t="shared" si="7"/>
        <v>High Risk</v>
      </c>
      <c r="R165" s="2">
        <f t="shared" si="8"/>
        <v>5781.695110198626</v>
      </c>
    </row>
    <row r="166" spans="1:18" s="1" customFormat="1" ht="11.5" x14ac:dyDescent="0.25">
      <c r="A166" s="1" t="s">
        <v>197</v>
      </c>
      <c r="B166" s="1" t="s">
        <v>52</v>
      </c>
      <c r="C166" s="1" t="s">
        <v>22</v>
      </c>
      <c r="D166" s="1" t="s">
        <v>16</v>
      </c>
      <c r="E166" s="1" t="s">
        <v>17</v>
      </c>
      <c r="F166" s="1" t="s">
        <v>29</v>
      </c>
      <c r="G166" s="1">
        <v>4167</v>
      </c>
      <c r="H166" s="1">
        <v>984</v>
      </c>
      <c r="I166" s="1">
        <v>259</v>
      </c>
      <c r="J166" s="1">
        <v>180</v>
      </c>
      <c r="K166" s="1">
        <v>0</v>
      </c>
      <c r="L166" s="1" t="s">
        <v>30</v>
      </c>
      <c r="M166" s="1">
        <f>Table1[[#This Row],[ApplicantIncome]]+Table1[[#This Row],[CoapplicantIncome]]</f>
        <v>5151</v>
      </c>
      <c r="N166" s="1" t="s">
        <v>20</v>
      </c>
      <c r="O166" s="1" t="str">
        <f>IF(Table1[[#This Row],[Total_Income]]&lt;3000,"Low",IF(Table1[[#This Row],[Total_Income]]&lt;7000,"Medium","High"))</f>
        <v>Medium</v>
      </c>
      <c r="P166" s="1" t="str">
        <f t="shared" si="6"/>
        <v>Approved</v>
      </c>
      <c r="Q166" s="1" t="str">
        <f t="shared" si="7"/>
        <v>High Risk</v>
      </c>
      <c r="R166" s="2">
        <f t="shared" si="8"/>
        <v>2475.1388984156101</v>
      </c>
    </row>
    <row r="167" spans="1:18" s="1" customFormat="1" ht="11.5" x14ac:dyDescent="0.25">
      <c r="A167" s="1" t="s">
        <v>198</v>
      </c>
      <c r="B167" s="1" t="s">
        <v>52</v>
      </c>
      <c r="C167" s="1" t="s">
        <v>22</v>
      </c>
      <c r="D167" s="1">
        <v>1</v>
      </c>
      <c r="E167" s="1" t="s">
        <v>17</v>
      </c>
      <c r="F167" s="1" t="s">
        <v>29</v>
      </c>
      <c r="G167" s="1">
        <v>19676</v>
      </c>
      <c r="H167" s="1">
        <v>8759</v>
      </c>
      <c r="I167" s="1">
        <v>675</v>
      </c>
      <c r="J167" s="1">
        <v>360</v>
      </c>
      <c r="K167" s="1">
        <v>0</v>
      </c>
      <c r="L167" s="1" t="s">
        <v>19</v>
      </c>
      <c r="M167" s="1">
        <f>Table1[[#This Row],[ApplicantIncome]]+Table1[[#This Row],[CoapplicantIncome]]</f>
        <v>28435</v>
      </c>
      <c r="N167" s="1" t="s">
        <v>20</v>
      </c>
      <c r="O167" s="1" t="str">
        <f>IF(Table1[[#This Row],[Total_Income]]&lt;3000,"Low",IF(Table1[[#This Row],[Total_Income]]&lt;7000,"Medium","High"))</f>
        <v>High</v>
      </c>
      <c r="P167" s="1" t="str">
        <f t="shared" si="6"/>
        <v>Approved</v>
      </c>
      <c r="Q167" s="1" t="str">
        <f t="shared" si="7"/>
        <v>High Risk</v>
      </c>
      <c r="R167" s="2">
        <f t="shared" si="8"/>
        <v>4952.9108736857888</v>
      </c>
    </row>
    <row r="168" spans="1:18" s="1" customFormat="1" ht="11.5" x14ac:dyDescent="0.25">
      <c r="A168" s="1" t="s">
        <v>199</v>
      </c>
      <c r="B168" s="1" t="s">
        <v>52</v>
      </c>
      <c r="C168" s="1" t="s">
        <v>29</v>
      </c>
      <c r="D168" s="1">
        <v>2</v>
      </c>
      <c r="E168" s="1" t="s">
        <v>25</v>
      </c>
      <c r="F168" s="1" t="s">
        <v>22</v>
      </c>
      <c r="G168" s="1">
        <v>2781</v>
      </c>
      <c r="H168" s="1">
        <v>6624</v>
      </c>
      <c r="I168" s="1">
        <v>651</v>
      </c>
      <c r="J168" s="1">
        <v>180</v>
      </c>
      <c r="K168" s="1">
        <v>0</v>
      </c>
      <c r="L168" s="1" t="s">
        <v>41</v>
      </c>
      <c r="M168" s="1">
        <f>Table1[[#This Row],[ApplicantIncome]]+Table1[[#This Row],[CoapplicantIncome]]</f>
        <v>9405</v>
      </c>
      <c r="N168" s="1" t="s">
        <v>26</v>
      </c>
      <c r="O168" s="1" t="str">
        <f>IF(Table1[[#This Row],[Total_Income]]&lt;3000,"Low",IF(Table1[[#This Row],[Total_Income]]&lt;7000,"Medium","High"))</f>
        <v>High</v>
      </c>
      <c r="P168" s="1" t="str">
        <f t="shared" si="6"/>
        <v>Rejected</v>
      </c>
      <c r="Q168" s="1" t="str">
        <f t="shared" si="7"/>
        <v>High Risk</v>
      </c>
      <c r="R168" s="2">
        <f t="shared" si="8"/>
        <v>6221.2950689905874</v>
      </c>
    </row>
    <row r="169" spans="1:18" s="1" customFormat="1" ht="11.5" x14ac:dyDescent="0.25">
      <c r="A169" s="1" t="s">
        <v>200</v>
      </c>
      <c r="B169" s="1" t="s">
        <v>1238</v>
      </c>
      <c r="C169" s="1" t="s">
        <v>22</v>
      </c>
      <c r="D169" s="1" t="s">
        <v>16</v>
      </c>
      <c r="E169" s="1" t="s">
        <v>25</v>
      </c>
      <c r="F169" s="1" t="s">
        <v>22</v>
      </c>
      <c r="G169" s="1">
        <v>12421</v>
      </c>
      <c r="H169" s="1">
        <v>7868</v>
      </c>
      <c r="I169" s="1">
        <v>142</v>
      </c>
      <c r="J169" s="1">
        <v>120</v>
      </c>
      <c r="K169" s="1">
        <v>1</v>
      </c>
      <c r="L169" s="1" t="s">
        <v>41</v>
      </c>
      <c r="M169" s="1">
        <f>Table1[[#This Row],[ApplicantIncome]]+Table1[[#This Row],[CoapplicantIncome]]</f>
        <v>20289</v>
      </c>
      <c r="N169" s="1" t="s">
        <v>26</v>
      </c>
      <c r="O169" s="1" t="str">
        <f>IF(Table1[[#This Row],[Total_Income]]&lt;3000,"Low",IF(Table1[[#This Row],[Total_Income]]&lt;7000,"Medium","High"))</f>
        <v>High</v>
      </c>
      <c r="P169" s="1" t="str">
        <f t="shared" si="6"/>
        <v>Rejected</v>
      </c>
      <c r="Q169" s="1" t="str">
        <f t="shared" si="7"/>
        <v>Low Risk</v>
      </c>
      <c r="R169" s="2">
        <f t="shared" si="8"/>
        <v>1722.8518398460683</v>
      </c>
    </row>
    <row r="170" spans="1:18" s="1" customFormat="1" ht="11.5" x14ac:dyDescent="0.25">
      <c r="A170" s="1" t="s">
        <v>201</v>
      </c>
      <c r="B170" s="1" t="s">
        <v>1238</v>
      </c>
      <c r="C170" s="1" t="s">
        <v>22</v>
      </c>
      <c r="D170" s="1" t="s">
        <v>16</v>
      </c>
      <c r="E170" s="1" t="s">
        <v>17</v>
      </c>
      <c r="F170" s="1" t="s">
        <v>22</v>
      </c>
      <c r="G170" s="1">
        <v>11625</v>
      </c>
      <c r="H170" s="1">
        <v>7572</v>
      </c>
      <c r="I170" s="1">
        <v>254</v>
      </c>
      <c r="J170" s="1">
        <v>360</v>
      </c>
      <c r="K170" s="1">
        <v>0</v>
      </c>
      <c r="L170" s="1" t="s">
        <v>19</v>
      </c>
      <c r="M170" s="1">
        <f>Table1[[#This Row],[ApplicantIncome]]+Table1[[#This Row],[CoapplicantIncome]]</f>
        <v>19197</v>
      </c>
      <c r="N170" s="1" t="s">
        <v>20</v>
      </c>
      <c r="O170" s="1" t="str">
        <f>IF(Table1[[#This Row],[Total_Income]]&lt;3000,"Low",IF(Table1[[#This Row],[Total_Income]]&lt;7000,"Medium","High"))</f>
        <v>High</v>
      </c>
      <c r="P170" s="1" t="str">
        <f t="shared" si="6"/>
        <v>Approved</v>
      </c>
      <c r="Q170" s="1" t="str">
        <f t="shared" si="7"/>
        <v>High Risk</v>
      </c>
      <c r="R170" s="2">
        <f t="shared" si="8"/>
        <v>1863.7620176536157</v>
      </c>
    </row>
    <row r="171" spans="1:18" s="1" customFormat="1" ht="11.5" x14ac:dyDescent="0.25">
      <c r="A171" s="1" t="s">
        <v>202</v>
      </c>
      <c r="B171" s="1" t="s">
        <v>52</v>
      </c>
      <c r="C171" s="1" t="s">
        <v>22</v>
      </c>
      <c r="D171" s="1">
        <v>2</v>
      </c>
      <c r="E171" s="1" t="s">
        <v>17</v>
      </c>
      <c r="F171" s="1" t="s">
        <v>22</v>
      </c>
      <c r="G171" s="1">
        <v>12520</v>
      </c>
      <c r="H171" s="1">
        <v>23</v>
      </c>
      <c r="I171" s="1">
        <v>454</v>
      </c>
      <c r="J171" s="1">
        <v>360</v>
      </c>
      <c r="K171" s="1">
        <v>0</v>
      </c>
      <c r="L171" s="1" t="s">
        <v>30</v>
      </c>
      <c r="M171" s="1">
        <f>Table1[[#This Row],[ApplicantIncome]]+Table1[[#This Row],[CoapplicantIncome]]</f>
        <v>12543</v>
      </c>
      <c r="N171" s="1" t="s">
        <v>20</v>
      </c>
      <c r="O171" s="1" t="str">
        <f>IF(Table1[[#This Row],[Total_Income]]&lt;3000,"Low",IF(Table1[[#This Row],[Total_Income]]&lt;7000,"Medium","High"))</f>
        <v>High</v>
      </c>
      <c r="P171" s="1" t="str">
        <f t="shared" si="6"/>
        <v>Approved</v>
      </c>
      <c r="Q171" s="1" t="str">
        <f t="shared" si="7"/>
        <v>High Risk</v>
      </c>
      <c r="R171" s="2">
        <f t="shared" si="8"/>
        <v>3331.2911654123677</v>
      </c>
    </row>
    <row r="172" spans="1:18" s="1" customFormat="1" ht="11.5" x14ac:dyDescent="0.25">
      <c r="A172" s="1" t="s">
        <v>203</v>
      </c>
      <c r="B172" s="1" t="s">
        <v>28</v>
      </c>
      <c r="C172" s="1" t="s">
        <v>22</v>
      </c>
      <c r="D172" s="1" t="s">
        <v>16</v>
      </c>
      <c r="E172" s="1" t="s">
        <v>25</v>
      </c>
      <c r="F172" s="1" t="s">
        <v>22</v>
      </c>
      <c r="G172" s="1">
        <v>7712</v>
      </c>
      <c r="H172" s="1">
        <v>8780</v>
      </c>
      <c r="I172" s="1">
        <v>153</v>
      </c>
      <c r="J172" s="1">
        <v>120</v>
      </c>
      <c r="K172" s="1">
        <v>0</v>
      </c>
      <c r="L172" s="1" t="s">
        <v>41</v>
      </c>
      <c r="M172" s="1">
        <f>Table1[[#This Row],[ApplicantIncome]]+Table1[[#This Row],[CoapplicantIncome]]</f>
        <v>16492</v>
      </c>
      <c r="N172" s="1" t="s">
        <v>20</v>
      </c>
      <c r="O172" s="1" t="str">
        <f>IF(Table1[[#This Row],[Total_Income]]&lt;3000,"Low",IF(Table1[[#This Row],[Total_Income]]&lt;7000,"Medium","High"))</f>
        <v>High</v>
      </c>
      <c r="P172" s="1" t="str">
        <f t="shared" si="6"/>
        <v>Approved</v>
      </c>
      <c r="Q172" s="1" t="str">
        <f t="shared" si="7"/>
        <v>High Risk</v>
      </c>
      <c r="R172" s="2">
        <f t="shared" si="8"/>
        <v>1856.3121936369612</v>
      </c>
    </row>
    <row r="173" spans="1:18" s="1" customFormat="1" ht="11.5" x14ac:dyDescent="0.25">
      <c r="A173" s="1" t="s">
        <v>204</v>
      </c>
      <c r="B173" s="1" t="s">
        <v>28</v>
      </c>
      <c r="C173" s="1" t="s">
        <v>22</v>
      </c>
      <c r="D173" s="1">
        <v>1</v>
      </c>
      <c r="E173" s="1" t="s">
        <v>25</v>
      </c>
      <c r="F173" s="1" t="s">
        <v>22</v>
      </c>
      <c r="G173" s="1">
        <v>12084</v>
      </c>
      <c r="H173" s="1">
        <v>3045</v>
      </c>
      <c r="I173" s="1">
        <v>408</v>
      </c>
      <c r="J173" s="1">
        <v>180</v>
      </c>
      <c r="K173" s="1">
        <v>1</v>
      </c>
      <c r="L173" s="1" t="s">
        <v>41</v>
      </c>
      <c r="M173" s="1">
        <f>Table1[[#This Row],[ApplicantIncome]]+Table1[[#This Row],[CoapplicantIncome]]</f>
        <v>15129</v>
      </c>
      <c r="N173" s="1" t="s">
        <v>26</v>
      </c>
      <c r="O173" s="1" t="str">
        <f>IF(Table1[[#This Row],[Total_Income]]&lt;3000,"Low",IF(Table1[[#This Row],[Total_Income]]&lt;7000,"Medium","High"))</f>
        <v>High</v>
      </c>
      <c r="P173" s="1" t="str">
        <f t="shared" si="6"/>
        <v>Rejected</v>
      </c>
      <c r="Q173" s="1" t="str">
        <f t="shared" si="7"/>
        <v>Low Risk</v>
      </c>
      <c r="R173" s="2">
        <f t="shared" si="8"/>
        <v>3899.0605040678338</v>
      </c>
    </row>
    <row r="174" spans="1:18" s="1" customFormat="1" ht="11.5" x14ac:dyDescent="0.25">
      <c r="A174" s="1" t="s">
        <v>205</v>
      </c>
      <c r="B174" s="1" t="s">
        <v>52</v>
      </c>
      <c r="C174" s="1" t="s">
        <v>22</v>
      </c>
      <c r="D174" s="1">
        <v>0</v>
      </c>
      <c r="E174" s="1" t="s">
        <v>17</v>
      </c>
      <c r="F174" s="1" t="s">
        <v>22</v>
      </c>
      <c r="G174" s="1">
        <v>16589</v>
      </c>
      <c r="H174" s="1">
        <v>906</v>
      </c>
      <c r="I174" s="1">
        <v>118</v>
      </c>
      <c r="J174" s="1">
        <v>120</v>
      </c>
      <c r="K174" s="1">
        <v>0</v>
      </c>
      <c r="L174" s="1" t="s">
        <v>30</v>
      </c>
      <c r="M174" s="1">
        <f>Table1[[#This Row],[ApplicantIncome]]+Table1[[#This Row],[CoapplicantIncome]]</f>
        <v>17495</v>
      </c>
      <c r="N174" s="1" t="s">
        <v>26</v>
      </c>
      <c r="O174" s="1" t="str">
        <f>IF(Table1[[#This Row],[Total_Income]]&lt;3000,"Low",IF(Table1[[#This Row],[Total_Income]]&lt;7000,"Medium","High"))</f>
        <v>High</v>
      </c>
      <c r="P174" s="1" t="str">
        <f t="shared" si="6"/>
        <v>Rejected</v>
      </c>
      <c r="Q174" s="1" t="str">
        <f t="shared" si="7"/>
        <v>High Risk</v>
      </c>
      <c r="R174" s="2">
        <f t="shared" si="8"/>
        <v>1431.6656133932117</v>
      </c>
    </row>
    <row r="175" spans="1:18" s="1" customFormat="1" ht="11.5" x14ac:dyDescent="0.25">
      <c r="A175" s="1" t="s">
        <v>206</v>
      </c>
      <c r="B175" s="1" t="s">
        <v>52</v>
      </c>
      <c r="C175" s="1" t="s">
        <v>22</v>
      </c>
      <c r="D175" s="1">
        <v>1</v>
      </c>
      <c r="E175" s="1" t="s">
        <v>17</v>
      </c>
      <c r="F175" s="1" t="s">
        <v>22</v>
      </c>
      <c r="G175" s="1">
        <v>15405</v>
      </c>
      <c r="H175" s="1">
        <v>7736</v>
      </c>
      <c r="I175" s="1">
        <v>567</v>
      </c>
      <c r="J175" s="1">
        <v>120</v>
      </c>
      <c r="K175" s="1">
        <v>0</v>
      </c>
      <c r="L175" s="1" t="s">
        <v>30</v>
      </c>
      <c r="M175" s="1">
        <f>Table1[[#This Row],[ApplicantIncome]]+Table1[[#This Row],[CoapplicantIncome]]</f>
        <v>23141</v>
      </c>
      <c r="N175" s="1" t="s">
        <v>20</v>
      </c>
      <c r="O175" s="1" t="str">
        <f>IF(Table1[[#This Row],[Total_Income]]&lt;3000,"Low",IF(Table1[[#This Row],[Total_Income]]&lt;7000,"Medium","High"))</f>
        <v>High</v>
      </c>
      <c r="P175" s="1" t="str">
        <f t="shared" si="6"/>
        <v>Approved</v>
      </c>
      <c r="Q175" s="1" t="str">
        <f t="shared" si="7"/>
        <v>High Risk</v>
      </c>
      <c r="R175" s="2">
        <f t="shared" si="8"/>
        <v>6879.2745999487379</v>
      </c>
    </row>
    <row r="176" spans="1:18" s="1" customFormat="1" ht="11.5" x14ac:dyDescent="0.25">
      <c r="A176" s="1" t="s">
        <v>207</v>
      </c>
      <c r="B176" s="1" t="s">
        <v>52</v>
      </c>
      <c r="C176" s="1" t="s">
        <v>22</v>
      </c>
      <c r="D176" s="1">
        <v>0</v>
      </c>
      <c r="E176" s="1" t="s">
        <v>25</v>
      </c>
      <c r="F176" s="1" t="s">
        <v>22</v>
      </c>
      <c r="G176" s="1">
        <v>4979</v>
      </c>
      <c r="H176" s="1">
        <v>9348</v>
      </c>
      <c r="I176" s="1">
        <v>488</v>
      </c>
      <c r="J176" s="1">
        <v>360</v>
      </c>
      <c r="K176" s="1">
        <v>1</v>
      </c>
      <c r="L176" s="1" t="s">
        <v>19</v>
      </c>
      <c r="M176" s="1">
        <f>Table1[[#This Row],[ApplicantIncome]]+Table1[[#This Row],[CoapplicantIncome]]</f>
        <v>14327</v>
      </c>
      <c r="N176" s="1" t="s">
        <v>26</v>
      </c>
      <c r="O176" s="1" t="str">
        <f>IF(Table1[[#This Row],[Total_Income]]&lt;3000,"Low",IF(Table1[[#This Row],[Total_Income]]&lt;7000,"Medium","High"))</f>
        <v>High</v>
      </c>
      <c r="P176" s="1" t="str">
        <f t="shared" si="6"/>
        <v>Rejected</v>
      </c>
      <c r="Q176" s="1" t="str">
        <f t="shared" si="7"/>
        <v>Low Risk</v>
      </c>
      <c r="R176" s="2">
        <f t="shared" si="8"/>
        <v>3580.7711205313558</v>
      </c>
    </row>
    <row r="177" spans="1:18" s="1" customFormat="1" ht="11.5" x14ac:dyDescent="0.25">
      <c r="A177" s="1" t="s">
        <v>208</v>
      </c>
      <c r="B177" s="1" t="s">
        <v>52</v>
      </c>
      <c r="C177" s="1" t="s">
        <v>22</v>
      </c>
      <c r="D177" s="1">
        <v>1</v>
      </c>
      <c r="E177" s="1" t="s">
        <v>17</v>
      </c>
      <c r="F177" s="1" t="s">
        <v>29</v>
      </c>
      <c r="G177" s="1">
        <v>3760</v>
      </c>
      <c r="H177" s="1">
        <v>5746</v>
      </c>
      <c r="I177" s="1">
        <v>185</v>
      </c>
      <c r="J177" s="1">
        <v>180</v>
      </c>
      <c r="K177" s="1">
        <v>1</v>
      </c>
      <c r="L177" s="1" t="s">
        <v>19</v>
      </c>
      <c r="M177" s="1">
        <f>Table1[[#This Row],[ApplicantIncome]]+Table1[[#This Row],[CoapplicantIncome]]</f>
        <v>9506</v>
      </c>
      <c r="N177" s="1" t="s">
        <v>26</v>
      </c>
      <c r="O177" s="1" t="str">
        <f>IF(Table1[[#This Row],[Total_Income]]&lt;3000,"Low",IF(Table1[[#This Row],[Total_Income]]&lt;7000,"Medium","High"))</f>
        <v>High</v>
      </c>
      <c r="P177" s="1" t="str">
        <f t="shared" si="6"/>
        <v>Rejected</v>
      </c>
      <c r="Q177" s="1" t="str">
        <f t="shared" si="7"/>
        <v>Low Risk</v>
      </c>
      <c r="R177" s="2">
        <f t="shared" si="8"/>
        <v>1767.9563560111503</v>
      </c>
    </row>
    <row r="178" spans="1:18" s="1" customFormat="1" ht="11.5" x14ac:dyDescent="0.25">
      <c r="A178" s="1" t="s">
        <v>209</v>
      </c>
      <c r="B178" s="1" t="s">
        <v>1238</v>
      </c>
      <c r="C178" s="1" t="s">
        <v>29</v>
      </c>
      <c r="D178" s="1">
        <v>2</v>
      </c>
      <c r="E178" s="1" t="s">
        <v>17</v>
      </c>
      <c r="F178" s="1" t="s">
        <v>22</v>
      </c>
      <c r="G178" s="1">
        <v>17970</v>
      </c>
      <c r="H178" s="1">
        <v>3771</v>
      </c>
      <c r="I178" s="1">
        <v>579</v>
      </c>
      <c r="J178" s="1">
        <v>180</v>
      </c>
      <c r="K178" s="1">
        <v>0</v>
      </c>
      <c r="L178" s="1" t="s">
        <v>41</v>
      </c>
      <c r="M178" s="1">
        <f>Table1[[#This Row],[ApplicantIncome]]+Table1[[#This Row],[CoapplicantIncome]]</f>
        <v>21741</v>
      </c>
      <c r="N178" s="1" t="s">
        <v>26</v>
      </c>
      <c r="O178" s="1" t="str">
        <f>IF(Table1[[#This Row],[Total_Income]]&lt;3000,"Low",IF(Table1[[#This Row],[Total_Income]]&lt;7000,"Medium","High"))</f>
        <v>High</v>
      </c>
      <c r="P178" s="1" t="str">
        <f t="shared" si="6"/>
        <v>Rejected</v>
      </c>
      <c r="Q178" s="1" t="str">
        <f t="shared" si="7"/>
        <v>High Risk</v>
      </c>
      <c r="R178" s="2">
        <f t="shared" si="8"/>
        <v>5533.2255682727346</v>
      </c>
    </row>
    <row r="179" spans="1:18" s="1" customFormat="1" ht="11.5" x14ac:dyDescent="0.25">
      <c r="A179" s="1" t="s">
        <v>210</v>
      </c>
      <c r="B179" s="1" t="s">
        <v>28</v>
      </c>
      <c r="C179" s="1" t="s">
        <v>22</v>
      </c>
      <c r="D179" s="1">
        <v>0</v>
      </c>
      <c r="E179" s="1" t="s">
        <v>25</v>
      </c>
      <c r="F179" s="1" t="s">
        <v>29</v>
      </c>
      <c r="G179" s="1">
        <v>5212</v>
      </c>
      <c r="H179" s="1">
        <v>9456</v>
      </c>
      <c r="I179" s="1">
        <v>512</v>
      </c>
      <c r="J179" s="1">
        <v>360</v>
      </c>
      <c r="K179" s="1">
        <v>0</v>
      </c>
      <c r="L179" s="1" t="s">
        <v>19</v>
      </c>
      <c r="M179" s="1">
        <f>Table1[[#This Row],[ApplicantIncome]]+Table1[[#This Row],[CoapplicantIncome]]</f>
        <v>14668</v>
      </c>
      <c r="N179" s="1" t="s">
        <v>20</v>
      </c>
      <c r="O179" s="1" t="str">
        <f>IF(Table1[[#This Row],[Total_Income]]&lt;3000,"Low",IF(Table1[[#This Row],[Total_Income]]&lt;7000,"Medium","High"))</f>
        <v>High</v>
      </c>
      <c r="P179" s="1" t="str">
        <f t="shared" si="6"/>
        <v>Approved</v>
      </c>
      <c r="Q179" s="1" t="str">
        <f t="shared" si="7"/>
        <v>High Risk</v>
      </c>
      <c r="R179" s="2">
        <f t="shared" si="8"/>
        <v>3756.8746182624059</v>
      </c>
    </row>
    <row r="180" spans="1:18" s="1" customFormat="1" ht="11.5" x14ac:dyDescent="0.25">
      <c r="A180" s="1" t="s">
        <v>211</v>
      </c>
      <c r="B180" s="1" t="s">
        <v>28</v>
      </c>
      <c r="C180" s="1" t="s">
        <v>22</v>
      </c>
      <c r="D180" s="1">
        <v>1</v>
      </c>
      <c r="E180" s="1" t="s">
        <v>17</v>
      </c>
      <c r="F180" s="1" t="s">
        <v>22</v>
      </c>
      <c r="G180" s="1">
        <v>18759</v>
      </c>
      <c r="H180" s="1">
        <v>351</v>
      </c>
      <c r="I180" s="1">
        <v>99</v>
      </c>
      <c r="J180" s="1">
        <v>360</v>
      </c>
      <c r="K180" s="1">
        <v>0</v>
      </c>
      <c r="L180" s="1" t="s">
        <v>19</v>
      </c>
      <c r="M180" s="1">
        <f>Table1[[#This Row],[ApplicantIncome]]+Table1[[#This Row],[CoapplicantIncome]]</f>
        <v>19110</v>
      </c>
      <c r="N180" s="1" t="s">
        <v>20</v>
      </c>
      <c r="O180" s="1" t="str">
        <f>IF(Table1[[#This Row],[Total_Income]]&lt;3000,"Low",IF(Table1[[#This Row],[Total_Income]]&lt;7000,"Medium","High"))</f>
        <v>High</v>
      </c>
      <c r="P180" s="1" t="str">
        <f t="shared" si="6"/>
        <v>Approved</v>
      </c>
      <c r="Q180" s="1" t="str">
        <f t="shared" si="7"/>
        <v>High Risk</v>
      </c>
      <c r="R180" s="2">
        <f t="shared" si="8"/>
        <v>726.42692814058239</v>
      </c>
    </row>
    <row r="181" spans="1:18" s="1" customFormat="1" ht="11.5" x14ac:dyDescent="0.25">
      <c r="A181" s="1" t="s">
        <v>212</v>
      </c>
      <c r="B181" s="1" t="s">
        <v>28</v>
      </c>
      <c r="C181" s="1" t="s">
        <v>29</v>
      </c>
      <c r="D181" s="1">
        <v>2</v>
      </c>
      <c r="E181" s="1" t="s">
        <v>25</v>
      </c>
      <c r="F181" s="1" t="s">
        <v>22</v>
      </c>
      <c r="G181" s="1">
        <v>8382</v>
      </c>
      <c r="H181" s="1">
        <v>4467</v>
      </c>
      <c r="I181" s="1">
        <v>116</v>
      </c>
      <c r="J181" s="1">
        <v>360</v>
      </c>
      <c r="K181" s="1">
        <v>0</v>
      </c>
      <c r="L181" s="1" t="s">
        <v>19</v>
      </c>
      <c r="M181" s="1">
        <f>Table1[[#This Row],[ApplicantIncome]]+Table1[[#This Row],[CoapplicantIncome]]</f>
        <v>12849</v>
      </c>
      <c r="N181" s="1" t="s">
        <v>26</v>
      </c>
      <c r="O181" s="1" t="str">
        <f>IF(Table1[[#This Row],[Total_Income]]&lt;3000,"Low",IF(Table1[[#This Row],[Total_Income]]&lt;7000,"Medium","High"))</f>
        <v>High</v>
      </c>
      <c r="P181" s="1" t="str">
        <f t="shared" si="6"/>
        <v>Rejected</v>
      </c>
      <c r="Q181" s="1" t="str">
        <f t="shared" si="7"/>
        <v>High Risk</v>
      </c>
      <c r="R181" s="2">
        <f t="shared" si="8"/>
        <v>851.16690570007631</v>
      </c>
    </row>
    <row r="182" spans="1:18" s="1" customFormat="1" ht="11.5" x14ac:dyDescent="0.25">
      <c r="A182" s="1" t="s">
        <v>213</v>
      </c>
      <c r="B182" s="1" t="s">
        <v>52</v>
      </c>
      <c r="C182" s="1" t="s">
        <v>22</v>
      </c>
      <c r="D182" s="1">
        <v>0</v>
      </c>
      <c r="E182" s="1" t="s">
        <v>17</v>
      </c>
      <c r="F182" s="1" t="s">
        <v>29</v>
      </c>
      <c r="G182" s="1">
        <v>13592</v>
      </c>
      <c r="H182" s="1">
        <v>3345</v>
      </c>
      <c r="I182" s="1">
        <v>389</v>
      </c>
      <c r="J182" s="1">
        <v>360</v>
      </c>
      <c r="K182" s="1">
        <v>1</v>
      </c>
      <c r="L182" s="1" t="s">
        <v>19</v>
      </c>
      <c r="M182" s="1">
        <f>Table1[[#This Row],[ApplicantIncome]]+Table1[[#This Row],[CoapplicantIncome]]</f>
        <v>16937</v>
      </c>
      <c r="N182" s="1" t="s">
        <v>26</v>
      </c>
      <c r="O182" s="1" t="str">
        <f>IF(Table1[[#This Row],[Total_Income]]&lt;3000,"Low",IF(Table1[[#This Row],[Total_Income]]&lt;7000,"Medium","High"))</f>
        <v>High</v>
      </c>
      <c r="P182" s="1" t="str">
        <f t="shared" si="6"/>
        <v>Rejected</v>
      </c>
      <c r="Q182" s="1" t="str">
        <f t="shared" si="7"/>
        <v>Low Risk</v>
      </c>
      <c r="R182" s="2">
        <f t="shared" si="8"/>
        <v>2854.3441923907735</v>
      </c>
    </row>
    <row r="183" spans="1:18" s="1" customFormat="1" ht="11.5" x14ac:dyDescent="0.25">
      <c r="A183" s="1" t="s">
        <v>214</v>
      </c>
      <c r="B183" s="1" t="s">
        <v>28</v>
      </c>
      <c r="C183" s="1" t="s">
        <v>29</v>
      </c>
      <c r="D183" s="1" t="s">
        <v>16</v>
      </c>
      <c r="E183" s="1" t="s">
        <v>25</v>
      </c>
      <c r="F183" s="1" t="s">
        <v>22</v>
      </c>
      <c r="G183" s="1">
        <v>16147</v>
      </c>
      <c r="H183" s="1">
        <v>7976</v>
      </c>
      <c r="I183" s="1">
        <v>181</v>
      </c>
      <c r="J183" s="1">
        <v>360</v>
      </c>
      <c r="K183" s="1">
        <v>1</v>
      </c>
      <c r="L183" s="1" t="s">
        <v>41</v>
      </c>
      <c r="M183" s="1">
        <f>Table1[[#This Row],[ApplicantIncome]]+Table1[[#This Row],[CoapplicantIncome]]</f>
        <v>24123</v>
      </c>
      <c r="N183" s="1" t="s">
        <v>20</v>
      </c>
      <c r="O183" s="1" t="str">
        <f>IF(Table1[[#This Row],[Total_Income]]&lt;3000,"Low",IF(Table1[[#This Row],[Total_Income]]&lt;7000,"Medium","High"))</f>
        <v>High</v>
      </c>
      <c r="P183" s="1" t="str">
        <f t="shared" si="6"/>
        <v>Approved</v>
      </c>
      <c r="Q183" s="1" t="str">
        <f t="shared" si="7"/>
        <v>Low Risk</v>
      </c>
      <c r="R183" s="2">
        <f t="shared" si="8"/>
        <v>1328.113878721671</v>
      </c>
    </row>
    <row r="184" spans="1:18" s="1" customFormat="1" ht="11.5" x14ac:dyDescent="0.25">
      <c r="A184" s="1" t="s">
        <v>215</v>
      </c>
      <c r="B184" s="1" t="s">
        <v>52</v>
      </c>
      <c r="C184" s="1" t="s">
        <v>22</v>
      </c>
      <c r="D184" s="1">
        <v>1</v>
      </c>
      <c r="E184" s="1" t="s">
        <v>17</v>
      </c>
      <c r="F184" s="1" t="s">
        <v>22</v>
      </c>
      <c r="G184" s="1">
        <v>19544</v>
      </c>
      <c r="H184" s="1">
        <v>7750</v>
      </c>
      <c r="I184" s="1">
        <v>358</v>
      </c>
      <c r="J184" s="1">
        <v>120</v>
      </c>
      <c r="K184" s="1">
        <v>0</v>
      </c>
      <c r="L184" s="1" t="s">
        <v>30</v>
      </c>
      <c r="M184" s="1">
        <f>Table1[[#This Row],[ApplicantIncome]]+Table1[[#This Row],[CoapplicantIncome]]</f>
        <v>27294</v>
      </c>
      <c r="N184" s="1" t="s">
        <v>20</v>
      </c>
      <c r="O184" s="1" t="str">
        <f>IF(Table1[[#This Row],[Total_Income]]&lt;3000,"Low",IF(Table1[[#This Row],[Total_Income]]&lt;7000,"Medium","High"))</f>
        <v>High</v>
      </c>
      <c r="P184" s="1" t="str">
        <f t="shared" si="6"/>
        <v>Approved</v>
      </c>
      <c r="Q184" s="1" t="str">
        <f t="shared" si="7"/>
        <v>High Risk</v>
      </c>
      <c r="R184" s="2">
        <f t="shared" si="8"/>
        <v>4343.5278779217779</v>
      </c>
    </row>
    <row r="185" spans="1:18" s="1" customFormat="1" ht="11.5" x14ac:dyDescent="0.25">
      <c r="A185" s="1" t="s">
        <v>216</v>
      </c>
      <c r="B185" s="1" t="s">
        <v>1238</v>
      </c>
      <c r="C185" s="1" t="s">
        <v>22</v>
      </c>
      <c r="D185" s="1">
        <v>2</v>
      </c>
      <c r="E185" s="1" t="s">
        <v>25</v>
      </c>
      <c r="F185" s="1" t="s">
        <v>22</v>
      </c>
      <c r="G185" s="1">
        <v>19665</v>
      </c>
      <c r="H185" s="1">
        <v>6640</v>
      </c>
      <c r="I185" s="1">
        <v>293</v>
      </c>
      <c r="J185" s="1">
        <v>360</v>
      </c>
      <c r="K185" s="1">
        <v>1</v>
      </c>
      <c r="L185" s="1" t="s">
        <v>19</v>
      </c>
      <c r="M185" s="1">
        <f>Table1[[#This Row],[ApplicantIncome]]+Table1[[#This Row],[CoapplicantIncome]]</f>
        <v>26305</v>
      </c>
      <c r="N185" s="1" t="s">
        <v>26</v>
      </c>
      <c r="O185" s="1" t="str">
        <f>IF(Table1[[#This Row],[Total_Income]]&lt;3000,"Low",IF(Table1[[#This Row],[Total_Income]]&lt;7000,"Medium","High"))</f>
        <v>High</v>
      </c>
      <c r="P185" s="1" t="str">
        <f t="shared" si="6"/>
        <v>Rejected</v>
      </c>
      <c r="Q185" s="1" t="str">
        <f t="shared" si="7"/>
        <v>Low Risk</v>
      </c>
      <c r="R185" s="2">
        <f t="shared" si="8"/>
        <v>2149.9302014665723</v>
      </c>
    </row>
    <row r="186" spans="1:18" s="1" customFormat="1" ht="11.5" x14ac:dyDescent="0.25">
      <c r="A186" s="1" t="s">
        <v>217</v>
      </c>
      <c r="B186" s="1" t="s">
        <v>52</v>
      </c>
      <c r="C186" s="1" t="s">
        <v>22</v>
      </c>
      <c r="D186" s="1">
        <v>1</v>
      </c>
      <c r="E186" s="1" t="s">
        <v>25</v>
      </c>
      <c r="F186" s="1" t="s">
        <v>29</v>
      </c>
      <c r="G186" s="1">
        <v>17817</v>
      </c>
      <c r="H186" s="1">
        <v>2556</v>
      </c>
      <c r="I186" s="1">
        <v>310</v>
      </c>
      <c r="J186" s="1">
        <v>120</v>
      </c>
      <c r="K186" s="1">
        <v>0</v>
      </c>
      <c r="L186" s="1" t="s">
        <v>41</v>
      </c>
      <c r="M186" s="1">
        <f>Table1[[#This Row],[ApplicantIncome]]+Table1[[#This Row],[CoapplicantIncome]]</f>
        <v>20373</v>
      </c>
      <c r="N186" s="1" t="s">
        <v>26</v>
      </c>
      <c r="O186" s="1" t="str">
        <f>IF(Table1[[#This Row],[Total_Income]]&lt;3000,"Low",IF(Table1[[#This Row],[Total_Income]]&lt;7000,"Medium","High"))</f>
        <v>High</v>
      </c>
      <c r="P186" s="1" t="str">
        <f t="shared" si="6"/>
        <v>Rejected</v>
      </c>
      <c r="Q186" s="1" t="str">
        <f t="shared" si="7"/>
        <v>High Risk</v>
      </c>
      <c r="R186" s="2">
        <f t="shared" si="8"/>
        <v>3761.1554250160648</v>
      </c>
    </row>
    <row r="187" spans="1:18" s="1" customFormat="1" ht="11.5" x14ac:dyDescent="0.25">
      <c r="A187" s="1" t="s">
        <v>218</v>
      </c>
      <c r="B187" s="1" t="s">
        <v>28</v>
      </c>
      <c r="C187" s="1" t="s">
        <v>22</v>
      </c>
      <c r="D187" s="1">
        <v>2</v>
      </c>
      <c r="E187" s="1" t="s">
        <v>25</v>
      </c>
      <c r="F187" s="1" t="s">
        <v>29</v>
      </c>
      <c r="G187" s="1">
        <v>19404</v>
      </c>
      <c r="H187" s="1">
        <v>4646</v>
      </c>
      <c r="I187" s="1">
        <v>185</v>
      </c>
      <c r="J187" s="1">
        <v>360</v>
      </c>
      <c r="K187" s="1">
        <v>0</v>
      </c>
      <c r="L187" s="1" t="s">
        <v>30</v>
      </c>
      <c r="M187" s="1">
        <f>Table1[[#This Row],[ApplicantIncome]]+Table1[[#This Row],[CoapplicantIncome]]</f>
        <v>24050</v>
      </c>
      <c r="N187" s="1" t="s">
        <v>20</v>
      </c>
      <c r="O187" s="1" t="str">
        <f>IF(Table1[[#This Row],[Total_Income]]&lt;3000,"Low",IF(Table1[[#This Row],[Total_Income]]&lt;7000,"Medium","High"))</f>
        <v>High</v>
      </c>
      <c r="P187" s="1" t="str">
        <f t="shared" si="6"/>
        <v>Approved</v>
      </c>
      <c r="Q187" s="1" t="str">
        <f t="shared" si="7"/>
        <v>High Risk</v>
      </c>
      <c r="R187" s="2">
        <f t="shared" si="8"/>
        <v>1357.464461676846</v>
      </c>
    </row>
    <row r="188" spans="1:18" s="1" customFormat="1" ht="11.5" x14ac:dyDescent="0.25">
      <c r="A188" s="1" t="s">
        <v>219</v>
      </c>
      <c r="B188" s="1" t="s">
        <v>52</v>
      </c>
      <c r="C188" s="1" t="s">
        <v>22</v>
      </c>
      <c r="D188" s="1">
        <v>1</v>
      </c>
      <c r="E188" s="1" t="s">
        <v>17</v>
      </c>
      <c r="F188" s="1" t="s">
        <v>22</v>
      </c>
      <c r="G188" s="1">
        <v>19457</v>
      </c>
      <c r="H188" s="1">
        <v>9779</v>
      </c>
      <c r="I188" s="1">
        <v>596</v>
      </c>
      <c r="J188" s="1">
        <v>180</v>
      </c>
      <c r="K188" s="1">
        <v>0</v>
      </c>
      <c r="L188" s="1" t="s">
        <v>41</v>
      </c>
      <c r="M188" s="1">
        <f>Table1[[#This Row],[ApplicantIncome]]+Table1[[#This Row],[CoapplicantIncome]]</f>
        <v>29236</v>
      </c>
      <c r="N188" s="1" t="s">
        <v>26</v>
      </c>
      <c r="O188" s="1" t="str">
        <f>IF(Table1[[#This Row],[Total_Income]]&lt;3000,"Low",IF(Table1[[#This Row],[Total_Income]]&lt;7000,"Medium","High"))</f>
        <v>High</v>
      </c>
      <c r="P188" s="1" t="str">
        <f t="shared" si="6"/>
        <v>Rejected</v>
      </c>
      <c r="Q188" s="1" t="str">
        <f t="shared" si="7"/>
        <v>High Risk</v>
      </c>
      <c r="R188" s="2">
        <f t="shared" si="8"/>
        <v>5695.6864226088946</v>
      </c>
    </row>
    <row r="189" spans="1:18" s="1" customFormat="1" ht="11.5" x14ac:dyDescent="0.25">
      <c r="A189" s="1" t="s">
        <v>220</v>
      </c>
      <c r="B189" s="1" t="s">
        <v>1238</v>
      </c>
      <c r="C189" s="1" t="s">
        <v>22</v>
      </c>
      <c r="D189" s="1">
        <v>1</v>
      </c>
      <c r="E189" s="1" t="s">
        <v>25</v>
      </c>
      <c r="F189" s="1" t="s">
        <v>29</v>
      </c>
      <c r="G189" s="1">
        <v>19128</v>
      </c>
      <c r="H189" s="1">
        <v>1096</v>
      </c>
      <c r="I189" s="1">
        <v>502</v>
      </c>
      <c r="J189" s="1">
        <v>360</v>
      </c>
      <c r="K189" s="1">
        <v>0</v>
      </c>
      <c r="L189" s="1" t="s">
        <v>30</v>
      </c>
      <c r="M189" s="1">
        <f>Table1[[#This Row],[ApplicantIncome]]+Table1[[#This Row],[CoapplicantIncome]]</f>
        <v>20224</v>
      </c>
      <c r="N189" s="1" t="s">
        <v>20</v>
      </c>
      <c r="O189" s="1" t="str">
        <f>IF(Table1[[#This Row],[Total_Income]]&lt;3000,"Low",IF(Table1[[#This Row],[Total_Income]]&lt;7000,"Medium","High"))</f>
        <v>High</v>
      </c>
      <c r="P189" s="1" t="str">
        <f t="shared" si="6"/>
        <v>Approved</v>
      </c>
      <c r="Q189" s="1" t="str">
        <f t="shared" si="7"/>
        <v>High Risk</v>
      </c>
      <c r="R189" s="2">
        <f t="shared" si="8"/>
        <v>3683.4981608744683</v>
      </c>
    </row>
    <row r="190" spans="1:18" s="1" customFormat="1" ht="11.5" x14ac:dyDescent="0.25">
      <c r="A190" s="1" t="s">
        <v>221</v>
      </c>
      <c r="B190" s="1" t="s">
        <v>1238</v>
      </c>
      <c r="C190" s="1" t="s">
        <v>22</v>
      </c>
      <c r="D190" s="1">
        <v>2</v>
      </c>
      <c r="E190" s="1" t="s">
        <v>17</v>
      </c>
      <c r="F190" s="1" t="s">
        <v>22</v>
      </c>
      <c r="G190" s="1">
        <v>9425</v>
      </c>
      <c r="H190" s="1">
        <v>520</v>
      </c>
      <c r="I190" s="1">
        <v>635</v>
      </c>
      <c r="J190" s="1">
        <v>120</v>
      </c>
      <c r="K190" s="1">
        <v>1</v>
      </c>
      <c r="L190" s="1" t="s">
        <v>41</v>
      </c>
      <c r="M190" s="1">
        <f>Table1[[#This Row],[ApplicantIncome]]+Table1[[#This Row],[CoapplicantIncome]]</f>
        <v>9945</v>
      </c>
      <c r="N190" s="1" t="s">
        <v>26</v>
      </c>
      <c r="O190" s="1" t="str">
        <f>IF(Table1[[#This Row],[Total_Income]]&lt;3000,"Low",IF(Table1[[#This Row],[Total_Income]]&lt;7000,"Medium","High"))</f>
        <v>High</v>
      </c>
      <c r="P190" s="1" t="str">
        <f t="shared" si="6"/>
        <v>Rejected</v>
      </c>
      <c r="Q190" s="1" t="str">
        <f t="shared" si="7"/>
        <v>Low Risk</v>
      </c>
      <c r="R190" s="2">
        <f t="shared" si="8"/>
        <v>7704.3022415651649</v>
      </c>
    </row>
    <row r="191" spans="1:18" s="1" customFormat="1" ht="11.5" x14ac:dyDescent="0.25">
      <c r="A191" s="1" t="s">
        <v>222</v>
      </c>
      <c r="B191" s="1" t="s">
        <v>1238</v>
      </c>
      <c r="C191" s="1" t="s">
        <v>29</v>
      </c>
      <c r="D191" s="1">
        <v>0</v>
      </c>
      <c r="E191" s="1" t="s">
        <v>25</v>
      </c>
      <c r="F191" s="1" t="s">
        <v>29</v>
      </c>
      <c r="G191" s="1">
        <v>14862</v>
      </c>
      <c r="H191" s="1">
        <v>6113</v>
      </c>
      <c r="I191" s="1">
        <v>362</v>
      </c>
      <c r="J191" s="1">
        <v>360</v>
      </c>
      <c r="K191" s="1">
        <v>1</v>
      </c>
      <c r="L191" s="1" t="s">
        <v>41</v>
      </c>
      <c r="M191" s="1">
        <f>Table1[[#This Row],[ApplicantIncome]]+Table1[[#This Row],[CoapplicantIncome]]</f>
        <v>20975</v>
      </c>
      <c r="N191" s="1" t="s">
        <v>26</v>
      </c>
      <c r="O191" s="1" t="str">
        <f>IF(Table1[[#This Row],[Total_Income]]&lt;3000,"Low",IF(Table1[[#This Row],[Total_Income]]&lt;7000,"Medium","High"))</f>
        <v>High</v>
      </c>
      <c r="P191" s="1" t="str">
        <f t="shared" si="6"/>
        <v>Rejected</v>
      </c>
      <c r="Q191" s="1" t="str">
        <f t="shared" si="7"/>
        <v>Low Risk</v>
      </c>
      <c r="R191" s="2">
        <f t="shared" si="8"/>
        <v>2656.2277574433419</v>
      </c>
    </row>
    <row r="192" spans="1:18" s="1" customFormat="1" ht="11.5" x14ac:dyDescent="0.25">
      <c r="A192" s="1" t="s">
        <v>223</v>
      </c>
      <c r="B192" s="1" t="s">
        <v>52</v>
      </c>
      <c r="C192" s="1" t="s">
        <v>22</v>
      </c>
      <c r="D192" s="1">
        <v>2</v>
      </c>
      <c r="E192" s="1" t="s">
        <v>25</v>
      </c>
      <c r="F192" s="1" t="s">
        <v>29</v>
      </c>
      <c r="G192" s="1">
        <v>19974</v>
      </c>
      <c r="H192" s="1">
        <v>8322</v>
      </c>
      <c r="I192" s="1">
        <v>390</v>
      </c>
      <c r="J192" s="1">
        <v>120</v>
      </c>
      <c r="K192" s="1">
        <v>0</v>
      </c>
      <c r="L192" s="1" t="s">
        <v>30</v>
      </c>
      <c r="M192" s="1">
        <f>Table1[[#This Row],[ApplicantIncome]]+Table1[[#This Row],[CoapplicantIncome]]</f>
        <v>28296</v>
      </c>
      <c r="N192" s="1" t="s">
        <v>26</v>
      </c>
      <c r="O192" s="1" t="str">
        <f>IF(Table1[[#This Row],[Total_Income]]&lt;3000,"Low",IF(Table1[[#This Row],[Total_Income]]&lt;7000,"Medium","High"))</f>
        <v>High</v>
      </c>
      <c r="P192" s="1" t="str">
        <f t="shared" si="6"/>
        <v>Rejected</v>
      </c>
      <c r="Q192" s="1" t="str">
        <f t="shared" si="7"/>
        <v>High Risk</v>
      </c>
      <c r="R192" s="2">
        <f t="shared" si="8"/>
        <v>4731.7761798589199</v>
      </c>
    </row>
    <row r="193" spans="1:18" s="1" customFormat="1" ht="11.5" x14ac:dyDescent="0.25">
      <c r="A193" s="1" t="s">
        <v>224</v>
      </c>
      <c r="B193" s="1" t="s">
        <v>28</v>
      </c>
      <c r="C193" s="1" t="s">
        <v>29</v>
      </c>
      <c r="D193" s="1">
        <v>2</v>
      </c>
      <c r="E193" s="1" t="s">
        <v>25</v>
      </c>
      <c r="F193" s="1" t="s">
        <v>22</v>
      </c>
      <c r="G193" s="1">
        <v>5359</v>
      </c>
      <c r="H193" s="1">
        <v>7441</v>
      </c>
      <c r="I193" s="1">
        <v>527</v>
      </c>
      <c r="J193" s="1">
        <v>360</v>
      </c>
      <c r="K193" s="1">
        <v>1</v>
      </c>
      <c r="L193" s="1" t="s">
        <v>19</v>
      </c>
      <c r="M193" s="1">
        <f>Table1[[#This Row],[ApplicantIncome]]+Table1[[#This Row],[CoapplicantIncome]]</f>
        <v>12800</v>
      </c>
      <c r="N193" s="1" t="s">
        <v>26</v>
      </c>
      <c r="O193" s="1" t="str">
        <f>IF(Table1[[#This Row],[Total_Income]]&lt;3000,"Low",IF(Table1[[#This Row],[Total_Income]]&lt;7000,"Medium","High"))</f>
        <v>High</v>
      </c>
      <c r="P193" s="1" t="str">
        <f t="shared" si="6"/>
        <v>Rejected</v>
      </c>
      <c r="Q193" s="1" t="str">
        <f t="shared" si="7"/>
        <v>Low Risk</v>
      </c>
      <c r="R193" s="2">
        <f t="shared" si="8"/>
        <v>3866.9393043443129</v>
      </c>
    </row>
    <row r="194" spans="1:18" s="1" customFormat="1" ht="11.5" x14ac:dyDescent="0.25">
      <c r="A194" s="1" t="s">
        <v>225</v>
      </c>
      <c r="B194" s="1" t="s">
        <v>1238</v>
      </c>
      <c r="C194" s="1" t="s">
        <v>22</v>
      </c>
      <c r="D194" s="1">
        <v>1</v>
      </c>
      <c r="E194" s="1" t="s">
        <v>25</v>
      </c>
      <c r="F194" s="1" t="s">
        <v>29</v>
      </c>
      <c r="G194" s="1">
        <v>12657</v>
      </c>
      <c r="H194" s="1">
        <v>3869</v>
      </c>
      <c r="I194" s="1">
        <v>143</v>
      </c>
      <c r="J194" s="1">
        <v>120</v>
      </c>
      <c r="K194" s="1">
        <v>0</v>
      </c>
      <c r="L194" s="1" t="s">
        <v>41</v>
      </c>
      <c r="M194" s="1">
        <f>Table1[[#This Row],[ApplicantIncome]]+Table1[[#This Row],[CoapplicantIncome]]</f>
        <v>16526</v>
      </c>
      <c r="N194" s="1" t="s">
        <v>20</v>
      </c>
      <c r="O194" s="1" t="str">
        <f>IF(Table1[[#This Row],[Total_Income]]&lt;3000,"Low",IF(Table1[[#This Row],[Total_Income]]&lt;7000,"Medium","High"))</f>
        <v>High</v>
      </c>
      <c r="P194" s="1" t="str">
        <f t="shared" ref="P194:P257" si="9">IF(N194="Y","Approved","Rejected")</f>
        <v>Approved</v>
      </c>
      <c r="Q194" s="1" t="str">
        <f t="shared" ref="Q194:Q257" si="10">IF(K194=1,"Low Risk","High Risk")</f>
        <v>High Risk</v>
      </c>
      <c r="R194" s="2">
        <f t="shared" ref="R194:R257" si="11">-PMT(8%/12,J194,I194*1000)</f>
        <v>1734.984599281604</v>
      </c>
    </row>
    <row r="195" spans="1:18" s="1" customFormat="1" ht="11.5" x14ac:dyDescent="0.25">
      <c r="A195" s="1" t="s">
        <v>226</v>
      </c>
      <c r="B195" s="1" t="s">
        <v>52</v>
      </c>
      <c r="C195" s="1" t="s">
        <v>22</v>
      </c>
      <c r="D195" s="1">
        <v>0</v>
      </c>
      <c r="E195" s="1" t="s">
        <v>25</v>
      </c>
      <c r="F195" s="1" t="s">
        <v>22</v>
      </c>
      <c r="G195" s="1">
        <v>5974</v>
      </c>
      <c r="H195" s="1">
        <v>3206</v>
      </c>
      <c r="I195" s="1">
        <v>540</v>
      </c>
      <c r="J195" s="1">
        <v>180</v>
      </c>
      <c r="K195" s="1">
        <v>1</v>
      </c>
      <c r="L195" s="1" t="s">
        <v>41</v>
      </c>
      <c r="M195" s="1">
        <f>Table1[[#This Row],[ApplicantIncome]]+Table1[[#This Row],[CoapplicantIncome]]</f>
        <v>9180</v>
      </c>
      <c r="N195" s="1" t="s">
        <v>20</v>
      </c>
      <c r="O195" s="1" t="str">
        <f>IF(Table1[[#This Row],[Total_Income]]&lt;3000,"Low",IF(Table1[[#This Row],[Total_Income]]&lt;7000,"Medium","High"))</f>
        <v>High</v>
      </c>
      <c r="P195" s="1" t="str">
        <f t="shared" si="9"/>
        <v>Approved</v>
      </c>
      <c r="Q195" s="1" t="str">
        <f t="shared" si="10"/>
        <v>Low Risk</v>
      </c>
      <c r="R195" s="2">
        <f t="shared" si="11"/>
        <v>5160.5212553838974</v>
      </c>
    </row>
    <row r="196" spans="1:18" s="1" customFormat="1" ht="11.5" x14ac:dyDescent="0.25">
      <c r="A196" s="1" t="s">
        <v>227</v>
      </c>
      <c r="B196" s="1" t="s">
        <v>1238</v>
      </c>
      <c r="C196" s="1" t="s">
        <v>29</v>
      </c>
      <c r="D196" s="1">
        <v>1</v>
      </c>
      <c r="E196" s="1" t="s">
        <v>25</v>
      </c>
      <c r="F196" s="1" t="s">
        <v>22</v>
      </c>
      <c r="G196" s="1">
        <v>4222</v>
      </c>
      <c r="H196" s="1">
        <v>654</v>
      </c>
      <c r="I196" s="1">
        <v>545</v>
      </c>
      <c r="J196" s="1">
        <v>360</v>
      </c>
      <c r="K196" s="1">
        <v>1</v>
      </c>
      <c r="L196" s="1" t="s">
        <v>30</v>
      </c>
      <c r="M196" s="1">
        <f>Table1[[#This Row],[ApplicantIncome]]+Table1[[#This Row],[CoapplicantIncome]]</f>
        <v>4876</v>
      </c>
      <c r="N196" s="1" t="s">
        <v>20</v>
      </c>
      <c r="O196" s="1" t="str">
        <f>IF(Table1[[#This Row],[Total_Income]]&lt;3000,"Low",IF(Table1[[#This Row],[Total_Income]]&lt;7000,"Medium","High"))</f>
        <v>Medium</v>
      </c>
      <c r="P196" s="1" t="str">
        <f t="shared" si="9"/>
        <v>Approved</v>
      </c>
      <c r="Q196" s="1" t="str">
        <f t="shared" si="10"/>
        <v>Low Risk</v>
      </c>
      <c r="R196" s="2">
        <f t="shared" si="11"/>
        <v>3999.0169276426004</v>
      </c>
    </row>
    <row r="197" spans="1:18" s="1" customFormat="1" ht="11.5" x14ac:dyDescent="0.25">
      <c r="A197" s="1" t="s">
        <v>228</v>
      </c>
      <c r="B197" s="1" t="s">
        <v>52</v>
      </c>
      <c r="C197" s="1" t="s">
        <v>29</v>
      </c>
      <c r="D197" s="1">
        <v>0</v>
      </c>
      <c r="E197" s="1" t="s">
        <v>25</v>
      </c>
      <c r="F197" s="1" t="s">
        <v>22</v>
      </c>
      <c r="G197" s="1">
        <v>6586</v>
      </c>
      <c r="H197" s="1">
        <v>9236</v>
      </c>
      <c r="I197" s="1">
        <v>354</v>
      </c>
      <c r="J197" s="1">
        <v>120</v>
      </c>
      <c r="K197" s="1">
        <v>0</v>
      </c>
      <c r="L197" s="1" t="s">
        <v>19</v>
      </c>
      <c r="M197" s="1">
        <f>Table1[[#This Row],[ApplicantIncome]]+Table1[[#This Row],[CoapplicantIncome]]</f>
        <v>15822</v>
      </c>
      <c r="N197" s="1" t="s">
        <v>20</v>
      </c>
      <c r="O197" s="1" t="str">
        <f>IF(Table1[[#This Row],[Total_Income]]&lt;3000,"Low",IF(Table1[[#This Row],[Total_Income]]&lt;7000,"Medium","High"))</f>
        <v>High</v>
      </c>
      <c r="P197" s="1" t="str">
        <f t="shared" si="9"/>
        <v>Approved</v>
      </c>
      <c r="Q197" s="1" t="str">
        <f t="shared" si="10"/>
        <v>High Risk</v>
      </c>
      <c r="R197" s="2">
        <f t="shared" si="11"/>
        <v>4294.996840179635</v>
      </c>
    </row>
    <row r="198" spans="1:18" s="1" customFormat="1" ht="11.5" x14ac:dyDescent="0.25">
      <c r="A198" s="1" t="s">
        <v>229</v>
      </c>
      <c r="B198" s="1" t="s">
        <v>1238</v>
      </c>
      <c r="C198" s="1" t="s">
        <v>22</v>
      </c>
      <c r="D198" s="1">
        <v>1</v>
      </c>
      <c r="E198" s="1" t="s">
        <v>17</v>
      </c>
      <c r="F198" s="1" t="s">
        <v>29</v>
      </c>
      <c r="G198" s="1">
        <v>15415</v>
      </c>
      <c r="H198" s="1">
        <v>5334</v>
      </c>
      <c r="I198" s="1">
        <v>665</v>
      </c>
      <c r="J198" s="1">
        <v>360</v>
      </c>
      <c r="K198" s="1">
        <v>0</v>
      </c>
      <c r="L198" s="1" t="s">
        <v>41</v>
      </c>
      <c r="M198" s="1">
        <f>Table1[[#This Row],[ApplicantIncome]]+Table1[[#This Row],[CoapplicantIncome]]</f>
        <v>20749</v>
      </c>
      <c r="N198" s="1" t="s">
        <v>20</v>
      </c>
      <c r="O198" s="1" t="str">
        <f>IF(Table1[[#This Row],[Total_Income]]&lt;3000,"Low",IF(Table1[[#This Row],[Total_Income]]&lt;7000,"Medium","High"))</f>
        <v>High</v>
      </c>
      <c r="P198" s="1" t="str">
        <f t="shared" si="9"/>
        <v>Approved</v>
      </c>
      <c r="Q198" s="1" t="str">
        <f t="shared" si="10"/>
        <v>High Risk</v>
      </c>
      <c r="R198" s="2">
        <f t="shared" si="11"/>
        <v>4879.5344162978517</v>
      </c>
    </row>
    <row r="199" spans="1:18" s="1" customFormat="1" ht="11.5" x14ac:dyDescent="0.25">
      <c r="A199" s="1" t="s">
        <v>230</v>
      </c>
      <c r="B199" s="1" t="s">
        <v>28</v>
      </c>
      <c r="C199" s="1" t="s">
        <v>22</v>
      </c>
      <c r="D199" s="1" t="s">
        <v>16</v>
      </c>
      <c r="E199" s="1" t="s">
        <v>25</v>
      </c>
      <c r="F199" s="1" t="s">
        <v>22</v>
      </c>
      <c r="G199" s="1">
        <v>3968</v>
      </c>
      <c r="H199" s="1">
        <v>8802</v>
      </c>
      <c r="I199" s="1">
        <v>236</v>
      </c>
      <c r="J199" s="1">
        <v>360</v>
      </c>
      <c r="K199" s="1">
        <v>0</v>
      </c>
      <c r="L199" s="1" t="s">
        <v>19</v>
      </c>
      <c r="M199" s="1">
        <f>Table1[[#This Row],[ApplicantIncome]]+Table1[[#This Row],[CoapplicantIncome]]</f>
        <v>12770</v>
      </c>
      <c r="N199" s="1" t="s">
        <v>20</v>
      </c>
      <c r="O199" s="1" t="str">
        <f>IF(Table1[[#This Row],[Total_Income]]&lt;3000,"Low",IF(Table1[[#This Row],[Total_Income]]&lt;7000,"Medium","High"))</f>
        <v>High</v>
      </c>
      <c r="P199" s="1" t="str">
        <f t="shared" si="9"/>
        <v>Approved</v>
      </c>
      <c r="Q199" s="1" t="str">
        <f t="shared" si="10"/>
        <v>High Risk</v>
      </c>
      <c r="R199" s="2">
        <f t="shared" si="11"/>
        <v>1731.6843943553276</v>
      </c>
    </row>
    <row r="200" spans="1:18" s="1" customFormat="1" ht="11.5" x14ac:dyDescent="0.25">
      <c r="A200" s="1" t="s">
        <v>231</v>
      </c>
      <c r="B200" s="1" t="s">
        <v>28</v>
      </c>
      <c r="C200" s="1" t="s">
        <v>22</v>
      </c>
      <c r="D200" s="1" t="s">
        <v>16</v>
      </c>
      <c r="E200" s="1" t="s">
        <v>17</v>
      </c>
      <c r="F200" s="1" t="s">
        <v>22</v>
      </c>
      <c r="G200" s="1">
        <v>7362</v>
      </c>
      <c r="H200" s="1">
        <v>7906</v>
      </c>
      <c r="I200" s="1">
        <v>599</v>
      </c>
      <c r="J200" s="1">
        <v>360</v>
      </c>
      <c r="K200" s="1">
        <v>1</v>
      </c>
      <c r="L200" s="1" t="s">
        <v>30</v>
      </c>
      <c r="M200" s="1">
        <f>Table1[[#This Row],[ApplicantIncome]]+Table1[[#This Row],[CoapplicantIncome]]</f>
        <v>15268</v>
      </c>
      <c r="N200" s="1" t="s">
        <v>20</v>
      </c>
      <c r="O200" s="1" t="str">
        <f>IF(Table1[[#This Row],[Total_Income]]&lt;3000,"Low",IF(Table1[[#This Row],[Total_Income]]&lt;7000,"Medium","High"))</f>
        <v>High</v>
      </c>
      <c r="P200" s="1" t="str">
        <f t="shared" si="9"/>
        <v>Approved</v>
      </c>
      <c r="Q200" s="1" t="str">
        <f t="shared" si="10"/>
        <v>Low Risk</v>
      </c>
      <c r="R200" s="2">
        <f t="shared" si="11"/>
        <v>4395.2497975374636</v>
      </c>
    </row>
    <row r="201" spans="1:18" s="1" customFormat="1" ht="11.5" x14ac:dyDescent="0.25">
      <c r="A201" s="1" t="s">
        <v>232</v>
      </c>
      <c r="B201" s="1" t="s">
        <v>1238</v>
      </c>
      <c r="C201" s="1" t="s">
        <v>22</v>
      </c>
      <c r="D201" s="1">
        <v>2</v>
      </c>
      <c r="E201" s="1" t="s">
        <v>17</v>
      </c>
      <c r="F201" s="1" t="s">
        <v>22</v>
      </c>
      <c r="G201" s="1">
        <v>5278</v>
      </c>
      <c r="H201" s="1">
        <v>9614</v>
      </c>
      <c r="I201" s="1">
        <v>657</v>
      </c>
      <c r="J201" s="1">
        <v>120</v>
      </c>
      <c r="K201" s="1">
        <v>0</v>
      </c>
      <c r="L201" s="1" t="s">
        <v>41</v>
      </c>
      <c r="M201" s="1">
        <f>Table1[[#This Row],[ApplicantIncome]]+Table1[[#This Row],[CoapplicantIncome]]</f>
        <v>14892</v>
      </c>
      <c r="N201" s="1" t="s">
        <v>26</v>
      </c>
      <c r="O201" s="1" t="str">
        <f>IF(Table1[[#This Row],[Total_Income]]&lt;3000,"Low",IF(Table1[[#This Row],[Total_Income]]&lt;7000,"Medium","High"))</f>
        <v>High</v>
      </c>
      <c r="P201" s="1" t="str">
        <f t="shared" si="9"/>
        <v>Rejected</v>
      </c>
      <c r="Q201" s="1" t="str">
        <f t="shared" si="10"/>
        <v>High Risk</v>
      </c>
      <c r="R201" s="2">
        <f t="shared" si="11"/>
        <v>7971.2229491469498</v>
      </c>
    </row>
    <row r="202" spans="1:18" s="1" customFormat="1" ht="11.5" x14ac:dyDescent="0.25">
      <c r="A202" s="1" t="s">
        <v>233</v>
      </c>
      <c r="B202" s="1" t="s">
        <v>1238</v>
      </c>
      <c r="C202" s="1" t="s">
        <v>22</v>
      </c>
      <c r="D202" s="1" t="s">
        <v>16</v>
      </c>
      <c r="E202" s="1" t="s">
        <v>17</v>
      </c>
      <c r="F202" s="1" t="s">
        <v>22</v>
      </c>
      <c r="G202" s="1">
        <v>18212</v>
      </c>
      <c r="H202" s="1">
        <v>281</v>
      </c>
      <c r="I202" s="1">
        <v>665</v>
      </c>
      <c r="J202" s="1">
        <v>360</v>
      </c>
      <c r="K202" s="1">
        <v>0</v>
      </c>
      <c r="L202" s="1" t="s">
        <v>19</v>
      </c>
      <c r="M202" s="1">
        <f>Table1[[#This Row],[ApplicantIncome]]+Table1[[#This Row],[CoapplicantIncome]]</f>
        <v>18493</v>
      </c>
      <c r="N202" s="1" t="s">
        <v>26</v>
      </c>
      <c r="O202" s="1" t="str">
        <f>IF(Table1[[#This Row],[Total_Income]]&lt;3000,"Low",IF(Table1[[#This Row],[Total_Income]]&lt;7000,"Medium","High"))</f>
        <v>High</v>
      </c>
      <c r="P202" s="1" t="str">
        <f t="shared" si="9"/>
        <v>Rejected</v>
      </c>
      <c r="Q202" s="1" t="str">
        <f t="shared" si="10"/>
        <v>High Risk</v>
      </c>
      <c r="R202" s="2">
        <f t="shared" si="11"/>
        <v>4879.5344162978517</v>
      </c>
    </row>
    <row r="203" spans="1:18" s="1" customFormat="1" ht="11.5" x14ac:dyDescent="0.25">
      <c r="A203" s="1" t="s">
        <v>234</v>
      </c>
      <c r="B203" s="1" t="s">
        <v>28</v>
      </c>
      <c r="C203" s="1" t="s">
        <v>22</v>
      </c>
      <c r="D203" s="1">
        <v>2</v>
      </c>
      <c r="E203" s="1" t="s">
        <v>17</v>
      </c>
      <c r="F203" s="1" t="s">
        <v>29</v>
      </c>
      <c r="G203" s="1">
        <v>5780</v>
      </c>
      <c r="H203" s="1">
        <v>9732</v>
      </c>
      <c r="I203" s="1">
        <v>568</v>
      </c>
      <c r="J203" s="1">
        <v>360</v>
      </c>
      <c r="K203" s="1">
        <v>0</v>
      </c>
      <c r="L203" s="1" t="s">
        <v>19</v>
      </c>
      <c r="M203" s="1">
        <f>Table1[[#This Row],[ApplicantIncome]]+Table1[[#This Row],[CoapplicantIncome]]</f>
        <v>15512</v>
      </c>
      <c r="N203" s="1" t="s">
        <v>26</v>
      </c>
      <c r="O203" s="1" t="str">
        <f>IF(Table1[[#This Row],[Total_Income]]&lt;3000,"Low",IF(Table1[[#This Row],[Total_Income]]&lt;7000,"Medium","High"))</f>
        <v>High</v>
      </c>
      <c r="P203" s="1" t="str">
        <f t="shared" si="9"/>
        <v>Rejected</v>
      </c>
      <c r="Q203" s="1" t="str">
        <f t="shared" si="10"/>
        <v>High Risk</v>
      </c>
      <c r="R203" s="2">
        <f t="shared" si="11"/>
        <v>4167.7827796348565</v>
      </c>
    </row>
    <row r="204" spans="1:18" s="1" customFormat="1" ht="11.5" x14ac:dyDescent="0.25">
      <c r="A204" s="1" t="s">
        <v>235</v>
      </c>
      <c r="B204" s="1" t="s">
        <v>52</v>
      </c>
      <c r="C204" s="1" t="s">
        <v>29</v>
      </c>
      <c r="D204" s="1">
        <v>2</v>
      </c>
      <c r="E204" s="1" t="s">
        <v>25</v>
      </c>
      <c r="F204" s="1" t="s">
        <v>22</v>
      </c>
      <c r="G204" s="1">
        <v>5066</v>
      </c>
      <c r="H204" s="1">
        <v>6847</v>
      </c>
      <c r="I204" s="1">
        <v>61</v>
      </c>
      <c r="J204" s="1">
        <v>360</v>
      </c>
      <c r="K204" s="1">
        <v>0</v>
      </c>
      <c r="L204" s="1" t="s">
        <v>41</v>
      </c>
      <c r="M204" s="1">
        <f>Table1[[#This Row],[ApplicantIncome]]+Table1[[#This Row],[CoapplicantIncome]]</f>
        <v>11913</v>
      </c>
      <c r="N204" s="1" t="s">
        <v>26</v>
      </c>
      <c r="O204" s="1" t="str">
        <f>IF(Table1[[#This Row],[Total_Income]]&lt;3000,"Low",IF(Table1[[#This Row],[Total_Income]]&lt;7000,"Medium","High"))</f>
        <v>High</v>
      </c>
      <c r="P204" s="1" t="str">
        <f t="shared" si="9"/>
        <v>Rejected</v>
      </c>
      <c r="Q204" s="1" t="str">
        <f t="shared" si="10"/>
        <v>High Risk</v>
      </c>
      <c r="R204" s="2">
        <f t="shared" si="11"/>
        <v>447.59639006641947</v>
      </c>
    </row>
    <row r="205" spans="1:18" s="1" customFormat="1" ht="11.5" x14ac:dyDescent="0.25">
      <c r="A205" s="1" t="s">
        <v>236</v>
      </c>
      <c r="B205" s="1" t="s">
        <v>28</v>
      </c>
      <c r="C205" s="1" t="s">
        <v>22</v>
      </c>
      <c r="D205" s="1">
        <v>2</v>
      </c>
      <c r="E205" s="1" t="s">
        <v>17</v>
      </c>
      <c r="F205" s="1" t="s">
        <v>22</v>
      </c>
      <c r="G205" s="1">
        <v>12764</v>
      </c>
      <c r="H205" s="1">
        <v>8791</v>
      </c>
      <c r="I205" s="1">
        <v>115</v>
      </c>
      <c r="J205" s="1">
        <v>360</v>
      </c>
      <c r="K205" s="1">
        <v>0</v>
      </c>
      <c r="L205" s="1" t="s">
        <v>30</v>
      </c>
      <c r="M205" s="1">
        <f>Table1[[#This Row],[ApplicantIncome]]+Table1[[#This Row],[CoapplicantIncome]]</f>
        <v>21555</v>
      </c>
      <c r="N205" s="1" t="s">
        <v>26</v>
      </c>
      <c r="O205" s="1" t="str">
        <f>IF(Table1[[#This Row],[Total_Income]]&lt;3000,"Low",IF(Table1[[#This Row],[Total_Income]]&lt;7000,"Medium","High"))</f>
        <v>High</v>
      </c>
      <c r="P205" s="1" t="str">
        <f t="shared" si="9"/>
        <v>Rejected</v>
      </c>
      <c r="Q205" s="1" t="str">
        <f t="shared" si="10"/>
        <v>High Risk</v>
      </c>
      <c r="R205" s="2">
        <f t="shared" si="11"/>
        <v>843.82925996128267</v>
      </c>
    </row>
    <row r="206" spans="1:18" s="1" customFormat="1" ht="11.5" x14ac:dyDescent="0.25">
      <c r="A206" s="1" t="s">
        <v>237</v>
      </c>
      <c r="B206" s="1" t="s">
        <v>28</v>
      </c>
      <c r="C206" s="1" t="s">
        <v>22</v>
      </c>
      <c r="D206" s="1">
        <v>1</v>
      </c>
      <c r="E206" s="1" t="s">
        <v>17</v>
      </c>
      <c r="F206" s="1" t="s">
        <v>22</v>
      </c>
      <c r="G206" s="1">
        <v>7137</v>
      </c>
      <c r="H206" s="1">
        <v>8005</v>
      </c>
      <c r="I206" s="1">
        <v>193</v>
      </c>
      <c r="J206" s="1">
        <v>360</v>
      </c>
      <c r="K206" s="1">
        <v>0</v>
      </c>
      <c r="L206" s="1" t="s">
        <v>30</v>
      </c>
      <c r="M206" s="1">
        <f>Table1[[#This Row],[ApplicantIncome]]+Table1[[#This Row],[CoapplicantIncome]]</f>
        <v>15142</v>
      </c>
      <c r="N206" s="1" t="s">
        <v>26</v>
      </c>
      <c r="O206" s="1" t="str">
        <f>IF(Table1[[#This Row],[Total_Income]]&lt;3000,"Low",IF(Table1[[#This Row],[Total_Income]]&lt;7000,"Medium","High"))</f>
        <v>High</v>
      </c>
      <c r="P206" s="1" t="str">
        <f t="shared" si="9"/>
        <v>Rejected</v>
      </c>
      <c r="Q206" s="1" t="str">
        <f t="shared" si="10"/>
        <v>High Risk</v>
      </c>
      <c r="R206" s="2">
        <f t="shared" si="11"/>
        <v>1416.165627587196</v>
      </c>
    </row>
    <row r="207" spans="1:18" s="1" customFormat="1" ht="11.5" x14ac:dyDescent="0.25">
      <c r="A207" s="1" t="s">
        <v>238</v>
      </c>
      <c r="B207" s="1" t="s">
        <v>1238</v>
      </c>
      <c r="C207" s="1" t="s">
        <v>29</v>
      </c>
      <c r="D207" s="1" t="s">
        <v>16</v>
      </c>
      <c r="E207" s="1" t="s">
        <v>17</v>
      </c>
      <c r="F207" s="1" t="s">
        <v>22</v>
      </c>
      <c r="G207" s="1">
        <v>12415</v>
      </c>
      <c r="H207" s="1">
        <v>8229</v>
      </c>
      <c r="I207" s="1">
        <v>555</v>
      </c>
      <c r="J207" s="1">
        <v>360</v>
      </c>
      <c r="K207" s="1">
        <v>1</v>
      </c>
      <c r="L207" s="1" t="s">
        <v>19</v>
      </c>
      <c r="M207" s="1">
        <f>Table1[[#This Row],[ApplicantIncome]]+Table1[[#This Row],[CoapplicantIncome]]</f>
        <v>20644</v>
      </c>
      <c r="N207" s="1" t="s">
        <v>26</v>
      </c>
      <c r="O207" s="1" t="str">
        <f>IF(Table1[[#This Row],[Total_Income]]&lt;3000,"Low",IF(Table1[[#This Row],[Total_Income]]&lt;7000,"Medium","High"))</f>
        <v>High</v>
      </c>
      <c r="P207" s="1" t="str">
        <f t="shared" si="9"/>
        <v>Rejected</v>
      </c>
      <c r="Q207" s="1" t="str">
        <f t="shared" si="10"/>
        <v>Low Risk</v>
      </c>
      <c r="R207" s="2">
        <f t="shared" si="11"/>
        <v>4072.3933850305384</v>
      </c>
    </row>
    <row r="208" spans="1:18" s="1" customFormat="1" ht="11.5" x14ac:dyDescent="0.25">
      <c r="A208" s="1" t="s">
        <v>239</v>
      </c>
      <c r="B208" s="1" t="s">
        <v>52</v>
      </c>
      <c r="C208" s="1" t="s">
        <v>22</v>
      </c>
      <c r="D208" s="1">
        <v>0</v>
      </c>
      <c r="E208" s="1" t="s">
        <v>25</v>
      </c>
      <c r="F208" s="1" t="s">
        <v>29</v>
      </c>
      <c r="G208" s="1">
        <v>19113</v>
      </c>
      <c r="H208" s="1">
        <v>1039</v>
      </c>
      <c r="I208" s="1">
        <v>331</v>
      </c>
      <c r="J208" s="1">
        <v>360</v>
      </c>
      <c r="K208" s="1">
        <v>0</v>
      </c>
      <c r="L208" s="1" t="s">
        <v>30</v>
      </c>
      <c r="M208" s="1">
        <f>Table1[[#This Row],[ApplicantIncome]]+Table1[[#This Row],[CoapplicantIncome]]</f>
        <v>20152</v>
      </c>
      <c r="N208" s="1" t="s">
        <v>20</v>
      </c>
      <c r="O208" s="1" t="str">
        <f>IF(Table1[[#This Row],[Total_Income]]&lt;3000,"Low",IF(Table1[[#This Row],[Total_Income]]&lt;7000,"Medium","High"))</f>
        <v>High</v>
      </c>
      <c r="P208" s="1" t="str">
        <f t="shared" si="9"/>
        <v>Approved</v>
      </c>
      <c r="Q208" s="1" t="str">
        <f t="shared" si="10"/>
        <v>High Risk</v>
      </c>
      <c r="R208" s="2">
        <f t="shared" si="11"/>
        <v>2428.7607395407354</v>
      </c>
    </row>
    <row r="209" spans="1:18" s="1" customFormat="1" ht="11.5" x14ac:dyDescent="0.25">
      <c r="A209" s="1" t="s">
        <v>240</v>
      </c>
      <c r="B209" s="1" t="s">
        <v>28</v>
      </c>
      <c r="C209" s="1" t="s">
        <v>22</v>
      </c>
      <c r="D209" s="1">
        <v>2</v>
      </c>
      <c r="E209" s="1" t="s">
        <v>25</v>
      </c>
      <c r="F209" s="1" t="s">
        <v>22</v>
      </c>
      <c r="G209" s="1">
        <v>9091</v>
      </c>
      <c r="H209" s="1">
        <v>4958</v>
      </c>
      <c r="I209" s="1">
        <v>128</v>
      </c>
      <c r="J209" s="1">
        <v>120</v>
      </c>
      <c r="K209" s="1">
        <v>0</v>
      </c>
      <c r="L209" s="1" t="s">
        <v>30</v>
      </c>
      <c r="M209" s="1">
        <f>Table1[[#This Row],[ApplicantIncome]]+Table1[[#This Row],[CoapplicantIncome]]</f>
        <v>14049</v>
      </c>
      <c r="N209" s="1" t="s">
        <v>20</v>
      </c>
      <c r="O209" s="1" t="str">
        <f>IF(Table1[[#This Row],[Total_Income]]&lt;3000,"Low",IF(Table1[[#This Row],[Total_Income]]&lt;7000,"Medium","High"))</f>
        <v>High</v>
      </c>
      <c r="P209" s="1" t="str">
        <f t="shared" si="9"/>
        <v>Approved</v>
      </c>
      <c r="Q209" s="1" t="str">
        <f t="shared" si="10"/>
        <v>High Risk</v>
      </c>
      <c r="R209" s="2">
        <f t="shared" si="11"/>
        <v>1552.9932077485687</v>
      </c>
    </row>
    <row r="210" spans="1:18" s="1" customFormat="1" ht="11.5" x14ac:dyDescent="0.25">
      <c r="A210" s="1" t="s">
        <v>241</v>
      </c>
      <c r="B210" s="1" t="s">
        <v>1238</v>
      </c>
      <c r="C210" s="1" t="s">
        <v>29</v>
      </c>
      <c r="D210" s="1">
        <v>1</v>
      </c>
      <c r="E210" s="1" t="s">
        <v>17</v>
      </c>
      <c r="F210" s="1" t="s">
        <v>22</v>
      </c>
      <c r="G210" s="1">
        <v>9035</v>
      </c>
      <c r="H210" s="1">
        <v>3428</v>
      </c>
      <c r="I210" s="1">
        <v>87</v>
      </c>
      <c r="J210" s="1">
        <v>360</v>
      </c>
      <c r="K210" s="1">
        <v>1</v>
      </c>
      <c r="L210" s="1" t="s">
        <v>41</v>
      </c>
      <c r="M210" s="1">
        <f>Table1[[#This Row],[ApplicantIncome]]+Table1[[#This Row],[CoapplicantIncome]]</f>
        <v>12463</v>
      </c>
      <c r="N210" s="1" t="s">
        <v>20</v>
      </c>
      <c r="O210" s="1" t="str">
        <f>IF(Table1[[#This Row],[Total_Income]]&lt;3000,"Low",IF(Table1[[#This Row],[Total_Income]]&lt;7000,"Medium","High"))</f>
        <v>High</v>
      </c>
      <c r="P210" s="1" t="str">
        <f t="shared" si="9"/>
        <v>Approved</v>
      </c>
      <c r="Q210" s="1" t="str">
        <f t="shared" si="10"/>
        <v>Low Risk</v>
      </c>
      <c r="R210" s="2">
        <f t="shared" si="11"/>
        <v>638.37517927505735</v>
      </c>
    </row>
    <row r="211" spans="1:18" s="1" customFormat="1" ht="11.5" x14ac:dyDescent="0.25">
      <c r="A211" s="1" t="s">
        <v>242</v>
      </c>
      <c r="B211" s="1" t="s">
        <v>28</v>
      </c>
      <c r="C211" s="1" t="s">
        <v>29</v>
      </c>
      <c r="D211" s="1">
        <v>1</v>
      </c>
      <c r="E211" s="1" t="s">
        <v>17</v>
      </c>
      <c r="F211" s="1" t="s">
        <v>22</v>
      </c>
      <c r="G211" s="1">
        <v>17039</v>
      </c>
      <c r="H211" s="1">
        <v>7347</v>
      </c>
      <c r="I211" s="1">
        <v>342</v>
      </c>
      <c r="J211" s="1">
        <v>360</v>
      </c>
      <c r="K211" s="1">
        <v>0</v>
      </c>
      <c r="L211" s="1" t="s">
        <v>41</v>
      </c>
      <c r="M211" s="1">
        <f>Table1[[#This Row],[ApplicantIncome]]+Table1[[#This Row],[CoapplicantIncome]]</f>
        <v>24386</v>
      </c>
      <c r="N211" s="1" t="s">
        <v>26</v>
      </c>
      <c r="O211" s="1" t="str">
        <f>IF(Table1[[#This Row],[Total_Income]]&lt;3000,"Low",IF(Table1[[#This Row],[Total_Income]]&lt;7000,"Medium","High"))</f>
        <v>High</v>
      </c>
      <c r="P211" s="1" t="str">
        <f t="shared" si="9"/>
        <v>Rejected</v>
      </c>
      <c r="Q211" s="1" t="str">
        <f t="shared" si="10"/>
        <v>High Risk</v>
      </c>
      <c r="R211" s="2">
        <f t="shared" si="11"/>
        <v>2509.4748426674664</v>
      </c>
    </row>
    <row r="212" spans="1:18" s="1" customFormat="1" ht="11.5" x14ac:dyDescent="0.25">
      <c r="A212" s="1" t="s">
        <v>243</v>
      </c>
      <c r="B212" s="1" t="s">
        <v>28</v>
      </c>
      <c r="C212" s="1" t="s">
        <v>22</v>
      </c>
      <c r="D212" s="1">
        <v>1</v>
      </c>
      <c r="E212" s="1" t="s">
        <v>17</v>
      </c>
      <c r="F212" s="1" t="s">
        <v>29</v>
      </c>
      <c r="G212" s="1">
        <v>5045</v>
      </c>
      <c r="H212" s="1">
        <v>4205</v>
      </c>
      <c r="I212" s="1">
        <v>536</v>
      </c>
      <c r="J212" s="1">
        <v>120</v>
      </c>
      <c r="K212" s="1">
        <v>0</v>
      </c>
      <c r="L212" s="1" t="s">
        <v>41</v>
      </c>
      <c r="M212" s="1">
        <f>Table1[[#This Row],[ApplicantIncome]]+Table1[[#This Row],[CoapplicantIncome]]</f>
        <v>9250</v>
      </c>
      <c r="N212" s="1" t="s">
        <v>26</v>
      </c>
      <c r="O212" s="1" t="str">
        <f>IF(Table1[[#This Row],[Total_Income]]&lt;3000,"Low",IF(Table1[[#This Row],[Total_Income]]&lt;7000,"Medium","High"))</f>
        <v>High</v>
      </c>
      <c r="P212" s="1" t="str">
        <f t="shared" si="9"/>
        <v>Rejected</v>
      </c>
      <c r="Q212" s="1" t="str">
        <f t="shared" si="10"/>
        <v>High Risk</v>
      </c>
      <c r="R212" s="2">
        <f t="shared" si="11"/>
        <v>6503.1590574471311</v>
      </c>
    </row>
    <row r="213" spans="1:18" s="1" customFormat="1" ht="11.5" x14ac:dyDescent="0.25">
      <c r="A213" s="1" t="s">
        <v>244</v>
      </c>
      <c r="B213" s="1" t="s">
        <v>52</v>
      </c>
      <c r="C213" s="1" t="s">
        <v>22</v>
      </c>
      <c r="D213" s="1" t="s">
        <v>16</v>
      </c>
      <c r="E213" s="1" t="s">
        <v>17</v>
      </c>
      <c r="F213" s="1" t="s">
        <v>22</v>
      </c>
      <c r="G213" s="1">
        <v>16909</v>
      </c>
      <c r="H213" s="1">
        <v>2798</v>
      </c>
      <c r="I213" s="1">
        <v>454</v>
      </c>
      <c r="J213" s="1">
        <v>360</v>
      </c>
      <c r="K213" s="1">
        <v>1</v>
      </c>
      <c r="L213" s="1" t="s">
        <v>41</v>
      </c>
      <c r="M213" s="1">
        <f>Table1[[#This Row],[ApplicantIncome]]+Table1[[#This Row],[CoapplicantIncome]]</f>
        <v>19707</v>
      </c>
      <c r="N213" s="1" t="s">
        <v>26</v>
      </c>
      <c r="O213" s="1" t="str">
        <f>IF(Table1[[#This Row],[Total_Income]]&lt;3000,"Low",IF(Table1[[#This Row],[Total_Income]]&lt;7000,"Medium","High"))</f>
        <v>High</v>
      </c>
      <c r="P213" s="1" t="str">
        <f t="shared" si="9"/>
        <v>Rejected</v>
      </c>
      <c r="Q213" s="1" t="str">
        <f t="shared" si="10"/>
        <v>Low Risk</v>
      </c>
      <c r="R213" s="2">
        <f t="shared" si="11"/>
        <v>3331.2911654123677</v>
      </c>
    </row>
    <row r="214" spans="1:18" s="1" customFormat="1" ht="11.5" x14ac:dyDescent="0.25">
      <c r="A214" s="1" t="s">
        <v>245</v>
      </c>
      <c r="B214" s="1" t="s">
        <v>28</v>
      </c>
      <c r="C214" s="1" t="s">
        <v>22</v>
      </c>
      <c r="D214" s="1">
        <v>1</v>
      </c>
      <c r="E214" s="1" t="s">
        <v>17</v>
      </c>
      <c r="F214" s="1" t="s">
        <v>22</v>
      </c>
      <c r="G214" s="1">
        <v>10189</v>
      </c>
      <c r="H214" s="1">
        <v>617</v>
      </c>
      <c r="I214" s="1">
        <v>438</v>
      </c>
      <c r="J214" s="1">
        <v>360</v>
      </c>
      <c r="K214" s="1">
        <v>1</v>
      </c>
      <c r="L214" s="1" t="s">
        <v>19</v>
      </c>
      <c r="M214" s="1">
        <f>Table1[[#This Row],[ApplicantIncome]]+Table1[[#This Row],[CoapplicantIncome]]</f>
        <v>10806</v>
      </c>
      <c r="N214" s="1" t="s">
        <v>20</v>
      </c>
      <c r="O214" s="1" t="str">
        <f>IF(Table1[[#This Row],[Total_Income]]&lt;3000,"Low",IF(Table1[[#This Row],[Total_Income]]&lt;7000,"Medium","High"))</f>
        <v>High</v>
      </c>
      <c r="P214" s="1" t="str">
        <f t="shared" si="9"/>
        <v>Approved</v>
      </c>
      <c r="Q214" s="1" t="str">
        <f t="shared" si="10"/>
        <v>Low Risk</v>
      </c>
      <c r="R214" s="2">
        <f t="shared" si="11"/>
        <v>3213.8888335916677</v>
      </c>
    </row>
    <row r="215" spans="1:18" s="1" customFormat="1" ht="11.5" x14ac:dyDescent="0.25">
      <c r="A215" s="1" t="s">
        <v>246</v>
      </c>
      <c r="B215" s="1" t="s">
        <v>52</v>
      </c>
      <c r="C215" s="1" t="s">
        <v>22</v>
      </c>
      <c r="D215" s="1">
        <v>1</v>
      </c>
      <c r="E215" s="1" t="s">
        <v>17</v>
      </c>
      <c r="F215" s="1" t="s">
        <v>22</v>
      </c>
      <c r="G215" s="1">
        <v>12204</v>
      </c>
      <c r="H215" s="1">
        <v>36</v>
      </c>
      <c r="I215" s="1">
        <v>519</v>
      </c>
      <c r="J215" s="1">
        <v>120</v>
      </c>
      <c r="K215" s="1">
        <v>1</v>
      </c>
      <c r="L215" s="1" t="s">
        <v>30</v>
      </c>
      <c r="M215" s="1">
        <f>Table1[[#This Row],[ApplicantIncome]]+Table1[[#This Row],[CoapplicantIncome]]</f>
        <v>12240</v>
      </c>
      <c r="N215" s="1" t="s">
        <v>26</v>
      </c>
      <c r="O215" s="1" t="str">
        <f>IF(Table1[[#This Row],[Total_Income]]&lt;3000,"Low",IF(Table1[[#This Row],[Total_Income]]&lt;7000,"Medium","High"))</f>
        <v>High</v>
      </c>
      <c r="P215" s="1" t="str">
        <f t="shared" si="9"/>
        <v>Rejected</v>
      </c>
      <c r="Q215" s="1" t="str">
        <f t="shared" si="10"/>
        <v>Low Risk</v>
      </c>
      <c r="R215" s="2">
        <f t="shared" si="11"/>
        <v>6296.9021470430243</v>
      </c>
    </row>
    <row r="216" spans="1:18" s="1" customFormat="1" ht="11.5" x14ac:dyDescent="0.25">
      <c r="A216" s="1" t="s">
        <v>247</v>
      </c>
      <c r="B216" s="1" t="s">
        <v>28</v>
      </c>
      <c r="C216" s="1" t="s">
        <v>22</v>
      </c>
      <c r="D216" s="1" t="s">
        <v>16</v>
      </c>
      <c r="E216" s="1" t="s">
        <v>17</v>
      </c>
      <c r="F216" s="1" t="s">
        <v>29</v>
      </c>
      <c r="G216" s="1">
        <v>5281</v>
      </c>
      <c r="H216" s="1">
        <v>8156</v>
      </c>
      <c r="I216" s="1">
        <v>559</v>
      </c>
      <c r="J216" s="1">
        <v>360</v>
      </c>
      <c r="K216" s="1">
        <v>1</v>
      </c>
      <c r="L216" s="1" t="s">
        <v>41</v>
      </c>
      <c r="M216" s="1">
        <f>Table1[[#This Row],[ApplicantIncome]]+Table1[[#This Row],[CoapplicantIncome]]</f>
        <v>13437</v>
      </c>
      <c r="N216" s="1" t="s">
        <v>26</v>
      </c>
      <c r="O216" s="1" t="str">
        <f>IF(Table1[[#This Row],[Total_Income]]&lt;3000,"Low",IF(Table1[[#This Row],[Total_Income]]&lt;7000,"Medium","High"))</f>
        <v>High</v>
      </c>
      <c r="P216" s="1" t="str">
        <f t="shared" si="9"/>
        <v>Rejected</v>
      </c>
      <c r="Q216" s="1" t="str">
        <f t="shared" si="10"/>
        <v>Low Risk</v>
      </c>
      <c r="R216" s="2">
        <f t="shared" si="11"/>
        <v>4101.7439679857125</v>
      </c>
    </row>
    <row r="217" spans="1:18" s="1" customFormat="1" ht="11.5" x14ac:dyDescent="0.25">
      <c r="A217" s="1" t="s">
        <v>248</v>
      </c>
      <c r="B217" s="1" t="s">
        <v>28</v>
      </c>
      <c r="C217" s="1" t="s">
        <v>29</v>
      </c>
      <c r="D217" s="1" t="s">
        <v>16</v>
      </c>
      <c r="E217" s="1" t="s">
        <v>17</v>
      </c>
      <c r="F217" s="1" t="s">
        <v>22</v>
      </c>
      <c r="G217" s="1">
        <v>15705</v>
      </c>
      <c r="H217" s="1">
        <v>9905</v>
      </c>
      <c r="I217" s="1">
        <v>258</v>
      </c>
      <c r="J217" s="1">
        <v>180</v>
      </c>
      <c r="K217" s="1">
        <v>0</v>
      </c>
      <c r="L217" s="1" t="s">
        <v>41</v>
      </c>
      <c r="M217" s="1">
        <f>Table1[[#This Row],[ApplicantIncome]]+Table1[[#This Row],[CoapplicantIncome]]</f>
        <v>25610</v>
      </c>
      <c r="N217" s="1" t="s">
        <v>26</v>
      </c>
      <c r="O217" s="1" t="str">
        <f>IF(Table1[[#This Row],[Total_Income]]&lt;3000,"Low",IF(Table1[[#This Row],[Total_Income]]&lt;7000,"Medium","High"))</f>
        <v>High</v>
      </c>
      <c r="P217" s="1" t="str">
        <f t="shared" si="9"/>
        <v>Rejected</v>
      </c>
      <c r="Q217" s="1" t="str">
        <f t="shared" si="10"/>
        <v>High Risk</v>
      </c>
      <c r="R217" s="2">
        <f t="shared" si="11"/>
        <v>2465.5823775723065</v>
      </c>
    </row>
    <row r="218" spans="1:18" s="1" customFormat="1" ht="11.5" x14ac:dyDescent="0.25">
      <c r="A218" s="1" t="s">
        <v>249</v>
      </c>
      <c r="B218" s="1" t="s">
        <v>28</v>
      </c>
      <c r="C218" s="1" t="s">
        <v>22</v>
      </c>
      <c r="D218" s="1">
        <v>0</v>
      </c>
      <c r="E218" s="1" t="s">
        <v>25</v>
      </c>
      <c r="F218" s="1" t="s">
        <v>22</v>
      </c>
      <c r="G218" s="1">
        <v>9178</v>
      </c>
      <c r="H218" s="1">
        <v>5210</v>
      </c>
      <c r="I218" s="1">
        <v>617</v>
      </c>
      <c r="J218" s="1">
        <v>360</v>
      </c>
      <c r="K218" s="1">
        <v>1</v>
      </c>
      <c r="L218" s="1" t="s">
        <v>30</v>
      </c>
      <c r="M218" s="1">
        <f>Table1[[#This Row],[ApplicantIncome]]+Table1[[#This Row],[CoapplicantIncome]]</f>
        <v>14388</v>
      </c>
      <c r="N218" s="1" t="s">
        <v>20</v>
      </c>
      <c r="O218" s="1" t="str">
        <f>IF(Table1[[#This Row],[Total_Income]]&lt;3000,"Low",IF(Table1[[#This Row],[Total_Income]]&lt;7000,"Medium","High"))</f>
        <v>High</v>
      </c>
      <c r="P218" s="1" t="str">
        <f t="shared" si="9"/>
        <v>Approved</v>
      </c>
      <c r="Q218" s="1" t="str">
        <f t="shared" si="10"/>
        <v>Low Risk</v>
      </c>
      <c r="R218" s="2">
        <f t="shared" si="11"/>
        <v>4527.3274208357516</v>
      </c>
    </row>
    <row r="219" spans="1:18" s="1" customFormat="1" ht="11.5" x14ac:dyDescent="0.25">
      <c r="A219" s="1" t="s">
        <v>250</v>
      </c>
      <c r="B219" s="1" t="s">
        <v>1238</v>
      </c>
      <c r="C219" s="1" t="s">
        <v>29</v>
      </c>
      <c r="D219" s="1">
        <v>2</v>
      </c>
      <c r="E219" s="1" t="s">
        <v>25</v>
      </c>
      <c r="F219" s="1" t="s">
        <v>22</v>
      </c>
      <c r="G219" s="1">
        <v>8716</v>
      </c>
      <c r="H219" s="1">
        <v>2913</v>
      </c>
      <c r="I219" s="1">
        <v>606</v>
      </c>
      <c r="J219" s="1">
        <v>360</v>
      </c>
      <c r="K219" s="1">
        <v>0</v>
      </c>
      <c r="L219" s="1" t="s">
        <v>19</v>
      </c>
      <c r="M219" s="1">
        <f>Table1[[#This Row],[ApplicantIncome]]+Table1[[#This Row],[CoapplicantIncome]]</f>
        <v>11629</v>
      </c>
      <c r="N219" s="1" t="s">
        <v>20</v>
      </c>
      <c r="O219" s="1" t="str">
        <f>IF(Table1[[#This Row],[Total_Income]]&lt;3000,"Low",IF(Table1[[#This Row],[Total_Income]]&lt;7000,"Medium","High"))</f>
        <v>High</v>
      </c>
      <c r="P219" s="1" t="str">
        <f t="shared" si="9"/>
        <v>Approved</v>
      </c>
      <c r="Q219" s="1" t="str">
        <f t="shared" si="10"/>
        <v>High Risk</v>
      </c>
      <c r="R219" s="2">
        <f t="shared" si="11"/>
        <v>4446.6133177090196</v>
      </c>
    </row>
    <row r="220" spans="1:18" s="1" customFormat="1" ht="11.5" x14ac:dyDescent="0.25">
      <c r="A220" s="1" t="s">
        <v>251</v>
      </c>
      <c r="B220" s="1" t="s">
        <v>52</v>
      </c>
      <c r="C220" s="1" t="s">
        <v>22</v>
      </c>
      <c r="D220" s="1">
        <v>0</v>
      </c>
      <c r="E220" s="1" t="s">
        <v>25</v>
      </c>
      <c r="F220" s="1" t="s">
        <v>22</v>
      </c>
      <c r="G220" s="1">
        <v>7495</v>
      </c>
      <c r="H220" s="1">
        <v>2651</v>
      </c>
      <c r="I220" s="1">
        <v>524</v>
      </c>
      <c r="J220" s="1">
        <v>180</v>
      </c>
      <c r="K220" s="1">
        <v>0</v>
      </c>
      <c r="L220" s="1" t="s">
        <v>30</v>
      </c>
      <c r="M220" s="1">
        <f>Table1[[#This Row],[ApplicantIncome]]+Table1[[#This Row],[CoapplicantIncome]]</f>
        <v>10146</v>
      </c>
      <c r="N220" s="1" t="s">
        <v>26</v>
      </c>
      <c r="O220" s="1" t="str">
        <f>IF(Table1[[#This Row],[Total_Income]]&lt;3000,"Low",IF(Table1[[#This Row],[Total_Income]]&lt;7000,"Medium","High"))</f>
        <v>High</v>
      </c>
      <c r="P220" s="1" t="str">
        <f t="shared" si="9"/>
        <v>Rejected</v>
      </c>
      <c r="Q220" s="1" t="str">
        <f t="shared" si="10"/>
        <v>High Risk</v>
      </c>
      <c r="R220" s="2">
        <f t="shared" si="11"/>
        <v>5007.6169218910418</v>
      </c>
    </row>
    <row r="221" spans="1:18" s="1" customFormat="1" ht="11.5" x14ac:dyDescent="0.25">
      <c r="A221" s="1" t="s">
        <v>252</v>
      </c>
      <c r="B221" s="1" t="s">
        <v>52</v>
      </c>
      <c r="C221" s="1" t="s">
        <v>29</v>
      </c>
      <c r="D221" s="1">
        <v>1</v>
      </c>
      <c r="E221" s="1" t="s">
        <v>25</v>
      </c>
      <c r="F221" s="1" t="s">
        <v>22</v>
      </c>
      <c r="G221" s="1">
        <v>6172</v>
      </c>
      <c r="H221" s="1">
        <v>3244</v>
      </c>
      <c r="I221" s="1">
        <v>272</v>
      </c>
      <c r="J221" s="1">
        <v>120</v>
      </c>
      <c r="K221" s="1">
        <v>1</v>
      </c>
      <c r="L221" s="1" t="s">
        <v>19</v>
      </c>
      <c r="M221" s="1">
        <f>Table1[[#This Row],[ApplicantIncome]]+Table1[[#This Row],[CoapplicantIncome]]</f>
        <v>9416</v>
      </c>
      <c r="N221" s="1" t="s">
        <v>20</v>
      </c>
      <c r="O221" s="1" t="str">
        <f>IF(Table1[[#This Row],[Total_Income]]&lt;3000,"Low",IF(Table1[[#This Row],[Total_Income]]&lt;7000,"Medium","High"))</f>
        <v>High</v>
      </c>
      <c r="P221" s="1" t="str">
        <f t="shared" si="9"/>
        <v>Approved</v>
      </c>
      <c r="Q221" s="1" t="str">
        <f t="shared" si="10"/>
        <v>Low Risk</v>
      </c>
      <c r="R221" s="2">
        <f t="shared" si="11"/>
        <v>3300.1105664657084</v>
      </c>
    </row>
    <row r="222" spans="1:18" s="1" customFormat="1" ht="11.5" x14ac:dyDescent="0.25">
      <c r="A222" s="1" t="s">
        <v>253</v>
      </c>
      <c r="B222" s="1" t="s">
        <v>28</v>
      </c>
      <c r="C222" s="1" t="s">
        <v>22</v>
      </c>
      <c r="D222" s="1">
        <v>2</v>
      </c>
      <c r="E222" s="1" t="s">
        <v>25</v>
      </c>
      <c r="F222" s="1" t="s">
        <v>29</v>
      </c>
      <c r="G222" s="1">
        <v>7852</v>
      </c>
      <c r="H222" s="1">
        <v>4800</v>
      </c>
      <c r="I222" s="1">
        <v>192</v>
      </c>
      <c r="J222" s="1">
        <v>360</v>
      </c>
      <c r="K222" s="1">
        <v>1</v>
      </c>
      <c r="L222" s="1" t="s">
        <v>19</v>
      </c>
      <c r="M222" s="1">
        <f>Table1[[#This Row],[ApplicantIncome]]+Table1[[#This Row],[CoapplicantIncome]]</f>
        <v>12652</v>
      </c>
      <c r="N222" s="1" t="s">
        <v>26</v>
      </c>
      <c r="O222" s="1" t="str">
        <f>IF(Table1[[#This Row],[Total_Income]]&lt;3000,"Low",IF(Table1[[#This Row],[Total_Income]]&lt;7000,"Medium","High"))</f>
        <v>High</v>
      </c>
      <c r="P222" s="1" t="str">
        <f t="shared" si="9"/>
        <v>Rejected</v>
      </c>
      <c r="Q222" s="1" t="str">
        <f t="shared" si="10"/>
        <v>Low Risk</v>
      </c>
      <c r="R222" s="2">
        <f t="shared" si="11"/>
        <v>1408.8279818484023</v>
      </c>
    </row>
    <row r="223" spans="1:18" s="1" customFormat="1" ht="11.5" x14ac:dyDescent="0.25">
      <c r="A223" s="1" t="s">
        <v>254</v>
      </c>
      <c r="B223" s="1" t="s">
        <v>1238</v>
      </c>
      <c r="C223" s="1" t="s">
        <v>22</v>
      </c>
      <c r="D223" s="1">
        <v>1</v>
      </c>
      <c r="E223" s="1" t="s">
        <v>25</v>
      </c>
      <c r="F223" s="1" t="s">
        <v>29</v>
      </c>
      <c r="G223" s="1">
        <v>7542</v>
      </c>
      <c r="H223" s="1">
        <v>5879</v>
      </c>
      <c r="I223" s="1">
        <v>191</v>
      </c>
      <c r="J223" s="1">
        <v>360</v>
      </c>
      <c r="K223" s="1">
        <v>0</v>
      </c>
      <c r="L223" s="1" t="s">
        <v>41</v>
      </c>
      <c r="M223" s="1">
        <f>Table1[[#This Row],[ApplicantIncome]]+Table1[[#This Row],[CoapplicantIncome]]</f>
        <v>13421</v>
      </c>
      <c r="N223" s="1" t="s">
        <v>20</v>
      </c>
      <c r="O223" s="1" t="str">
        <f>IF(Table1[[#This Row],[Total_Income]]&lt;3000,"Low",IF(Table1[[#This Row],[Total_Income]]&lt;7000,"Medium","High"))</f>
        <v>High</v>
      </c>
      <c r="P223" s="1" t="str">
        <f t="shared" si="9"/>
        <v>Approved</v>
      </c>
      <c r="Q223" s="1" t="str">
        <f t="shared" si="10"/>
        <v>High Risk</v>
      </c>
      <c r="R223" s="2">
        <f t="shared" si="11"/>
        <v>1401.4903361096085</v>
      </c>
    </row>
    <row r="224" spans="1:18" s="1" customFormat="1" ht="11.5" x14ac:dyDescent="0.25">
      <c r="A224" s="1" t="s">
        <v>255</v>
      </c>
      <c r="B224" s="1" t="s">
        <v>28</v>
      </c>
      <c r="C224" s="1" t="s">
        <v>29</v>
      </c>
      <c r="D224" s="1">
        <v>0</v>
      </c>
      <c r="E224" s="1" t="s">
        <v>25</v>
      </c>
      <c r="F224" s="1" t="s">
        <v>22</v>
      </c>
      <c r="G224" s="1">
        <v>19441</v>
      </c>
      <c r="H224" s="1">
        <v>9973</v>
      </c>
      <c r="I224" s="1">
        <v>490</v>
      </c>
      <c r="J224" s="1">
        <v>180</v>
      </c>
      <c r="K224" s="1">
        <v>0</v>
      </c>
      <c r="L224" s="1" t="s">
        <v>19</v>
      </c>
      <c r="M224" s="1">
        <f>Table1[[#This Row],[ApplicantIncome]]+Table1[[#This Row],[CoapplicantIncome]]</f>
        <v>29414</v>
      </c>
      <c r="N224" s="1" t="s">
        <v>20</v>
      </c>
      <c r="O224" s="1" t="str">
        <f>IF(Table1[[#This Row],[Total_Income]]&lt;3000,"Low",IF(Table1[[#This Row],[Total_Income]]&lt;7000,"Medium","High"))</f>
        <v>High</v>
      </c>
      <c r="P224" s="1" t="str">
        <f t="shared" si="9"/>
        <v>Approved</v>
      </c>
      <c r="Q224" s="1" t="str">
        <f t="shared" si="10"/>
        <v>High Risk</v>
      </c>
      <c r="R224" s="2">
        <f t="shared" si="11"/>
        <v>4682.6952132187216</v>
      </c>
    </row>
    <row r="225" spans="1:18" s="1" customFormat="1" ht="11.5" x14ac:dyDescent="0.25">
      <c r="A225" s="1" t="s">
        <v>256</v>
      </c>
      <c r="B225" s="1" t="s">
        <v>28</v>
      </c>
      <c r="C225" s="1" t="s">
        <v>22</v>
      </c>
      <c r="D225" s="1" t="s">
        <v>16</v>
      </c>
      <c r="E225" s="1" t="s">
        <v>25</v>
      </c>
      <c r="F225" s="1" t="s">
        <v>22</v>
      </c>
      <c r="G225" s="1">
        <v>17613</v>
      </c>
      <c r="H225" s="1">
        <v>1685</v>
      </c>
      <c r="I225" s="1">
        <v>486</v>
      </c>
      <c r="J225" s="1">
        <v>120</v>
      </c>
      <c r="K225" s="1">
        <v>0</v>
      </c>
      <c r="L225" s="1" t="s">
        <v>19</v>
      </c>
      <c r="M225" s="1">
        <f>Table1[[#This Row],[ApplicantIncome]]+Table1[[#This Row],[CoapplicantIncome]]</f>
        <v>19298</v>
      </c>
      <c r="N225" s="1" t="s">
        <v>20</v>
      </c>
      <c r="O225" s="1" t="str">
        <f>IF(Table1[[#This Row],[Total_Income]]&lt;3000,"Low",IF(Table1[[#This Row],[Total_Income]]&lt;7000,"Medium","High"))</f>
        <v>High</v>
      </c>
      <c r="P225" s="1" t="str">
        <f t="shared" si="9"/>
        <v>Approved</v>
      </c>
      <c r="Q225" s="1" t="str">
        <f t="shared" si="10"/>
        <v>High Risk</v>
      </c>
      <c r="R225" s="2">
        <f t="shared" si="11"/>
        <v>5896.5210856703461</v>
      </c>
    </row>
    <row r="226" spans="1:18" s="1" customFormat="1" ht="11.5" x14ac:dyDescent="0.25">
      <c r="A226" s="1" t="s">
        <v>257</v>
      </c>
      <c r="B226" s="1" t="s">
        <v>52</v>
      </c>
      <c r="C226" s="1" t="s">
        <v>22</v>
      </c>
      <c r="D226" s="1" t="s">
        <v>16</v>
      </c>
      <c r="E226" s="1" t="s">
        <v>25</v>
      </c>
      <c r="F226" s="1" t="s">
        <v>22</v>
      </c>
      <c r="G226" s="1">
        <v>19006</v>
      </c>
      <c r="H226" s="1">
        <v>7422</v>
      </c>
      <c r="I226" s="1">
        <v>251</v>
      </c>
      <c r="J226" s="1">
        <v>180</v>
      </c>
      <c r="K226" s="1">
        <v>1</v>
      </c>
      <c r="L226" s="1" t="s">
        <v>19</v>
      </c>
      <c r="M226" s="1">
        <f>Table1[[#This Row],[ApplicantIncome]]+Table1[[#This Row],[CoapplicantIncome]]</f>
        <v>26428</v>
      </c>
      <c r="N226" s="1" t="s">
        <v>20</v>
      </c>
      <c r="O226" s="1" t="str">
        <f>IF(Table1[[#This Row],[Total_Income]]&lt;3000,"Low",IF(Table1[[#This Row],[Total_Income]]&lt;7000,"Medium","High"))</f>
        <v>High</v>
      </c>
      <c r="P226" s="1" t="str">
        <f t="shared" si="9"/>
        <v>Approved</v>
      </c>
      <c r="Q226" s="1" t="str">
        <f t="shared" si="10"/>
        <v>Low Risk</v>
      </c>
      <c r="R226" s="2">
        <f t="shared" si="11"/>
        <v>2398.6867316691819</v>
      </c>
    </row>
    <row r="227" spans="1:18" s="1" customFormat="1" ht="11.5" x14ac:dyDescent="0.25">
      <c r="A227" s="1" t="s">
        <v>258</v>
      </c>
      <c r="B227" s="1" t="s">
        <v>1238</v>
      </c>
      <c r="C227" s="1" t="s">
        <v>22</v>
      </c>
      <c r="D227" s="1">
        <v>2</v>
      </c>
      <c r="E227" s="1" t="s">
        <v>25</v>
      </c>
      <c r="F227" s="1" t="s">
        <v>29</v>
      </c>
      <c r="G227" s="1">
        <v>10115</v>
      </c>
      <c r="H227" s="1">
        <v>6607</v>
      </c>
      <c r="I227" s="1">
        <v>530</v>
      </c>
      <c r="J227" s="1">
        <v>180</v>
      </c>
      <c r="K227" s="1">
        <v>0</v>
      </c>
      <c r="L227" s="1" t="s">
        <v>41</v>
      </c>
      <c r="M227" s="1">
        <f>Table1[[#This Row],[ApplicantIncome]]+Table1[[#This Row],[CoapplicantIncome]]</f>
        <v>16722</v>
      </c>
      <c r="N227" s="1" t="s">
        <v>20</v>
      </c>
      <c r="O227" s="1" t="str">
        <f>IF(Table1[[#This Row],[Total_Income]]&lt;3000,"Low",IF(Table1[[#This Row],[Total_Income]]&lt;7000,"Medium","High"))</f>
        <v>High</v>
      </c>
      <c r="P227" s="1" t="str">
        <f t="shared" si="9"/>
        <v>Approved</v>
      </c>
      <c r="Q227" s="1" t="str">
        <f t="shared" si="10"/>
        <v>High Risk</v>
      </c>
      <c r="R227" s="2">
        <f t="shared" si="11"/>
        <v>5064.9560469508624</v>
      </c>
    </row>
    <row r="228" spans="1:18" s="1" customFormat="1" ht="11.5" x14ac:dyDescent="0.25">
      <c r="A228" s="1" t="s">
        <v>259</v>
      </c>
      <c r="B228" s="1" t="s">
        <v>28</v>
      </c>
      <c r="C228" s="1" t="s">
        <v>22</v>
      </c>
      <c r="D228" s="1">
        <v>1</v>
      </c>
      <c r="E228" s="1" t="s">
        <v>25</v>
      </c>
      <c r="F228" s="1" t="s">
        <v>22</v>
      </c>
      <c r="G228" s="1">
        <v>3806</v>
      </c>
      <c r="H228" s="1">
        <v>3177</v>
      </c>
      <c r="I228" s="1">
        <v>489</v>
      </c>
      <c r="J228" s="1">
        <v>360</v>
      </c>
      <c r="K228" s="1">
        <v>0</v>
      </c>
      <c r="L228" s="1" t="s">
        <v>41</v>
      </c>
      <c r="M228" s="1">
        <f>Table1[[#This Row],[ApplicantIncome]]+Table1[[#This Row],[CoapplicantIncome]]</f>
        <v>6983</v>
      </c>
      <c r="N228" s="1" t="s">
        <v>26</v>
      </c>
      <c r="O228" s="1" t="str">
        <f>IF(Table1[[#This Row],[Total_Income]]&lt;3000,"Low",IF(Table1[[#This Row],[Total_Income]]&lt;7000,"Medium","High"))</f>
        <v>Medium</v>
      </c>
      <c r="P228" s="1" t="str">
        <f t="shared" si="9"/>
        <v>Rejected</v>
      </c>
      <c r="Q228" s="1" t="str">
        <f t="shared" si="10"/>
        <v>High Risk</v>
      </c>
      <c r="R228" s="2">
        <f t="shared" si="11"/>
        <v>3588.1087662701498</v>
      </c>
    </row>
    <row r="229" spans="1:18" s="1" customFormat="1" ht="11.5" x14ac:dyDescent="0.25">
      <c r="A229" s="1" t="s">
        <v>260</v>
      </c>
      <c r="B229" s="1" t="s">
        <v>52</v>
      </c>
      <c r="C229" s="1" t="s">
        <v>29</v>
      </c>
      <c r="D229" s="1">
        <v>1</v>
      </c>
      <c r="E229" s="1" t="s">
        <v>17</v>
      </c>
      <c r="F229" s="1" t="s">
        <v>22</v>
      </c>
      <c r="G229" s="1">
        <v>10763</v>
      </c>
      <c r="H229" s="1">
        <v>8716</v>
      </c>
      <c r="I229" s="1">
        <v>427</v>
      </c>
      <c r="J229" s="1">
        <v>360</v>
      </c>
      <c r="K229" s="1">
        <v>1</v>
      </c>
      <c r="L229" s="1" t="s">
        <v>41</v>
      </c>
      <c r="M229" s="1">
        <f>Table1[[#This Row],[ApplicantIncome]]+Table1[[#This Row],[CoapplicantIncome]]</f>
        <v>19479</v>
      </c>
      <c r="N229" s="1" t="s">
        <v>26</v>
      </c>
      <c r="O229" s="1" t="str">
        <f>IF(Table1[[#This Row],[Total_Income]]&lt;3000,"Low",IF(Table1[[#This Row],[Total_Income]]&lt;7000,"Medium","High"))</f>
        <v>High</v>
      </c>
      <c r="P229" s="1" t="str">
        <f t="shared" si="9"/>
        <v>Rejected</v>
      </c>
      <c r="Q229" s="1" t="str">
        <f t="shared" si="10"/>
        <v>Low Risk</v>
      </c>
      <c r="R229" s="2">
        <f t="shared" si="11"/>
        <v>3133.1747304649361</v>
      </c>
    </row>
    <row r="230" spans="1:18" s="1" customFormat="1" ht="11.5" x14ac:dyDescent="0.25">
      <c r="A230" s="1" t="s">
        <v>261</v>
      </c>
      <c r="B230" s="1" t="s">
        <v>52</v>
      </c>
      <c r="C230" s="1" t="s">
        <v>22</v>
      </c>
      <c r="D230" s="1">
        <v>2</v>
      </c>
      <c r="E230" s="1" t="s">
        <v>25</v>
      </c>
      <c r="F230" s="1" t="s">
        <v>29</v>
      </c>
      <c r="G230" s="1">
        <v>4407</v>
      </c>
      <c r="H230" s="1">
        <v>9635</v>
      </c>
      <c r="I230" s="1">
        <v>74</v>
      </c>
      <c r="J230" s="1">
        <v>180</v>
      </c>
      <c r="K230" s="1">
        <v>1</v>
      </c>
      <c r="L230" s="1" t="s">
        <v>41</v>
      </c>
      <c r="M230" s="1">
        <f>Table1[[#This Row],[ApplicantIncome]]+Table1[[#This Row],[CoapplicantIncome]]</f>
        <v>14042</v>
      </c>
      <c r="N230" s="1" t="s">
        <v>26</v>
      </c>
      <c r="O230" s="1" t="str">
        <f>IF(Table1[[#This Row],[Total_Income]]&lt;3000,"Low",IF(Table1[[#This Row],[Total_Income]]&lt;7000,"Medium","High"))</f>
        <v>High</v>
      </c>
      <c r="P230" s="1" t="str">
        <f t="shared" si="9"/>
        <v>Rejected</v>
      </c>
      <c r="Q230" s="1" t="str">
        <f t="shared" si="10"/>
        <v>Low Risk</v>
      </c>
      <c r="R230" s="2">
        <f t="shared" si="11"/>
        <v>707.18254240446015</v>
      </c>
    </row>
    <row r="231" spans="1:18" s="1" customFormat="1" ht="11.5" x14ac:dyDescent="0.25">
      <c r="A231" s="1" t="s">
        <v>262</v>
      </c>
      <c r="B231" s="1" t="s">
        <v>52</v>
      </c>
      <c r="C231" s="1" t="s">
        <v>29</v>
      </c>
      <c r="D231" s="1" t="s">
        <v>16</v>
      </c>
      <c r="E231" s="1" t="s">
        <v>25</v>
      </c>
      <c r="F231" s="1" t="s">
        <v>29</v>
      </c>
      <c r="G231" s="1">
        <v>19916</v>
      </c>
      <c r="H231" s="1">
        <v>6395</v>
      </c>
      <c r="I231" s="1">
        <v>367</v>
      </c>
      <c r="J231" s="1">
        <v>180</v>
      </c>
      <c r="K231" s="1">
        <v>1</v>
      </c>
      <c r="L231" s="1" t="s">
        <v>30</v>
      </c>
      <c r="M231" s="1">
        <f>Table1[[#This Row],[ApplicantIncome]]+Table1[[#This Row],[CoapplicantIncome]]</f>
        <v>26311</v>
      </c>
      <c r="N231" s="1" t="s">
        <v>26</v>
      </c>
      <c r="O231" s="1" t="str">
        <f>IF(Table1[[#This Row],[Total_Income]]&lt;3000,"Low",IF(Table1[[#This Row],[Total_Income]]&lt;7000,"Medium","High"))</f>
        <v>High</v>
      </c>
      <c r="P231" s="1" t="str">
        <f t="shared" si="9"/>
        <v>Rejected</v>
      </c>
      <c r="Q231" s="1" t="str">
        <f t="shared" si="10"/>
        <v>Low Risk</v>
      </c>
      <c r="R231" s="2">
        <f t="shared" si="11"/>
        <v>3507.2431494923899</v>
      </c>
    </row>
    <row r="232" spans="1:18" s="1" customFormat="1" ht="11.5" x14ac:dyDescent="0.25">
      <c r="A232" s="1" t="s">
        <v>263</v>
      </c>
      <c r="B232" s="1" t="s">
        <v>1238</v>
      </c>
      <c r="C232" s="1" t="s">
        <v>29</v>
      </c>
      <c r="D232" s="1">
        <v>1</v>
      </c>
      <c r="E232" s="1" t="s">
        <v>17</v>
      </c>
      <c r="F232" s="1" t="s">
        <v>29</v>
      </c>
      <c r="G232" s="1">
        <v>11149</v>
      </c>
      <c r="H232" s="1">
        <v>649</v>
      </c>
      <c r="I232" s="1">
        <v>89</v>
      </c>
      <c r="J232" s="1">
        <v>180</v>
      </c>
      <c r="K232" s="1">
        <v>0</v>
      </c>
      <c r="L232" s="1" t="s">
        <v>30</v>
      </c>
      <c r="M232" s="1">
        <f>Table1[[#This Row],[ApplicantIncome]]+Table1[[#This Row],[CoapplicantIncome]]</f>
        <v>11798</v>
      </c>
      <c r="N232" s="1" t="s">
        <v>20</v>
      </c>
      <c r="O232" s="1" t="str">
        <f>IF(Table1[[#This Row],[Total_Income]]&lt;3000,"Low",IF(Table1[[#This Row],[Total_Income]]&lt;7000,"Medium","High"))</f>
        <v>High</v>
      </c>
      <c r="P232" s="1" t="str">
        <f t="shared" si="9"/>
        <v>Approved</v>
      </c>
      <c r="Q232" s="1" t="str">
        <f t="shared" si="10"/>
        <v>High Risk</v>
      </c>
      <c r="R232" s="2">
        <f t="shared" si="11"/>
        <v>850.53035505401272</v>
      </c>
    </row>
    <row r="233" spans="1:18" s="1" customFormat="1" ht="11.5" x14ac:dyDescent="0.25">
      <c r="A233" s="1" t="s">
        <v>264</v>
      </c>
      <c r="B233" s="1" t="s">
        <v>28</v>
      </c>
      <c r="C233" s="1" t="s">
        <v>29</v>
      </c>
      <c r="D233" s="1" t="s">
        <v>16</v>
      </c>
      <c r="E233" s="1" t="s">
        <v>25</v>
      </c>
      <c r="F233" s="1" t="s">
        <v>22</v>
      </c>
      <c r="G233" s="1">
        <v>9526</v>
      </c>
      <c r="H233" s="1">
        <v>5460</v>
      </c>
      <c r="I233" s="1">
        <v>424</v>
      </c>
      <c r="J233" s="1">
        <v>360</v>
      </c>
      <c r="K233" s="1">
        <v>0</v>
      </c>
      <c r="L233" s="1" t="s">
        <v>41</v>
      </c>
      <c r="M233" s="1">
        <f>Table1[[#This Row],[ApplicantIncome]]+Table1[[#This Row],[CoapplicantIncome]]</f>
        <v>14986</v>
      </c>
      <c r="N233" s="1" t="s">
        <v>26</v>
      </c>
      <c r="O233" s="1" t="str">
        <f>IF(Table1[[#This Row],[Total_Income]]&lt;3000,"Low",IF(Table1[[#This Row],[Total_Income]]&lt;7000,"Medium","High"))</f>
        <v>High</v>
      </c>
      <c r="P233" s="1" t="str">
        <f t="shared" si="9"/>
        <v>Rejected</v>
      </c>
      <c r="Q233" s="1" t="str">
        <f t="shared" si="10"/>
        <v>High Risk</v>
      </c>
      <c r="R233" s="2">
        <f t="shared" si="11"/>
        <v>3111.1617932485551</v>
      </c>
    </row>
    <row r="234" spans="1:18" s="1" customFormat="1" ht="11.5" x14ac:dyDescent="0.25">
      <c r="A234" s="1" t="s">
        <v>265</v>
      </c>
      <c r="B234" s="1" t="s">
        <v>52</v>
      </c>
      <c r="C234" s="1" t="s">
        <v>22</v>
      </c>
      <c r="D234" s="1" t="s">
        <v>16</v>
      </c>
      <c r="E234" s="1" t="s">
        <v>17</v>
      </c>
      <c r="F234" s="1" t="s">
        <v>22</v>
      </c>
      <c r="G234" s="1">
        <v>7229</v>
      </c>
      <c r="H234" s="1">
        <v>2239</v>
      </c>
      <c r="I234" s="1">
        <v>186</v>
      </c>
      <c r="J234" s="1">
        <v>120</v>
      </c>
      <c r="K234" s="1">
        <v>0</v>
      </c>
      <c r="L234" s="1" t="s">
        <v>19</v>
      </c>
      <c r="M234" s="1">
        <f>Table1[[#This Row],[ApplicantIncome]]+Table1[[#This Row],[CoapplicantIncome]]</f>
        <v>9468</v>
      </c>
      <c r="N234" s="1" t="s">
        <v>20</v>
      </c>
      <c r="O234" s="1" t="str">
        <f>IF(Table1[[#This Row],[Total_Income]]&lt;3000,"Low",IF(Table1[[#This Row],[Total_Income]]&lt;7000,"Medium","High"))</f>
        <v>High</v>
      </c>
      <c r="P234" s="1" t="str">
        <f t="shared" si="9"/>
        <v>Approved</v>
      </c>
      <c r="Q234" s="1" t="str">
        <f t="shared" si="10"/>
        <v>High Risk</v>
      </c>
      <c r="R234" s="2">
        <f t="shared" si="11"/>
        <v>2256.693255009639</v>
      </c>
    </row>
    <row r="235" spans="1:18" s="1" customFormat="1" ht="11.5" x14ac:dyDescent="0.25">
      <c r="A235" s="1" t="s">
        <v>266</v>
      </c>
      <c r="B235" s="1" t="s">
        <v>1238</v>
      </c>
      <c r="C235" s="1" t="s">
        <v>22</v>
      </c>
      <c r="D235" s="1" t="s">
        <v>16</v>
      </c>
      <c r="E235" s="1" t="s">
        <v>25</v>
      </c>
      <c r="F235" s="1" t="s">
        <v>22</v>
      </c>
      <c r="G235" s="1">
        <v>15661</v>
      </c>
      <c r="H235" s="1">
        <v>2478</v>
      </c>
      <c r="I235" s="1">
        <v>498</v>
      </c>
      <c r="J235" s="1">
        <v>360</v>
      </c>
      <c r="K235" s="1">
        <v>0</v>
      </c>
      <c r="L235" s="1" t="s">
        <v>19</v>
      </c>
      <c r="M235" s="1">
        <f>Table1[[#This Row],[ApplicantIncome]]+Table1[[#This Row],[CoapplicantIncome]]</f>
        <v>18139</v>
      </c>
      <c r="N235" s="1" t="s">
        <v>26</v>
      </c>
      <c r="O235" s="1" t="str">
        <f>IF(Table1[[#This Row],[Total_Income]]&lt;3000,"Low",IF(Table1[[#This Row],[Total_Income]]&lt;7000,"Medium","High"))</f>
        <v>High</v>
      </c>
      <c r="P235" s="1" t="str">
        <f t="shared" si="9"/>
        <v>Rejected</v>
      </c>
      <c r="Q235" s="1" t="str">
        <f t="shared" si="10"/>
        <v>High Risk</v>
      </c>
      <c r="R235" s="2">
        <f t="shared" si="11"/>
        <v>3654.1475779192938</v>
      </c>
    </row>
    <row r="236" spans="1:18" s="1" customFormat="1" ht="11.5" x14ac:dyDescent="0.25">
      <c r="A236" s="1" t="s">
        <v>267</v>
      </c>
      <c r="B236" s="1" t="s">
        <v>52</v>
      </c>
      <c r="C236" s="1" t="s">
        <v>22</v>
      </c>
      <c r="D236" s="1">
        <v>0</v>
      </c>
      <c r="E236" s="1" t="s">
        <v>25</v>
      </c>
      <c r="F236" s="1" t="s">
        <v>22</v>
      </c>
      <c r="G236" s="1">
        <v>13653</v>
      </c>
      <c r="H236" s="1">
        <v>6446</v>
      </c>
      <c r="I236" s="1">
        <v>78</v>
      </c>
      <c r="J236" s="1">
        <v>360</v>
      </c>
      <c r="K236" s="1">
        <v>1</v>
      </c>
      <c r="L236" s="1" t="s">
        <v>41</v>
      </c>
      <c r="M236" s="1">
        <f>Table1[[#This Row],[ApplicantIncome]]+Table1[[#This Row],[CoapplicantIncome]]</f>
        <v>20099</v>
      </c>
      <c r="N236" s="1" t="s">
        <v>20</v>
      </c>
      <c r="O236" s="1" t="str">
        <f>IF(Table1[[#This Row],[Total_Income]]&lt;3000,"Low",IF(Table1[[#This Row],[Total_Income]]&lt;7000,"Medium","High"))</f>
        <v>High</v>
      </c>
      <c r="P236" s="1" t="str">
        <f t="shared" si="9"/>
        <v>Approved</v>
      </c>
      <c r="Q236" s="1" t="str">
        <f t="shared" si="10"/>
        <v>Low Risk</v>
      </c>
      <c r="R236" s="2">
        <f t="shared" si="11"/>
        <v>572.33636762591345</v>
      </c>
    </row>
    <row r="237" spans="1:18" s="1" customFormat="1" ht="11.5" x14ac:dyDescent="0.25">
      <c r="A237" s="1" t="s">
        <v>268</v>
      </c>
      <c r="B237" s="1" t="s">
        <v>52</v>
      </c>
      <c r="C237" s="1" t="s">
        <v>22</v>
      </c>
      <c r="D237" s="1">
        <v>2</v>
      </c>
      <c r="E237" s="1" t="s">
        <v>25</v>
      </c>
      <c r="F237" s="1" t="s">
        <v>29</v>
      </c>
      <c r="G237" s="1">
        <v>8486</v>
      </c>
      <c r="H237" s="1">
        <v>5509</v>
      </c>
      <c r="I237" s="1">
        <v>465</v>
      </c>
      <c r="J237" s="1">
        <v>360</v>
      </c>
      <c r="K237" s="1">
        <v>0</v>
      </c>
      <c r="L237" s="1" t="s">
        <v>41</v>
      </c>
      <c r="M237" s="1">
        <f>Table1[[#This Row],[ApplicantIncome]]+Table1[[#This Row],[CoapplicantIncome]]</f>
        <v>13995</v>
      </c>
      <c r="N237" s="1" t="s">
        <v>20</v>
      </c>
      <c r="O237" s="1" t="str">
        <f>IF(Table1[[#This Row],[Total_Income]]&lt;3000,"Low",IF(Table1[[#This Row],[Total_Income]]&lt;7000,"Medium","High"))</f>
        <v>High</v>
      </c>
      <c r="P237" s="1" t="str">
        <f t="shared" si="9"/>
        <v>Approved</v>
      </c>
      <c r="Q237" s="1" t="str">
        <f t="shared" si="10"/>
        <v>High Risk</v>
      </c>
      <c r="R237" s="2">
        <f t="shared" si="11"/>
        <v>3412.0052685390992</v>
      </c>
    </row>
    <row r="238" spans="1:18" s="1" customFormat="1" ht="11.5" x14ac:dyDescent="0.25">
      <c r="A238" s="1" t="s">
        <v>269</v>
      </c>
      <c r="B238" s="1" t="s">
        <v>1238</v>
      </c>
      <c r="C238" s="1" t="s">
        <v>22</v>
      </c>
      <c r="D238" s="1" t="s">
        <v>16</v>
      </c>
      <c r="E238" s="1" t="s">
        <v>17</v>
      </c>
      <c r="F238" s="1" t="s">
        <v>22</v>
      </c>
      <c r="G238" s="1">
        <v>16867</v>
      </c>
      <c r="H238" s="1">
        <v>7876</v>
      </c>
      <c r="I238" s="1">
        <v>472</v>
      </c>
      <c r="J238" s="1">
        <v>360</v>
      </c>
      <c r="K238" s="1">
        <v>0</v>
      </c>
      <c r="L238" s="1" t="s">
        <v>19</v>
      </c>
      <c r="M238" s="1">
        <f>Table1[[#This Row],[ApplicantIncome]]+Table1[[#This Row],[CoapplicantIncome]]</f>
        <v>24743</v>
      </c>
      <c r="N238" s="1" t="s">
        <v>20</v>
      </c>
      <c r="O238" s="1" t="str">
        <f>IF(Table1[[#This Row],[Total_Income]]&lt;3000,"Low",IF(Table1[[#This Row],[Total_Income]]&lt;7000,"Medium","High"))</f>
        <v>High</v>
      </c>
      <c r="P238" s="1" t="str">
        <f t="shared" si="9"/>
        <v>Approved</v>
      </c>
      <c r="Q238" s="1" t="str">
        <f t="shared" si="10"/>
        <v>High Risk</v>
      </c>
      <c r="R238" s="2">
        <f t="shared" si="11"/>
        <v>3463.3687887106553</v>
      </c>
    </row>
    <row r="239" spans="1:18" s="1" customFormat="1" ht="11.5" x14ac:dyDescent="0.25">
      <c r="A239" s="1" t="s">
        <v>270</v>
      </c>
      <c r="B239" s="1" t="s">
        <v>1238</v>
      </c>
      <c r="C239" s="1" t="s">
        <v>22</v>
      </c>
      <c r="D239" s="1">
        <v>0</v>
      </c>
      <c r="E239" s="1" t="s">
        <v>25</v>
      </c>
      <c r="F239" s="1" t="s">
        <v>29</v>
      </c>
      <c r="G239" s="1">
        <v>11896</v>
      </c>
      <c r="H239" s="1">
        <v>3844</v>
      </c>
      <c r="I239" s="1">
        <v>516</v>
      </c>
      <c r="J239" s="1">
        <v>120</v>
      </c>
      <c r="K239" s="1">
        <v>0</v>
      </c>
      <c r="L239" s="1" t="s">
        <v>19</v>
      </c>
      <c r="M239" s="1">
        <f>Table1[[#This Row],[ApplicantIncome]]+Table1[[#This Row],[CoapplicantIncome]]</f>
        <v>15740</v>
      </c>
      <c r="N239" s="1" t="s">
        <v>20</v>
      </c>
      <c r="O239" s="1" t="str">
        <f>IF(Table1[[#This Row],[Total_Income]]&lt;3000,"Low",IF(Table1[[#This Row],[Total_Income]]&lt;7000,"Medium","High"))</f>
        <v>High</v>
      </c>
      <c r="P239" s="1" t="str">
        <f t="shared" si="9"/>
        <v>Approved</v>
      </c>
      <c r="Q239" s="1" t="str">
        <f t="shared" si="10"/>
        <v>High Risk</v>
      </c>
      <c r="R239" s="2">
        <f t="shared" si="11"/>
        <v>6260.5038687364167</v>
      </c>
    </row>
    <row r="240" spans="1:18" s="1" customFormat="1" ht="11.5" x14ac:dyDescent="0.25">
      <c r="A240" s="1" t="s">
        <v>271</v>
      </c>
      <c r="B240" s="1" t="s">
        <v>28</v>
      </c>
      <c r="C240" s="1" t="s">
        <v>22</v>
      </c>
      <c r="D240" s="1">
        <v>2</v>
      </c>
      <c r="E240" s="1" t="s">
        <v>25</v>
      </c>
      <c r="F240" s="1" t="s">
        <v>22</v>
      </c>
      <c r="G240" s="1">
        <v>2102</v>
      </c>
      <c r="H240" s="1">
        <v>5697</v>
      </c>
      <c r="I240" s="1">
        <v>189</v>
      </c>
      <c r="J240" s="1">
        <v>360</v>
      </c>
      <c r="K240" s="1">
        <v>0</v>
      </c>
      <c r="L240" s="1" t="s">
        <v>30</v>
      </c>
      <c r="M240" s="1">
        <f>Table1[[#This Row],[ApplicantIncome]]+Table1[[#This Row],[CoapplicantIncome]]</f>
        <v>7799</v>
      </c>
      <c r="N240" s="1" t="s">
        <v>26</v>
      </c>
      <c r="O240" s="1" t="str">
        <f>IF(Table1[[#This Row],[Total_Income]]&lt;3000,"Low",IF(Table1[[#This Row],[Total_Income]]&lt;7000,"Medium","High"))</f>
        <v>High</v>
      </c>
      <c r="P240" s="1" t="str">
        <f t="shared" si="9"/>
        <v>Rejected</v>
      </c>
      <c r="Q240" s="1" t="str">
        <f t="shared" si="10"/>
        <v>High Risk</v>
      </c>
      <c r="R240" s="2">
        <f t="shared" si="11"/>
        <v>1386.815044632021</v>
      </c>
    </row>
    <row r="241" spans="1:18" s="1" customFormat="1" ht="11.5" x14ac:dyDescent="0.25">
      <c r="A241" s="1" t="s">
        <v>272</v>
      </c>
      <c r="B241" s="1" t="s">
        <v>1238</v>
      </c>
      <c r="C241" s="1" t="s">
        <v>29</v>
      </c>
      <c r="D241" s="1">
        <v>1</v>
      </c>
      <c r="E241" s="1" t="s">
        <v>25</v>
      </c>
      <c r="F241" s="1" t="s">
        <v>29</v>
      </c>
      <c r="G241" s="1">
        <v>16279</v>
      </c>
      <c r="H241" s="1">
        <v>760</v>
      </c>
      <c r="I241" s="1">
        <v>103</v>
      </c>
      <c r="J241" s="1">
        <v>120</v>
      </c>
      <c r="K241" s="1">
        <v>0</v>
      </c>
      <c r="L241" s="1" t="s">
        <v>19</v>
      </c>
      <c r="M241" s="1">
        <f>Table1[[#This Row],[ApplicantIncome]]+Table1[[#This Row],[CoapplicantIncome]]</f>
        <v>17039</v>
      </c>
      <c r="N241" s="1" t="s">
        <v>26</v>
      </c>
      <c r="O241" s="1" t="str">
        <f>IF(Table1[[#This Row],[Total_Income]]&lt;3000,"Low",IF(Table1[[#This Row],[Total_Income]]&lt;7000,"Medium","High"))</f>
        <v>High</v>
      </c>
      <c r="P241" s="1" t="str">
        <f t="shared" si="9"/>
        <v>Rejected</v>
      </c>
      <c r="Q241" s="1" t="str">
        <f t="shared" si="10"/>
        <v>High Risk</v>
      </c>
      <c r="R241" s="2">
        <f t="shared" si="11"/>
        <v>1249.6742218601762</v>
      </c>
    </row>
    <row r="242" spans="1:18" s="1" customFormat="1" ht="11.5" x14ac:dyDescent="0.25">
      <c r="A242" s="1" t="s">
        <v>273</v>
      </c>
      <c r="B242" s="1" t="s">
        <v>1238</v>
      </c>
      <c r="C242" s="1" t="s">
        <v>29</v>
      </c>
      <c r="D242" s="1" t="s">
        <v>16</v>
      </c>
      <c r="E242" s="1" t="s">
        <v>25</v>
      </c>
      <c r="F242" s="1" t="s">
        <v>22</v>
      </c>
      <c r="G242" s="1">
        <v>15448</v>
      </c>
      <c r="H242" s="1">
        <v>9304</v>
      </c>
      <c r="I242" s="1">
        <v>71</v>
      </c>
      <c r="J242" s="1">
        <v>360</v>
      </c>
      <c r="K242" s="1">
        <v>0</v>
      </c>
      <c r="L242" s="1" t="s">
        <v>30</v>
      </c>
      <c r="M242" s="1">
        <f>Table1[[#This Row],[ApplicantIncome]]+Table1[[#This Row],[CoapplicantIncome]]</f>
        <v>24752</v>
      </c>
      <c r="N242" s="1" t="s">
        <v>26</v>
      </c>
      <c r="O242" s="1" t="str">
        <f>IF(Table1[[#This Row],[Total_Income]]&lt;3000,"Low",IF(Table1[[#This Row],[Total_Income]]&lt;7000,"Medium","High"))</f>
        <v>High</v>
      </c>
      <c r="P242" s="1" t="str">
        <f t="shared" si="9"/>
        <v>Rejected</v>
      </c>
      <c r="Q242" s="1" t="str">
        <f t="shared" si="10"/>
        <v>High Risk</v>
      </c>
      <c r="R242" s="2">
        <f t="shared" si="11"/>
        <v>520.97284745435707</v>
      </c>
    </row>
    <row r="243" spans="1:18" s="1" customFormat="1" ht="11.5" x14ac:dyDescent="0.25">
      <c r="A243" s="1" t="s">
        <v>274</v>
      </c>
      <c r="B243" s="1" t="s">
        <v>1238</v>
      </c>
      <c r="C243" s="1" t="s">
        <v>22</v>
      </c>
      <c r="D243" s="1" t="s">
        <v>16</v>
      </c>
      <c r="E243" s="1" t="s">
        <v>25</v>
      </c>
      <c r="F243" s="1" t="s">
        <v>22</v>
      </c>
      <c r="G243" s="1">
        <v>1725</v>
      </c>
      <c r="H243" s="1">
        <v>4209</v>
      </c>
      <c r="I243" s="1">
        <v>207</v>
      </c>
      <c r="J243" s="1">
        <v>360</v>
      </c>
      <c r="K243" s="1">
        <v>0</v>
      </c>
      <c r="L243" s="1" t="s">
        <v>41</v>
      </c>
      <c r="M243" s="1">
        <f>Table1[[#This Row],[ApplicantIncome]]+Table1[[#This Row],[CoapplicantIncome]]</f>
        <v>5934</v>
      </c>
      <c r="N243" s="1" t="s">
        <v>26</v>
      </c>
      <c r="O243" s="1" t="str">
        <f>IF(Table1[[#This Row],[Total_Income]]&lt;3000,"Low",IF(Table1[[#This Row],[Total_Income]]&lt;7000,"Medium","High"))</f>
        <v>Medium</v>
      </c>
      <c r="P243" s="1" t="str">
        <f t="shared" si="9"/>
        <v>Rejected</v>
      </c>
      <c r="Q243" s="1" t="str">
        <f t="shared" si="10"/>
        <v>High Risk</v>
      </c>
      <c r="R243" s="2">
        <f t="shared" si="11"/>
        <v>1518.8926679303086</v>
      </c>
    </row>
    <row r="244" spans="1:18" s="1" customFormat="1" ht="11.5" x14ac:dyDescent="0.25">
      <c r="A244" s="1" t="s">
        <v>275</v>
      </c>
      <c r="B244" s="1" t="s">
        <v>28</v>
      </c>
      <c r="C244" s="1" t="s">
        <v>29</v>
      </c>
      <c r="D244" s="1">
        <v>1</v>
      </c>
      <c r="E244" s="1" t="s">
        <v>25</v>
      </c>
      <c r="F244" s="1" t="s">
        <v>22</v>
      </c>
      <c r="G244" s="1">
        <v>18455</v>
      </c>
      <c r="H244" s="1">
        <v>1783</v>
      </c>
      <c r="I244" s="1">
        <v>260</v>
      </c>
      <c r="J244" s="1">
        <v>360</v>
      </c>
      <c r="K244" s="1">
        <v>0</v>
      </c>
      <c r="L244" s="1" t="s">
        <v>19</v>
      </c>
      <c r="M244" s="1">
        <f>Table1[[#This Row],[ApplicantIncome]]+Table1[[#This Row],[CoapplicantIncome]]</f>
        <v>20238</v>
      </c>
      <c r="N244" s="1" t="s">
        <v>26</v>
      </c>
      <c r="O244" s="1" t="str">
        <f>IF(Table1[[#This Row],[Total_Income]]&lt;3000,"Low",IF(Table1[[#This Row],[Total_Income]]&lt;7000,"Medium","High"))</f>
        <v>High</v>
      </c>
      <c r="P244" s="1" t="str">
        <f t="shared" si="9"/>
        <v>Rejected</v>
      </c>
      <c r="Q244" s="1" t="str">
        <f t="shared" si="10"/>
        <v>High Risk</v>
      </c>
      <c r="R244" s="2">
        <f t="shared" si="11"/>
        <v>1907.787892086378</v>
      </c>
    </row>
    <row r="245" spans="1:18" s="1" customFormat="1" ht="11.5" x14ac:dyDescent="0.25">
      <c r="A245" s="1" t="s">
        <v>276</v>
      </c>
      <c r="B245" s="1" t="s">
        <v>28</v>
      </c>
      <c r="C245" s="1" t="s">
        <v>22</v>
      </c>
      <c r="D245" s="1">
        <v>1</v>
      </c>
      <c r="E245" s="1" t="s">
        <v>25</v>
      </c>
      <c r="F245" s="1" t="s">
        <v>22</v>
      </c>
      <c r="G245" s="1">
        <v>9779</v>
      </c>
      <c r="H245" s="1">
        <v>6849</v>
      </c>
      <c r="I245" s="1">
        <v>235</v>
      </c>
      <c r="J245" s="1">
        <v>360</v>
      </c>
      <c r="K245" s="1">
        <v>0</v>
      </c>
      <c r="L245" s="1" t="s">
        <v>19</v>
      </c>
      <c r="M245" s="1">
        <f>Table1[[#This Row],[ApplicantIncome]]+Table1[[#This Row],[CoapplicantIncome]]</f>
        <v>16628</v>
      </c>
      <c r="N245" s="1" t="s">
        <v>20</v>
      </c>
      <c r="O245" s="1" t="str">
        <f>IF(Table1[[#This Row],[Total_Income]]&lt;3000,"Low",IF(Table1[[#This Row],[Total_Income]]&lt;7000,"Medium","High"))</f>
        <v>High</v>
      </c>
      <c r="P245" s="1" t="str">
        <f t="shared" si="9"/>
        <v>Approved</v>
      </c>
      <c r="Q245" s="1" t="str">
        <f t="shared" si="10"/>
        <v>High Risk</v>
      </c>
      <c r="R245" s="2">
        <f t="shared" si="11"/>
        <v>1724.3467486165341</v>
      </c>
    </row>
    <row r="246" spans="1:18" s="1" customFormat="1" ht="11.5" x14ac:dyDescent="0.25">
      <c r="A246" s="1" t="s">
        <v>277</v>
      </c>
      <c r="B246" s="1" t="s">
        <v>52</v>
      </c>
      <c r="C246" s="1" t="s">
        <v>22</v>
      </c>
      <c r="D246" s="1">
        <v>2</v>
      </c>
      <c r="E246" s="1" t="s">
        <v>25</v>
      </c>
      <c r="F246" s="1" t="s">
        <v>22</v>
      </c>
      <c r="G246" s="1">
        <v>11281</v>
      </c>
      <c r="H246" s="1">
        <v>6420</v>
      </c>
      <c r="I246" s="1">
        <v>112</v>
      </c>
      <c r="J246" s="1">
        <v>360</v>
      </c>
      <c r="K246" s="1">
        <v>0</v>
      </c>
      <c r="L246" s="1" t="s">
        <v>19</v>
      </c>
      <c r="M246" s="1">
        <f>Table1[[#This Row],[ApplicantIncome]]+Table1[[#This Row],[CoapplicantIncome]]</f>
        <v>17701</v>
      </c>
      <c r="N246" s="1" t="s">
        <v>20</v>
      </c>
      <c r="O246" s="1" t="str">
        <f>IF(Table1[[#This Row],[Total_Income]]&lt;3000,"Low",IF(Table1[[#This Row],[Total_Income]]&lt;7000,"Medium","High"))</f>
        <v>High</v>
      </c>
      <c r="P246" s="1" t="str">
        <f t="shared" si="9"/>
        <v>Approved</v>
      </c>
      <c r="Q246" s="1" t="str">
        <f t="shared" si="10"/>
        <v>High Risk</v>
      </c>
      <c r="R246" s="2">
        <f t="shared" si="11"/>
        <v>821.81632274490141</v>
      </c>
    </row>
    <row r="247" spans="1:18" s="1" customFormat="1" ht="11.5" x14ac:dyDescent="0.25">
      <c r="A247" s="1" t="s">
        <v>278</v>
      </c>
      <c r="B247" s="1" t="s">
        <v>28</v>
      </c>
      <c r="C247" s="1" t="s">
        <v>22</v>
      </c>
      <c r="D247" s="1">
        <v>0</v>
      </c>
      <c r="E247" s="1" t="s">
        <v>25</v>
      </c>
      <c r="F247" s="1" t="s">
        <v>22</v>
      </c>
      <c r="G247" s="1">
        <v>8903</v>
      </c>
      <c r="H247" s="1">
        <v>8028</v>
      </c>
      <c r="I247" s="1">
        <v>519</v>
      </c>
      <c r="J247" s="1">
        <v>180</v>
      </c>
      <c r="K247" s="1">
        <v>1</v>
      </c>
      <c r="L247" s="1" t="s">
        <v>41</v>
      </c>
      <c r="M247" s="1">
        <f>Table1[[#This Row],[ApplicantIncome]]+Table1[[#This Row],[CoapplicantIncome]]</f>
        <v>16931</v>
      </c>
      <c r="N247" s="1" t="s">
        <v>20</v>
      </c>
      <c r="O247" s="1" t="str">
        <f>IF(Table1[[#This Row],[Total_Income]]&lt;3000,"Low",IF(Table1[[#This Row],[Total_Income]]&lt;7000,"Medium","High"))</f>
        <v>High</v>
      </c>
      <c r="P247" s="1" t="str">
        <f t="shared" si="9"/>
        <v>Approved</v>
      </c>
      <c r="Q247" s="1" t="str">
        <f t="shared" si="10"/>
        <v>Low Risk</v>
      </c>
      <c r="R247" s="2">
        <f t="shared" si="11"/>
        <v>4959.8343176745238</v>
      </c>
    </row>
    <row r="248" spans="1:18" s="1" customFormat="1" ht="11.5" x14ac:dyDescent="0.25">
      <c r="A248" s="1" t="s">
        <v>279</v>
      </c>
      <c r="B248" s="1" t="s">
        <v>1238</v>
      </c>
      <c r="C248" s="1" t="s">
        <v>22</v>
      </c>
      <c r="D248" s="1">
        <v>1</v>
      </c>
      <c r="E248" s="1" t="s">
        <v>25</v>
      </c>
      <c r="F248" s="1" t="s">
        <v>29</v>
      </c>
      <c r="G248" s="1">
        <v>16105</v>
      </c>
      <c r="H248" s="1">
        <v>9996</v>
      </c>
      <c r="I248" s="1">
        <v>561</v>
      </c>
      <c r="J248" s="1">
        <v>360</v>
      </c>
      <c r="K248" s="1">
        <v>0</v>
      </c>
      <c r="L248" s="1" t="s">
        <v>41</v>
      </c>
      <c r="M248" s="1">
        <f>Table1[[#This Row],[ApplicantIncome]]+Table1[[#This Row],[CoapplicantIncome]]</f>
        <v>26101</v>
      </c>
      <c r="N248" s="1" t="s">
        <v>20</v>
      </c>
      <c r="O248" s="1" t="str">
        <f>IF(Table1[[#This Row],[Total_Income]]&lt;3000,"Low",IF(Table1[[#This Row],[Total_Income]]&lt;7000,"Medium","High"))</f>
        <v>High</v>
      </c>
      <c r="P248" s="1" t="str">
        <f t="shared" si="9"/>
        <v>Approved</v>
      </c>
      <c r="Q248" s="1" t="str">
        <f t="shared" si="10"/>
        <v>High Risk</v>
      </c>
      <c r="R248" s="2">
        <f t="shared" si="11"/>
        <v>4116.4192594633005</v>
      </c>
    </row>
    <row r="249" spans="1:18" s="1" customFormat="1" ht="11.5" x14ac:dyDescent="0.25">
      <c r="A249" s="1" t="s">
        <v>280</v>
      </c>
      <c r="B249" s="1" t="s">
        <v>52</v>
      </c>
      <c r="C249" s="1" t="s">
        <v>22</v>
      </c>
      <c r="D249" s="1">
        <v>2</v>
      </c>
      <c r="E249" s="1" t="s">
        <v>17</v>
      </c>
      <c r="F249" s="1" t="s">
        <v>29</v>
      </c>
      <c r="G249" s="1">
        <v>9649</v>
      </c>
      <c r="H249" s="1">
        <v>7821</v>
      </c>
      <c r="I249" s="1">
        <v>407</v>
      </c>
      <c r="J249" s="1">
        <v>360</v>
      </c>
      <c r="K249" s="1">
        <v>0</v>
      </c>
      <c r="L249" s="1" t="s">
        <v>41</v>
      </c>
      <c r="M249" s="1">
        <f>Table1[[#This Row],[ApplicantIncome]]+Table1[[#This Row],[CoapplicantIncome]]</f>
        <v>17470</v>
      </c>
      <c r="N249" s="1" t="s">
        <v>20</v>
      </c>
      <c r="O249" s="1" t="str">
        <f>IF(Table1[[#This Row],[Total_Income]]&lt;3000,"Low",IF(Table1[[#This Row],[Total_Income]]&lt;7000,"Medium","High"))</f>
        <v>High</v>
      </c>
      <c r="P249" s="1" t="str">
        <f t="shared" si="9"/>
        <v>Approved</v>
      </c>
      <c r="Q249" s="1" t="str">
        <f t="shared" si="10"/>
        <v>High Risk</v>
      </c>
      <c r="R249" s="2">
        <f t="shared" si="11"/>
        <v>2986.4218156890611</v>
      </c>
    </row>
    <row r="250" spans="1:18" s="1" customFormat="1" ht="11.5" x14ac:dyDescent="0.25">
      <c r="A250" s="1" t="s">
        <v>281</v>
      </c>
      <c r="B250" s="1" t="s">
        <v>28</v>
      </c>
      <c r="C250" s="1" t="s">
        <v>22</v>
      </c>
      <c r="D250" s="1" t="s">
        <v>16</v>
      </c>
      <c r="E250" s="1" t="s">
        <v>25</v>
      </c>
      <c r="F250" s="1" t="s">
        <v>22</v>
      </c>
      <c r="G250" s="1">
        <v>16622</v>
      </c>
      <c r="H250" s="1">
        <v>6630</v>
      </c>
      <c r="I250" s="1">
        <v>203</v>
      </c>
      <c r="J250" s="1">
        <v>180</v>
      </c>
      <c r="K250" s="1">
        <v>0</v>
      </c>
      <c r="L250" s="1" t="s">
        <v>41</v>
      </c>
      <c r="M250" s="1">
        <f>Table1[[#This Row],[ApplicantIncome]]+Table1[[#This Row],[CoapplicantIncome]]</f>
        <v>23252</v>
      </c>
      <c r="N250" s="1" t="s">
        <v>20</v>
      </c>
      <c r="O250" s="1" t="str">
        <f>IF(Table1[[#This Row],[Total_Income]]&lt;3000,"Low",IF(Table1[[#This Row],[Total_Income]]&lt;7000,"Medium","High"))</f>
        <v>High</v>
      </c>
      <c r="P250" s="1" t="str">
        <f t="shared" si="9"/>
        <v>Approved</v>
      </c>
      <c r="Q250" s="1" t="str">
        <f t="shared" si="10"/>
        <v>High Risk</v>
      </c>
      <c r="R250" s="2">
        <f t="shared" si="11"/>
        <v>1939.9737311906135</v>
      </c>
    </row>
    <row r="251" spans="1:18" s="1" customFormat="1" ht="11.5" x14ac:dyDescent="0.25">
      <c r="A251" s="1" t="s">
        <v>282</v>
      </c>
      <c r="B251" s="1" t="s">
        <v>52</v>
      </c>
      <c r="C251" s="1" t="s">
        <v>22</v>
      </c>
      <c r="D251" s="1" t="s">
        <v>16</v>
      </c>
      <c r="E251" s="1" t="s">
        <v>25</v>
      </c>
      <c r="F251" s="1" t="s">
        <v>22</v>
      </c>
      <c r="G251" s="1">
        <v>6845</v>
      </c>
      <c r="H251" s="1">
        <v>3732</v>
      </c>
      <c r="I251" s="1">
        <v>379</v>
      </c>
      <c r="J251" s="1">
        <v>360</v>
      </c>
      <c r="K251" s="1">
        <v>0</v>
      </c>
      <c r="L251" s="1" t="s">
        <v>19</v>
      </c>
      <c r="M251" s="1">
        <f>Table1[[#This Row],[ApplicantIncome]]+Table1[[#This Row],[CoapplicantIncome]]</f>
        <v>10577</v>
      </c>
      <c r="N251" s="1" t="s">
        <v>26</v>
      </c>
      <c r="O251" s="1" t="str">
        <f>IF(Table1[[#This Row],[Total_Income]]&lt;3000,"Low",IF(Table1[[#This Row],[Total_Income]]&lt;7000,"Medium","High"))</f>
        <v>High</v>
      </c>
      <c r="P251" s="1" t="str">
        <f t="shared" si="9"/>
        <v>Rejected</v>
      </c>
      <c r="Q251" s="1" t="str">
        <f t="shared" si="10"/>
        <v>High Risk</v>
      </c>
      <c r="R251" s="2">
        <f t="shared" si="11"/>
        <v>2780.967735002836</v>
      </c>
    </row>
    <row r="252" spans="1:18" s="1" customFormat="1" ht="11.5" x14ac:dyDescent="0.25">
      <c r="A252" s="1" t="s">
        <v>283</v>
      </c>
      <c r="B252" s="1" t="s">
        <v>28</v>
      </c>
      <c r="C252" s="1" t="s">
        <v>29</v>
      </c>
      <c r="D252" s="1">
        <v>1</v>
      </c>
      <c r="E252" s="1" t="s">
        <v>25</v>
      </c>
      <c r="F252" s="1" t="s">
        <v>29</v>
      </c>
      <c r="G252" s="1">
        <v>3606</v>
      </c>
      <c r="H252" s="1">
        <v>7330</v>
      </c>
      <c r="I252" s="1">
        <v>397</v>
      </c>
      <c r="J252" s="1">
        <v>180</v>
      </c>
      <c r="K252" s="1">
        <v>0</v>
      </c>
      <c r="L252" s="1" t="s">
        <v>19</v>
      </c>
      <c r="M252" s="1">
        <f>Table1[[#This Row],[ApplicantIncome]]+Table1[[#This Row],[CoapplicantIncome]]</f>
        <v>10936</v>
      </c>
      <c r="N252" s="1" t="s">
        <v>26</v>
      </c>
      <c r="O252" s="1" t="str">
        <f>IF(Table1[[#This Row],[Total_Income]]&lt;3000,"Low",IF(Table1[[#This Row],[Total_Income]]&lt;7000,"Medium","High"))</f>
        <v>High</v>
      </c>
      <c r="P252" s="1" t="str">
        <f t="shared" si="9"/>
        <v>Rejected</v>
      </c>
      <c r="Q252" s="1" t="str">
        <f t="shared" si="10"/>
        <v>High Risk</v>
      </c>
      <c r="R252" s="2">
        <f t="shared" si="11"/>
        <v>3793.9387747914952</v>
      </c>
    </row>
    <row r="253" spans="1:18" s="1" customFormat="1" ht="11.5" x14ac:dyDescent="0.25">
      <c r="A253" s="1" t="s">
        <v>284</v>
      </c>
      <c r="B253" s="1" t="s">
        <v>52</v>
      </c>
      <c r="C253" s="1" t="s">
        <v>29</v>
      </c>
      <c r="D253" s="1">
        <v>1</v>
      </c>
      <c r="E253" s="1" t="s">
        <v>17</v>
      </c>
      <c r="F253" s="1" t="s">
        <v>22</v>
      </c>
      <c r="G253" s="1">
        <v>11777</v>
      </c>
      <c r="H253" s="1">
        <v>9328</v>
      </c>
      <c r="I253" s="1">
        <v>622</v>
      </c>
      <c r="J253" s="1">
        <v>120</v>
      </c>
      <c r="K253" s="1">
        <v>0</v>
      </c>
      <c r="L253" s="1" t="s">
        <v>19</v>
      </c>
      <c r="M253" s="1">
        <f>Table1[[#This Row],[ApplicantIncome]]+Table1[[#This Row],[CoapplicantIncome]]</f>
        <v>21105</v>
      </c>
      <c r="N253" s="1" t="s">
        <v>20</v>
      </c>
      <c r="O253" s="1" t="str">
        <f>IF(Table1[[#This Row],[Total_Income]]&lt;3000,"Low",IF(Table1[[#This Row],[Total_Income]]&lt;7000,"Medium","High"))</f>
        <v>High</v>
      </c>
      <c r="P253" s="1" t="str">
        <f t="shared" si="9"/>
        <v>Approved</v>
      </c>
      <c r="Q253" s="1" t="str">
        <f t="shared" si="10"/>
        <v>High Risk</v>
      </c>
      <c r="R253" s="2">
        <f t="shared" si="11"/>
        <v>7546.5763689032019</v>
      </c>
    </row>
    <row r="254" spans="1:18" s="1" customFormat="1" ht="11.5" x14ac:dyDescent="0.25">
      <c r="A254" s="1" t="s">
        <v>285</v>
      </c>
      <c r="B254" s="1" t="s">
        <v>28</v>
      </c>
      <c r="C254" s="1" t="s">
        <v>29</v>
      </c>
      <c r="D254" s="1">
        <v>1</v>
      </c>
      <c r="E254" s="1" t="s">
        <v>17</v>
      </c>
      <c r="F254" s="1" t="s">
        <v>29</v>
      </c>
      <c r="G254" s="1">
        <v>1558</v>
      </c>
      <c r="H254" s="1">
        <v>3351</v>
      </c>
      <c r="I254" s="1">
        <v>668</v>
      </c>
      <c r="J254" s="1">
        <v>180</v>
      </c>
      <c r="K254" s="1">
        <v>1</v>
      </c>
      <c r="L254" s="1" t="s">
        <v>30</v>
      </c>
      <c r="M254" s="1">
        <f>Table1[[#This Row],[ApplicantIncome]]+Table1[[#This Row],[CoapplicantIncome]]</f>
        <v>4909</v>
      </c>
      <c r="N254" s="1" t="s">
        <v>26</v>
      </c>
      <c r="O254" s="1" t="str">
        <f>IF(Table1[[#This Row],[Total_Income]]&lt;3000,"Low",IF(Table1[[#This Row],[Total_Income]]&lt;7000,"Medium","High"))</f>
        <v>Medium</v>
      </c>
      <c r="P254" s="1" t="str">
        <f t="shared" si="9"/>
        <v>Rejected</v>
      </c>
      <c r="Q254" s="1" t="str">
        <f t="shared" si="10"/>
        <v>Low Risk</v>
      </c>
      <c r="R254" s="2">
        <f t="shared" si="11"/>
        <v>6383.7559233267475</v>
      </c>
    </row>
    <row r="255" spans="1:18" s="1" customFormat="1" ht="11.5" x14ac:dyDescent="0.25">
      <c r="A255" s="1" t="s">
        <v>286</v>
      </c>
      <c r="B255" s="1" t="s">
        <v>52</v>
      </c>
      <c r="C255" s="1" t="s">
        <v>22</v>
      </c>
      <c r="D255" s="1" t="s">
        <v>16</v>
      </c>
      <c r="E255" s="1" t="s">
        <v>25</v>
      </c>
      <c r="F255" s="1" t="s">
        <v>22</v>
      </c>
      <c r="G255" s="1">
        <v>15142</v>
      </c>
      <c r="H255" s="1">
        <v>2426</v>
      </c>
      <c r="I255" s="1">
        <v>362</v>
      </c>
      <c r="J255" s="1">
        <v>180</v>
      </c>
      <c r="K255" s="1">
        <v>0</v>
      </c>
      <c r="L255" s="1" t="s">
        <v>19</v>
      </c>
      <c r="M255" s="1">
        <f>Table1[[#This Row],[ApplicantIncome]]+Table1[[#This Row],[CoapplicantIncome]]</f>
        <v>17568</v>
      </c>
      <c r="N255" s="1" t="s">
        <v>26</v>
      </c>
      <c r="O255" s="1" t="str">
        <f>IF(Table1[[#This Row],[Total_Income]]&lt;3000,"Low",IF(Table1[[#This Row],[Total_Income]]&lt;7000,"Medium","High"))</f>
        <v>High</v>
      </c>
      <c r="P255" s="1" t="str">
        <f t="shared" si="9"/>
        <v>Rejected</v>
      </c>
      <c r="Q255" s="1" t="str">
        <f t="shared" si="10"/>
        <v>High Risk</v>
      </c>
      <c r="R255" s="2">
        <f t="shared" si="11"/>
        <v>3459.4605452758724</v>
      </c>
    </row>
    <row r="256" spans="1:18" s="1" customFormat="1" ht="11.5" x14ac:dyDescent="0.25">
      <c r="A256" s="1" t="s">
        <v>287</v>
      </c>
      <c r="B256" s="1" t="s">
        <v>1238</v>
      </c>
      <c r="C256" s="1" t="s">
        <v>29</v>
      </c>
      <c r="D256" s="1" t="s">
        <v>16</v>
      </c>
      <c r="E256" s="1" t="s">
        <v>25</v>
      </c>
      <c r="F256" s="1" t="s">
        <v>22</v>
      </c>
      <c r="G256" s="1">
        <v>6424</v>
      </c>
      <c r="H256" s="1">
        <v>4113</v>
      </c>
      <c r="I256" s="1">
        <v>85</v>
      </c>
      <c r="J256" s="1">
        <v>180</v>
      </c>
      <c r="K256" s="1">
        <v>1</v>
      </c>
      <c r="L256" s="1" t="s">
        <v>19</v>
      </c>
      <c r="M256" s="1">
        <f>Table1[[#This Row],[ApplicantIncome]]+Table1[[#This Row],[CoapplicantIncome]]</f>
        <v>10537</v>
      </c>
      <c r="N256" s="1" t="s">
        <v>26</v>
      </c>
      <c r="O256" s="1" t="str">
        <f>IF(Table1[[#This Row],[Total_Income]]&lt;3000,"Low",IF(Table1[[#This Row],[Total_Income]]&lt;7000,"Medium","High"))</f>
        <v>High</v>
      </c>
      <c r="P256" s="1" t="str">
        <f t="shared" si="9"/>
        <v>Rejected</v>
      </c>
      <c r="Q256" s="1" t="str">
        <f t="shared" si="10"/>
        <v>Low Risk</v>
      </c>
      <c r="R256" s="2">
        <f t="shared" si="11"/>
        <v>812.30427168079871</v>
      </c>
    </row>
    <row r="257" spans="1:18" s="1" customFormat="1" ht="11.5" x14ac:dyDescent="0.25">
      <c r="A257" s="1" t="s">
        <v>288</v>
      </c>
      <c r="B257" s="1" t="s">
        <v>52</v>
      </c>
      <c r="C257" s="1" t="s">
        <v>22</v>
      </c>
      <c r="D257" s="1">
        <v>1</v>
      </c>
      <c r="E257" s="1" t="s">
        <v>17</v>
      </c>
      <c r="F257" s="1" t="s">
        <v>22</v>
      </c>
      <c r="G257" s="1">
        <v>12393</v>
      </c>
      <c r="H257" s="1">
        <v>3615</v>
      </c>
      <c r="I257" s="1">
        <v>284</v>
      </c>
      <c r="J257" s="1">
        <v>120</v>
      </c>
      <c r="K257" s="1">
        <v>0</v>
      </c>
      <c r="L257" s="1" t="s">
        <v>41</v>
      </c>
      <c r="M257" s="1">
        <f>Table1[[#This Row],[ApplicantIncome]]+Table1[[#This Row],[CoapplicantIncome]]</f>
        <v>16008</v>
      </c>
      <c r="N257" s="1" t="s">
        <v>26</v>
      </c>
      <c r="O257" s="1" t="str">
        <f>IF(Table1[[#This Row],[Total_Income]]&lt;3000,"Low",IF(Table1[[#This Row],[Total_Income]]&lt;7000,"Medium","High"))</f>
        <v>High</v>
      </c>
      <c r="P257" s="1" t="str">
        <f t="shared" si="9"/>
        <v>Rejected</v>
      </c>
      <c r="Q257" s="1" t="str">
        <f t="shared" si="10"/>
        <v>High Risk</v>
      </c>
      <c r="R257" s="2">
        <f t="shared" si="11"/>
        <v>3445.7036796921366</v>
      </c>
    </row>
    <row r="258" spans="1:18" s="1" customFormat="1" ht="11.5" x14ac:dyDescent="0.25">
      <c r="A258" s="1" t="s">
        <v>289</v>
      </c>
      <c r="B258" s="1" t="s">
        <v>52</v>
      </c>
      <c r="C258" s="1" t="s">
        <v>22</v>
      </c>
      <c r="D258" s="1">
        <v>1</v>
      </c>
      <c r="E258" s="1" t="s">
        <v>25</v>
      </c>
      <c r="F258" s="1" t="s">
        <v>22</v>
      </c>
      <c r="G258" s="1">
        <v>14147</v>
      </c>
      <c r="H258" s="1">
        <v>7725</v>
      </c>
      <c r="I258" s="1">
        <v>101</v>
      </c>
      <c r="J258" s="1">
        <v>180</v>
      </c>
      <c r="K258" s="1">
        <v>0</v>
      </c>
      <c r="L258" s="1" t="s">
        <v>30</v>
      </c>
      <c r="M258" s="1">
        <f>Table1[[#This Row],[ApplicantIncome]]+Table1[[#This Row],[CoapplicantIncome]]</f>
        <v>21872</v>
      </c>
      <c r="N258" s="1" t="s">
        <v>26</v>
      </c>
      <c r="O258" s="1" t="str">
        <f>IF(Table1[[#This Row],[Total_Income]]&lt;3000,"Low",IF(Table1[[#This Row],[Total_Income]]&lt;7000,"Medium","High"))</f>
        <v>High</v>
      </c>
      <c r="P258" s="1" t="str">
        <f t="shared" ref="P258:P321" si="12">IF(N258="Y","Approved","Rejected")</f>
        <v>Rejected</v>
      </c>
      <c r="Q258" s="1" t="str">
        <f t="shared" ref="Q258:Q321" si="13">IF(K258=1,"Low Risk","High Risk")</f>
        <v>High Risk</v>
      </c>
      <c r="R258" s="2">
        <f t="shared" ref="R258:R321" si="14">-PMT(8%/12,J258,I258*1000)</f>
        <v>965.20860517365497</v>
      </c>
    </row>
    <row r="259" spans="1:18" s="1" customFormat="1" ht="11.5" x14ac:dyDescent="0.25">
      <c r="A259" s="1" t="s">
        <v>290</v>
      </c>
      <c r="B259" s="1" t="s">
        <v>52</v>
      </c>
      <c r="C259" s="1" t="s">
        <v>22</v>
      </c>
      <c r="D259" s="1">
        <v>1</v>
      </c>
      <c r="E259" s="1" t="s">
        <v>17</v>
      </c>
      <c r="F259" s="1" t="s">
        <v>22</v>
      </c>
      <c r="G259" s="1">
        <v>6263</v>
      </c>
      <c r="H259" s="1">
        <v>3999</v>
      </c>
      <c r="I259" s="1">
        <v>257</v>
      </c>
      <c r="J259" s="1">
        <v>120</v>
      </c>
      <c r="K259" s="1">
        <v>0</v>
      </c>
      <c r="L259" s="1" t="s">
        <v>30</v>
      </c>
      <c r="M259" s="1">
        <f>Table1[[#This Row],[ApplicantIncome]]+Table1[[#This Row],[CoapplicantIncome]]</f>
        <v>10262</v>
      </c>
      <c r="N259" s="1" t="s">
        <v>20</v>
      </c>
      <c r="O259" s="1" t="str">
        <f>IF(Table1[[#This Row],[Total_Income]]&lt;3000,"Low",IF(Table1[[#This Row],[Total_Income]]&lt;7000,"Medium","High"))</f>
        <v>High</v>
      </c>
      <c r="P259" s="1" t="str">
        <f t="shared" si="12"/>
        <v>Approved</v>
      </c>
      <c r="Q259" s="1" t="str">
        <f t="shared" si="13"/>
        <v>High Risk</v>
      </c>
      <c r="R259" s="2">
        <f t="shared" si="14"/>
        <v>3118.1191749326731</v>
      </c>
    </row>
    <row r="260" spans="1:18" s="1" customFormat="1" ht="11.5" x14ac:dyDescent="0.25">
      <c r="A260" s="1" t="s">
        <v>291</v>
      </c>
      <c r="B260" s="1" t="s">
        <v>1238</v>
      </c>
      <c r="C260" s="1" t="s">
        <v>29</v>
      </c>
      <c r="D260" s="1">
        <v>0</v>
      </c>
      <c r="E260" s="1" t="s">
        <v>25</v>
      </c>
      <c r="F260" s="1" t="s">
        <v>22</v>
      </c>
      <c r="G260" s="1">
        <v>8785</v>
      </c>
      <c r="H260" s="1">
        <v>7264</v>
      </c>
      <c r="I260" s="1">
        <v>437</v>
      </c>
      <c r="J260" s="1">
        <v>180</v>
      </c>
      <c r="K260" s="1">
        <v>0</v>
      </c>
      <c r="L260" s="1" t="s">
        <v>30</v>
      </c>
      <c r="M260" s="1">
        <f>Table1[[#This Row],[ApplicantIncome]]+Table1[[#This Row],[CoapplicantIncome]]</f>
        <v>16049</v>
      </c>
      <c r="N260" s="1" t="s">
        <v>20</v>
      </c>
      <c r="O260" s="1" t="str">
        <f>IF(Table1[[#This Row],[Total_Income]]&lt;3000,"Low",IF(Table1[[#This Row],[Total_Income]]&lt;7000,"Medium","High"))</f>
        <v>High</v>
      </c>
      <c r="P260" s="1" t="str">
        <f t="shared" si="12"/>
        <v>Approved</v>
      </c>
      <c r="Q260" s="1" t="str">
        <f t="shared" si="13"/>
        <v>High Risk</v>
      </c>
      <c r="R260" s="2">
        <f t="shared" si="14"/>
        <v>4176.199608523636</v>
      </c>
    </row>
    <row r="261" spans="1:18" s="1" customFormat="1" ht="11.5" x14ac:dyDescent="0.25">
      <c r="A261" s="1" t="s">
        <v>292</v>
      </c>
      <c r="B261" s="1" t="s">
        <v>28</v>
      </c>
      <c r="C261" s="1" t="s">
        <v>29</v>
      </c>
      <c r="D261" s="1" t="s">
        <v>16</v>
      </c>
      <c r="E261" s="1" t="s">
        <v>17</v>
      </c>
      <c r="F261" s="1" t="s">
        <v>22</v>
      </c>
      <c r="G261" s="1">
        <v>4224</v>
      </c>
      <c r="H261" s="1">
        <v>5895</v>
      </c>
      <c r="I261" s="1">
        <v>572</v>
      </c>
      <c r="J261" s="1">
        <v>360</v>
      </c>
      <c r="K261" s="1">
        <v>0</v>
      </c>
      <c r="L261" s="1" t="s">
        <v>19</v>
      </c>
      <c r="M261" s="1">
        <f>Table1[[#This Row],[ApplicantIncome]]+Table1[[#This Row],[CoapplicantIncome]]</f>
        <v>10119</v>
      </c>
      <c r="N261" s="1" t="s">
        <v>20</v>
      </c>
      <c r="O261" s="1" t="str">
        <f>IF(Table1[[#This Row],[Total_Income]]&lt;3000,"Low",IF(Table1[[#This Row],[Total_Income]]&lt;7000,"Medium","High"))</f>
        <v>High</v>
      </c>
      <c r="P261" s="1" t="str">
        <f t="shared" si="12"/>
        <v>Approved</v>
      </c>
      <c r="Q261" s="1" t="str">
        <f t="shared" si="13"/>
        <v>High Risk</v>
      </c>
      <c r="R261" s="2">
        <f t="shared" si="14"/>
        <v>4197.1333625900324</v>
      </c>
    </row>
    <row r="262" spans="1:18" s="1" customFormat="1" ht="11.5" x14ac:dyDescent="0.25">
      <c r="A262" s="1" t="s">
        <v>293</v>
      </c>
      <c r="B262" s="1" t="s">
        <v>52</v>
      </c>
      <c r="C262" s="1" t="s">
        <v>22</v>
      </c>
      <c r="D262" s="1">
        <v>1</v>
      </c>
      <c r="E262" s="1" t="s">
        <v>25</v>
      </c>
      <c r="F262" s="1" t="s">
        <v>22</v>
      </c>
      <c r="G262" s="1">
        <v>11935</v>
      </c>
      <c r="H262" s="1">
        <v>1977</v>
      </c>
      <c r="I262" s="1">
        <v>360</v>
      </c>
      <c r="J262" s="1">
        <v>180</v>
      </c>
      <c r="K262" s="1">
        <v>0</v>
      </c>
      <c r="L262" s="1" t="s">
        <v>30</v>
      </c>
      <c r="M262" s="1">
        <f>Table1[[#This Row],[ApplicantIncome]]+Table1[[#This Row],[CoapplicantIncome]]</f>
        <v>13912</v>
      </c>
      <c r="N262" s="1" t="s">
        <v>20</v>
      </c>
      <c r="O262" s="1" t="str">
        <f>IF(Table1[[#This Row],[Total_Income]]&lt;3000,"Low",IF(Table1[[#This Row],[Total_Income]]&lt;7000,"Medium","High"))</f>
        <v>High</v>
      </c>
      <c r="P262" s="1" t="str">
        <f t="shared" si="12"/>
        <v>Approved</v>
      </c>
      <c r="Q262" s="1" t="str">
        <f t="shared" si="13"/>
        <v>High Risk</v>
      </c>
      <c r="R262" s="2">
        <f t="shared" si="14"/>
        <v>3440.3475035892652</v>
      </c>
    </row>
    <row r="263" spans="1:18" s="1" customFormat="1" ht="11.5" x14ac:dyDescent="0.25">
      <c r="A263" s="1" t="s">
        <v>294</v>
      </c>
      <c r="B263" s="1" t="s">
        <v>28</v>
      </c>
      <c r="C263" s="1" t="s">
        <v>22</v>
      </c>
      <c r="D263" s="1">
        <v>0</v>
      </c>
      <c r="E263" s="1" t="s">
        <v>17</v>
      </c>
      <c r="F263" s="1" t="s">
        <v>22</v>
      </c>
      <c r="G263" s="1">
        <v>17433</v>
      </c>
      <c r="H263" s="1">
        <v>4463</v>
      </c>
      <c r="I263" s="1">
        <v>317</v>
      </c>
      <c r="J263" s="1">
        <v>360</v>
      </c>
      <c r="K263" s="1">
        <v>0</v>
      </c>
      <c r="L263" s="1" t="s">
        <v>19</v>
      </c>
      <c r="M263" s="1">
        <f>Table1[[#This Row],[ApplicantIncome]]+Table1[[#This Row],[CoapplicantIncome]]</f>
        <v>21896</v>
      </c>
      <c r="N263" s="1" t="s">
        <v>20</v>
      </c>
      <c r="O263" s="1" t="str">
        <f>IF(Table1[[#This Row],[Total_Income]]&lt;3000,"Low",IF(Table1[[#This Row],[Total_Income]]&lt;7000,"Medium","High"))</f>
        <v>High</v>
      </c>
      <c r="P263" s="1" t="str">
        <f t="shared" si="12"/>
        <v>Approved</v>
      </c>
      <c r="Q263" s="1" t="str">
        <f t="shared" si="13"/>
        <v>High Risk</v>
      </c>
      <c r="R263" s="2">
        <f t="shared" si="14"/>
        <v>2326.0336991976228</v>
      </c>
    </row>
    <row r="264" spans="1:18" s="1" customFormat="1" ht="11.5" x14ac:dyDescent="0.25">
      <c r="A264" s="1" t="s">
        <v>295</v>
      </c>
      <c r="B264" s="1" t="s">
        <v>28</v>
      </c>
      <c r="C264" s="1" t="s">
        <v>29</v>
      </c>
      <c r="D264" s="1">
        <v>1</v>
      </c>
      <c r="E264" s="1" t="s">
        <v>25</v>
      </c>
      <c r="F264" s="1" t="s">
        <v>22</v>
      </c>
      <c r="G264" s="1">
        <v>3190</v>
      </c>
      <c r="H264" s="1">
        <v>7693</v>
      </c>
      <c r="I264" s="1">
        <v>459</v>
      </c>
      <c r="J264" s="1">
        <v>360</v>
      </c>
      <c r="K264" s="1">
        <v>0</v>
      </c>
      <c r="L264" s="1" t="s">
        <v>30</v>
      </c>
      <c r="M264" s="1">
        <f>Table1[[#This Row],[ApplicantIncome]]+Table1[[#This Row],[CoapplicantIncome]]</f>
        <v>10883</v>
      </c>
      <c r="N264" s="1" t="s">
        <v>26</v>
      </c>
      <c r="O264" s="1" t="str">
        <f>IF(Table1[[#This Row],[Total_Income]]&lt;3000,"Low",IF(Table1[[#This Row],[Total_Income]]&lt;7000,"Medium","High"))</f>
        <v>High</v>
      </c>
      <c r="P264" s="1" t="str">
        <f t="shared" si="12"/>
        <v>Rejected</v>
      </c>
      <c r="Q264" s="1" t="str">
        <f t="shared" si="13"/>
        <v>High Risk</v>
      </c>
      <c r="R264" s="2">
        <f t="shared" si="14"/>
        <v>3367.9793941063367</v>
      </c>
    </row>
    <row r="265" spans="1:18" s="1" customFormat="1" ht="11.5" x14ac:dyDescent="0.25">
      <c r="A265" s="1" t="s">
        <v>296</v>
      </c>
      <c r="B265" s="1" t="s">
        <v>28</v>
      </c>
      <c r="C265" s="1" t="s">
        <v>22</v>
      </c>
      <c r="D265" s="1" t="s">
        <v>16</v>
      </c>
      <c r="E265" s="1" t="s">
        <v>17</v>
      </c>
      <c r="F265" s="1" t="s">
        <v>22</v>
      </c>
      <c r="G265" s="1">
        <v>10138</v>
      </c>
      <c r="H265" s="1">
        <v>4535</v>
      </c>
      <c r="I265" s="1">
        <v>668</v>
      </c>
      <c r="J265" s="1">
        <v>360</v>
      </c>
      <c r="K265" s="1">
        <v>0</v>
      </c>
      <c r="L265" s="1" t="s">
        <v>30</v>
      </c>
      <c r="M265" s="1">
        <f>Table1[[#This Row],[ApplicantIncome]]+Table1[[#This Row],[CoapplicantIncome]]</f>
        <v>14673</v>
      </c>
      <c r="N265" s="1" t="s">
        <v>20</v>
      </c>
      <c r="O265" s="1" t="str">
        <f>IF(Table1[[#This Row],[Total_Income]]&lt;3000,"Low",IF(Table1[[#This Row],[Total_Income]]&lt;7000,"Medium","High"))</f>
        <v>High</v>
      </c>
      <c r="P265" s="1" t="str">
        <f t="shared" si="12"/>
        <v>Approved</v>
      </c>
      <c r="Q265" s="1" t="str">
        <f t="shared" si="13"/>
        <v>High Risk</v>
      </c>
      <c r="R265" s="2">
        <f t="shared" si="14"/>
        <v>4901.5473535142328</v>
      </c>
    </row>
    <row r="266" spans="1:18" s="1" customFormat="1" ht="11.5" x14ac:dyDescent="0.25">
      <c r="A266" s="1" t="s">
        <v>297</v>
      </c>
      <c r="B266" s="1" t="s">
        <v>52</v>
      </c>
      <c r="C266" s="1" t="s">
        <v>22</v>
      </c>
      <c r="D266" s="1">
        <v>0</v>
      </c>
      <c r="E266" s="1" t="s">
        <v>25</v>
      </c>
      <c r="F266" s="1" t="s">
        <v>29</v>
      </c>
      <c r="G266" s="1">
        <v>5241</v>
      </c>
      <c r="H266" s="1">
        <v>7186</v>
      </c>
      <c r="I266" s="1">
        <v>631</v>
      </c>
      <c r="J266" s="1">
        <v>360</v>
      </c>
      <c r="K266" s="1">
        <v>1</v>
      </c>
      <c r="L266" s="1" t="s">
        <v>41</v>
      </c>
      <c r="M266" s="1">
        <f>Table1[[#This Row],[ApplicantIncome]]+Table1[[#This Row],[CoapplicantIncome]]</f>
        <v>12427</v>
      </c>
      <c r="N266" s="1" t="s">
        <v>26</v>
      </c>
      <c r="O266" s="1" t="str">
        <f>IF(Table1[[#This Row],[Total_Income]]&lt;3000,"Low",IF(Table1[[#This Row],[Total_Income]]&lt;7000,"Medium","High"))</f>
        <v>High</v>
      </c>
      <c r="P266" s="1" t="str">
        <f t="shared" si="12"/>
        <v>Rejected</v>
      </c>
      <c r="Q266" s="1" t="str">
        <f t="shared" si="13"/>
        <v>Low Risk</v>
      </c>
      <c r="R266" s="2">
        <f t="shared" si="14"/>
        <v>4630.0544611788637</v>
      </c>
    </row>
    <row r="267" spans="1:18" s="1" customFormat="1" ht="11.5" x14ac:dyDescent="0.25">
      <c r="A267" s="1" t="s">
        <v>298</v>
      </c>
      <c r="B267" s="1" t="s">
        <v>1238</v>
      </c>
      <c r="C267" s="1" t="s">
        <v>22</v>
      </c>
      <c r="D267" s="1">
        <v>0</v>
      </c>
      <c r="E267" s="1" t="s">
        <v>25</v>
      </c>
      <c r="F267" s="1" t="s">
        <v>29</v>
      </c>
      <c r="G267" s="1">
        <v>5208</v>
      </c>
      <c r="H267" s="1">
        <v>6817</v>
      </c>
      <c r="I267" s="1">
        <v>442</v>
      </c>
      <c r="J267" s="1">
        <v>180</v>
      </c>
      <c r="K267" s="1">
        <v>0</v>
      </c>
      <c r="L267" s="1" t="s">
        <v>19</v>
      </c>
      <c r="M267" s="1">
        <f>Table1[[#This Row],[ApplicantIncome]]+Table1[[#This Row],[CoapplicantIncome]]</f>
        <v>12025</v>
      </c>
      <c r="N267" s="1" t="s">
        <v>20</v>
      </c>
      <c r="O267" s="1" t="str">
        <f>IF(Table1[[#This Row],[Total_Income]]&lt;3000,"Low",IF(Table1[[#This Row],[Total_Income]]&lt;7000,"Medium","High"))</f>
        <v>High</v>
      </c>
      <c r="P267" s="1" t="str">
        <f t="shared" si="12"/>
        <v>Approved</v>
      </c>
      <c r="Q267" s="1" t="str">
        <f t="shared" si="13"/>
        <v>High Risk</v>
      </c>
      <c r="R267" s="2">
        <f t="shared" si="14"/>
        <v>4223.982212740154</v>
      </c>
    </row>
    <row r="268" spans="1:18" s="1" customFormat="1" ht="11.5" x14ac:dyDescent="0.25">
      <c r="A268" s="1" t="s">
        <v>299</v>
      </c>
      <c r="B268" s="1" t="s">
        <v>52</v>
      </c>
      <c r="C268" s="1" t="s">
        <v>22</v>
      </c>
      <c r="D268" s="1">
        <v>0</v>
      </c>
      <c r="E268" s="1" t="s">
        <v>25</v>
      </c>
      <c r="F268" s="1" t="s">
        <v>22</v>
      </c>
      <c r="G268" s="1">
        <v>6452</v>
      </c>
      <c r="H268" s="1">
        <v>8259</v>
      </c>
      <c r="I268" s="1">
        <v>435</v>
      </c>
      <c r="J268" s="1">
        <v>360</v>
      </c>
      <c r="K268" s="1">
        <v>0</v>
      </c>
      <c r="L268" s="1" t="s">
        <v>19</v>
      </c>
      <c r="M268" s="1">
        <f>Table1[[#This Row],[ApplicantIncome]]+Table1[[#This Row],[CoapplicantIncome]]</f>
        <v>14711</v>
      </c>
      <c r="N268" s="1" t="s">
        <v>20</v>
      </c>
      <c r="O268" s="1" t="str">
        <f>IF(Table1[[#This Row],[Total_Income]]&lt;3000,"Low",IF(Table1[[#This Row],[Total_Income]]&lt;7000,"Medium","High"))</f>
        <v>High</v>
      </c>
      <c r="P268" s="1" t="str">
        <f t="shared" si="12"/>
        <v>Approved</v>
      </c>
      <c r="Q268" s="1" t="str">
        <f t="shared" si="13"/>
        <v>High Risk</v>
      </c>
      <c r="R268" s="2">
        <f t="shared" si="14"/>
        <v>3191.8758963752866</v>
      </c>
    </row>
    <row r="269" spans="1:18" s="1" customFormat="1" ht="11.5" x14ac:dyDescent="0.25">
      <c r="A269" s="1" t="s">
        <v>300</v>
      </c>
      <c r="B269" s="1" t="s">
        <v>28</v>
      </c>
      <c r="C269" s="1" t="s">
        <v>29</v>
      </c>
      <c r="D269" s="1">
        <v>2</v>
      </c>
      <c r="E269" s="1" t="s">
        <v>25</v>
      </c>
      <c r="F269" s="1" t="s">
        <v>22</v>
      </c>
      <c r="G269" s="1">
        <v>7537</v>
      </c>
      <c r="H269" s="1">
        <v>5143</v>
      </c>
      <c r="I269" s="1">
        <v>302</v>
      </c>
      <c r="J269" s="1">
        <v>120</v>
      </c>
      <c r="K269" s="1">
        <v>1</v>
      </c>
      <c r="L269" s="1" t="s">
        <v>19</v>
      </c>
      <c r="M269" s="1">
        <f>Table1[[#This Row],[ApplicantIncome]]+Table1[[#This Row],[CoapplicantIncome]]</f>
        <v>12680</v>
      </c>
      <c r="N269" s="1" t="s">
        <v>20</v>
      </c>
      <c r="O269" s="1" t="str">
        <f>IF(Table1[[#This Row],[Total_Income]]&lt;3000,"Low",IF(Table1[[#This Row],[Total_Income]]&lt;7000,"Medium","High"))</f>
        <v>High</v>
      </c>
      <c r="P269" s="1" t="str">
        <f t="shared" si="12"/>
        <v>Approved</v>
      </c>
      <c r="Q269" s="1" t="str">
        <f t="shared" si="13"/>
        <v>Low Risk</v>
      </c>
      <c r="R269" s="2">
        <f t="shared" si="14"/>
        <v>3664.093349531779</v>
      </c>
    </row>
    <row r="270" spans="1:18" s="1" customFormat="1" ht="11.5" x14ac:dyDescent="0.25">
      <c r="A270" s="1" t="s">
        <v>301</v>
      </c>
      <c r="B270" s="1" t="s">
        <v>1238</v>
      </c>
      <c r="C270" s="1" t="s">
        <v>22</v>
      </c>
      <c r="D270" s="1" t="s">
        <v>16</v>
      </c>
      <c r="E270" s="1" t="s">
        <v>17</v>
      </c>
      <c r="F270" s="1" t="s">
        <v>29</v>
      </c>
      <c r="G270" s="1">
        <v>5373</v>
      </c>
      <c r="H270" s="1">
        <v>4134</v>
      </c>
      <c r="I270" s="1">
        <v>263</v>
      </c>
      <c r="J270" s="1">
        <v>360</v>
      </c>
      <c r="K270" s="1">
        <v>0</v>
      </c>
      <c r="L270" s="1" t="s">
        <v>19</v>
      </c>
      <c r="M270" s="1">
        <f>Table1[[#This Row],[ApplicantIncome]]+Table1[[#This Row],[CoapplicantIncome]]</f>
        <v>9507</v>
      </c>
      <c r="N270" s="1" t="s">
        <v>20</v>
      </c>
      <c r="O270" s="1" t="str">
        <f>IF(Table1[[#This Row],[Total_Income]]&lt;3000,"Low",IF(Table1[[#This Row],[Total_Income]]&lt;7000,"Medium","High"))</f>
        <v>High</v>
      </c>
      <c r="P270" s="1" t="str">
        <f t="shared" si="12"/>
        <v>Approved</v>
      </c>
      <c r="Q270" s="1" t="str">
        <f t="shared" si="13"/>
        <v>High Risk</v>
      </c>
      <c r="R270" s="2">
        <f t="shared" si="14"/>
        <v>1929.8008293027594</v>
      </c>
    </row>
    <row r="271" spans="1:18" s="1" customFormat="1" ht="11.5" x14ac:dyDescent="0.25">
      <c r="A271" s="1" t="s">
        <v>302</v>
      </c>
      <c r="B271" s="1" t="s">
        <v>28</v>
      </c>
      <c r="C271" s="1" t="s">
        <v>22</v>
      </c>
      <c r="D271" s="1">
        <v>2</v>
      </c>
      <c r="E271" s="1" t="s">
        <v>25</v>
      </c>
      <c r="F271" s="1" t="s">
        <v>22</v>
      </c>
      <c r="G271" s="1">
        <v>18935</v>
      </c>
      <c r="H271" s="1">
        <v>468</v>
      </c>
      <c r="I271" s="1">
        <v>501</v>
      </c>
      <c r="J271" s="1">
        <v>360</v>
      </c>
      <c r="K271" s="1">
        <v>0</v>
      </c>
      <c r="L271" s="1" t="s">
        <v>19</v>
      </c>
      <c r="M271" s="1">
        <f>Table1[[#This Row],[ApplicantIncome]]+Table1[[#This Row],[CoapplicantIncome]]</f>
        <v>19403</v>
      </c>
      <c r="N271" s="1" t="s">
        <v>26</v>
      </c>
      <c r="O271" s="1" t="str">
        <f>IF(Table1[[#This Row],[Total_Income]]&lt;3000,"Low",IF(Table1[[#This Row],[Total_Income]]&lt;7000,"Medium","High"))</f>
        <v>High</v>
      </c>
      <c r="P271" s="1" t="str">
        <f t="shared" si="12"/>
        <v>Rejected</v>
      </c>
      <c r="Q271" s="1" t="str">
        <f t="shared" si="13"/>
        <v>High Risk</v>
      </c>
      <c r="R271" s="2">
        <f t="shared" si="14"/>
        <v>3676.1605151356753</v>
      </c>
    </row>
    <row r="272" spans="1:18" s="1" customFormat="1" ht="11.5" x14ac:dyDescent="0.25">
      <c r="A272" s="1" t="s">
        <v>303</v>
      </c>
      <c r="B272" s="1" t="s">
        <v>52</v>
      </c>
      <c r="C272" s="1" t="s">
        <v>22</v>
      </c>
      <c r="D272" s="1">
        <v>0</v>
      </c>
      <c r="E272" s="1" t="s">
        <v>25</v>
      </c>
      <c r="F272" s="1" t="s">
        <v>22</v>
      </c>
      <c r="G272" s="1">
        <v>5885</v>
      </c>
      <c r="H272" s="1">
        <v>8293</v>
      </c>
      <c r="I272" s="1">
        <v>697</v>
      </c>
      <c r="J272" s="1">
        <v>360</v>
      </c>
      <c r="K272" s="1">
        <v>0</v>
      </c>
      <c r="L272" s="1" t="s">
        <v>30</v>
      </c>
      <c r="M272" s="1">
        <f>Table1[[#This Row],[ApplicantIncome]]+Table1[[#This Row],[CoapplicantIncome]]</f>
        <v>14178</v>
      </c>
      <c r="N272" s="1" t="s">
        <v>26</v>
      </c>
      <c r="O272" s="1" t="str">
        <f>IF(Table1[[#This Row],[Total_Income]]&lt;3000,"Low",IF(Table1[[#This Row],[Total_Income]]&lt;7000,"Medium","High"))</f>
        <v>High</v>
      </c>
      <c r="P272" s="1" t="str">
        <f t="shared" si="12"/>
        <v>Rejected</v>
      </c>
      <c r="Q272" s="1" t="str">
        <f t="shared" si="13"/>
        <v>High Risk</v>
      </c>
      <c r="R272" s="2">
        <f t="shared" si="14"/>
        <v>5114.3390799392519</v>
      </c>
    </row>
    <row r="273" spans="1:18" s="1" customFormat="1" ht="11.5" x14ac:dyDescent="0.25">
      <c r="A273" s="1" t="s">
        <v>304</v>
      </c>
      <c r="B273" s="1" t="s">
        <v>52</v>
      </c>
      <c r="C273" s="1" t="s">
        <v>29</v>
      </c>
      <c r="D273" s="1">
        <v>2</v>
      </c>
      <c r="E273" s="1" t="s">
        <v>17</v>
      </c>
      <c r="F273" s="1" t="s">
        <v>22</v>
      </c>
      <c r="G273" s="1">
        <v>3215</v>
      </c>
      <c r="H273" s="1">
        <v>3260</v>
      </c>
      <c r="I273" s="1">
        <v>531</v>
      </c>
      <c r="J273" s="1">
        <v>120</v>
      </c>
      <c r="K273" s="1">
        <v>0</v>
      </c>
      <c r="L273" s="1" t="s">
        <v>19</v>
      </c>
      <c r="M273" s="1">
        <f>Table1[[#This Row],[ApplicantIncome]]+Table1[[#This Row],[CoapplicantIncome]]</f>
        <v>6475</v>
      </c>
      <c r="N273" s="1" t="s">
        <v>26</v>
      </c>
      <c r="O273" s="1" t="str">
        <f>IF(Table1[[#This Row],[Total_Income]]&lt;3000,"Low",IF(Table1[[#This Row],[Total_Income]]&lt;7000,"Medium","High"))</f>
        <v>Medium</v>
      </c>
      <c r="P273" s="1" t="str">
        <f t="shared" si="12"/>
        <v>Rejected</v>
      </c>
      <c r="Q273" s="1" t="str">
        <f t="shared" si="13"/>
        <v>High Risk</v>
      </c>
      <c r="R273" s="2">
        <f t="shared" si="14"/>
        <v>6442.495260269453</v>
      </c>
    </row>
    <row r="274" spans="1:18" s="1" customFormat="1" ht="11.5" x14ac:dyDescent="0.25">
      <c r="A274" s="1" t="s">
        <v>305</v>
      </c>
      <c r="B274" s="1" t="s">
        <v>1238</v>
      </c>
      <c r="C274" s="1" t="s">
        <v>22</v>
      </c>
      <c r="D274" s="1">
        <v>2</v>
      </c>
      <c r="E274" s="1" t="s">
        <v>25</v>
      </c>
      <c r="F274" s="1" t="s">
        <v>22</v>
      </c>
      <c r="G274" s="1">
        <v>18511</v>
      </c>
      <c r="H274" s="1">
        <v>7029</v>
      </c>
      <c r="I274" s="1">
        <v>112</v>
      </c>
      <c r="J274" s="1">
        <v>120</v>
      </c>
      <c r="K274" s="1">
        <v>0</v>
      </c>
      <c r="L274" s="1" t="s">
        <v>30</v>
      </c>
      <c r="M274" s="1">
        <f>Table1[[#This Row],[ApplicantIncome]]+Table1[[#This Row],[CoapplicantIncome]]</f>
        <v>25540</v>
      </c>
      <c r="N274" s="1" t="s">
        <v>26</v>
      </c>
      <c r="O274" s="1" t="str">
        <f>IF(Table1[[#This Row],[Total_Income]]&lt;3000,"Low",IF(Table1[[#This Row],[Total_Income]]&lt;7000,"Medium","High"))</f>
        <v>High</v>
      </c>
      <c r="P274" s="1" t="str">
        <f t="shared" si="12"/>
        <v>Rejected</v>
      </c>
      <c r="Q274" s="1" t="str">
        <f t="shared" si="13"/>
        <v>High Risk</v>
      </c>
      <c r="R274" s="2">
        <f t="shared" si="14"/>
        <v>1358.8690567799977</v>
      </c>
    </row>
    <row r="275" spans="1:18" s="1" customFormat="1" ht="11.5" x14ac:dyDescent="0.25">
      <c r="A275" s="1" t="s">
        <v>306</v>
      </c>
      <c r="B275" s="1" t="s">
        <v>52</v>
      </c>
      <c r="C275" s="1" t="s">
        <v>22</v>
      </c>
      <c r="D275" s="1" t="s">
        <v>16</v>
      </c>
      <c r="E275" s="1" t="s">
        <v>25</v>
      </c>
      <c r="F275" s="1" t="s">
        <v>22</v>
      </c>
      <c r="G275" s="1">
        <v>18815</v>
      </c>
      <c r="H275" s="1">
        <v>4054</v>
      </c>
      <c r="I275" s="1">
        <v>340</v>
      </c>
      <c r="J275" s="1">
        <v>180</v>
      </c>
      <c r="K275" s="1">
        <v>0</v>
      </c>
      <c r="L275" s="1" t="s">
        <v>30</v>
      </c>
      <c r="M275" s="1">
        <f>Table1[[#This Row],[ApplicantIncome]]+Table1[[#This Row],[CoapplicantIncome]]</f>
        <v>22869</v>
      </c>
      <c r="N275" s="1" t="s">
        <v>20</v>
      </c>
      <c r="O275" s="1" t="str">
        <f>IF(Table1[[#This Row],[Total_Income]]&lt;3000,"Low",IF(Table1[[#This Row],[Total_Income]]&lt;7000,"Medium","High"))</f>
        <v>High</v>
      </c>
      <c r="P275" s="1" t="str">
        <f t="shared" si="12"/>
        <v>Approved</v>
      </c>
      <c r="Q275" s="1" t="str">
        <f t="shared" si="13"/>
        <v>High Risk</v>
      </c>
      <c r="R275" s="2">
        <f t="shared" si="14"/>
        <v>3249.2170867231948</v>
      </c>
    </row>
    <row r="276" spans="1:18" s="1" customFormat="1" ht="11.5" x14ac:dyDescent="0.25">
      <c r="A276" s="1" t="s">
        <v>307</v>
      </c>
      <c r="B276" s="1" t="s">
        <v>28</v>
      </c>
      <c r="C276" s="1" t="s">
        <v>22</v>
      </c>
      <c r="D276" s="1">
        <v>1</v>
      </c>
      <c r="E276" s="1" t="s">
        <v>25</v>
      </c>
      <c r="F276" s="1" t="s">
        <v>22</v>
      </c>
      <c r="G276" s="1">
        <v>11339</v>
      </c>
      <c r="H276" s="1">
        <v>1363</v>
      </c>
      <c r="I276" s="1">
        <v>74</v>
      </c>
      <c r="J276" s="1">
        <v>360</v>
      </c>
      <c r="K276" s="1">
        <v>0</v>
      </c>
      <c r="L276" s="1" t="s">
        <v>30</v>
      </c>
      <c r="M276" s="1">
        <f>Table1[[#This Row],[ApplicantIncome]]+Table1[[#This Row],[CoapplicantIncome]]</f>
        <v>12702</v>
      </c>
      <c r="N276" s="1" t="s">
        <v>20</v>
      </c>
      <c r="O276" s="1" t="str">
        <f>IF(Table1[[#This Row],[Total_Income]]&lt;3000,"Low",IF(Table1[[#This Row],[Total_Income]]&lt;7000,"Medium","High"))</f>
        <v>High</v>
      </c>
      <c r="P276" s="1" t="str">
        <f t="shared" si="12"/>
        <v>Approved</v>
      </c>
      <c r="Q276" s="1" t="str">
        <f t="shared" si="13"/>
        <v>High Risk</v>
      </c>
      <c r="R276" s="2">
        <f t="shared" si="14"/>
        <v>542.98578467073833</v>
      </c>
    </row>
    <row r="277" spans="1:18" s="1" customFormat="1" ht="11.5" x14ac:dyDescent="0.25">
      <c r="A277" s="1" t="s">
        <v>308</v>
      </c>
      <c r="B277" s="1" t="s">
        <v>1238</v>
      </c>
      <c r="C277" s="1" t="s">
        <v>22</v>
      </c>
      <c r="D277" s="1">
        <v>1</v>
      </c>
      <c r="E277" s="1" t="s">
        <v>25</v>
      </c>
      <c r="F277" s="1" t="s">
        <v>29</v>
      </c>
      <c r="G277" s="1">
        <v>7568</v>
      </c>
      <c r="H277" s="1">
        <v>2213</v>
      </c>
      <c r="I277" s="1">
        <v>469</v>
      </c>
      <c r="J277" s="1">
        <v>180</v>
      </c>
      <c r="K277" s="1">
        <v>1</v>
      </c>
      <c r="L277" s="1" t="s">
        <v>19</v>
      </c>
      <c r="M277" s="1">
        <f>Table1[[#This Row],[ApplicantIncome]]+Table1[[#This Row],[CoapplicantIncome]]</f>
        <v>9781</v>
      </c>
      <c r="N277" s="1" t="s">
        <v>26</v>
      </c>
      <c r="O277" s="1" t="str">
        <f>IF(Table1[[#This Row],[Total_Income]]&lt;3000,"Low",IF(Table1[[#This Row],[Total_Income]]&lt;7000,"Medium","High"))</f>
        <v>High</v>
      </c>
      <c r="P277" s="1" t="str">
        <f t="shared" si="12"/>
        <v>Rejected</v>
      </c>
      <c r="Q277" s="1" t="str">
        <f t="shared" si="13"/>
        <v>Low Risk</v>
      </c>
      <c r="R277" s="2">
        <f t="shared" si="14"/>
        <v>4482.0082755093481</v>
      </c>
    </row>
    <row r="278" spans="1:18" s="1" customFormat="1" ht="11.5" x14ac:dyDescent="0.25">
      <c r="A278" s="1" t="s">
        <v>309</v>
      </c>
      <c r="B278" s="1" t="s">
        <v>1238</v>
      </c>
      <c r="C278" s="1" t="s">
        <v>22</v>
      </c>
      <c r="D278" s="1">
        <v>0</v>
      </c>
      <c r="E278" s="1" t="s">
        <v>25</v>
      </c>
      <c r="F278" s="1" t="s">
        <v>22</v>
      </c>
      <c r="G278" s="1">
        <v>12299</v>
      </c>
      <c r="H278" s="1">
        <v>8147</v>
      </c>
      <c r="I278" s="1">
        <v>474</v>
      </c>
      <c r="J278" s="1">
        <v>120</v>
      </c>
      <c r="K278" s="1">
        <v>0</v>
      </c>
      <c r="L278" s="1" t="s">
        <v>41</v>
      </c>
      <c r="M278" s="1">
        <f>Table1[[#This Row],[ApplicantIncome]]+Table1[[#This Row],[CoapplicantIncome]]</f>
        <v>20446</v>
      </c>
      <c r="N278" s="1" t="s">
        <v>26</v>
      </c>
      <c r="O278" s="1" t="str">
        <f>IF(Table1[[#This Row],[Total_Income]]&lt;3000,"Low",IF(Table1[[#This Row],[Total_Income]]&lt;7000,"Medium","High"))</f>
        <v>High</v>
      </c>
      <c r="P278" s="1" t="str">
        <f t="shared" si="12"/>
        <v>Rejected</v>
      </c>
      <c r="Q278" s="1" t="str">
        <f t="shared" si="13"/>
        <v>High Risk</v>
      </c>
      <c r="R278" s="2">
        <f t="shared" si="14"/>
        <v>5750.9279724439184</v>
      </c>
    </row>
    <row r="279" spans="1:18" s="1" customFormat="1" ht="11.5" x14ac:dyDescent="0.25">
      <c r="A279" s="1" t="s">
        <v>310</v>
      </c>
      <c r="B279" s="1" t="s">
        <v>52</v>
      </c>
      <c r="C279" s="1" t="s">
        <v>22</v>
      </c>
      <c r="D279" s="1">
        <v>1</v>
      </c>
      <c r="E279" s="1" t="s">
        <v>25</v>
      </c>
      <c r="F279" s="1" t="s">
        <v>29</v>
      </c>
      <c r="G279" s="1">
        <v>15147</v>
      </c>
      <c r="H279" s="1">
        <v>1556</v>
      </c>
      <c r="I279" s="1">
        <v>416</v>
      </c>
      <c r="J279" s="1">
        <v>120</v>
      </c>
      <c r="K279" s="1">
        <v>0</v>
      </c>
      <c r="L279" s="1" t="s">
        <v>30</v>
      </c>
      <c r="M279" s="1">
        <f>Table1[[#This Row],[ApplicantIncome]]+Table1[[#This Row],[CoapplicantIncome]]</f>
        <v>16703</v>
      </c>
      <c r="N279" s="1" t="s">
        <v>26</v>
      </c>
      <c r="O279" s="1" t="str">
        <f>IF(Table1[[#This Row],[Total_Income]]&lt;3000,"Low",IF(Table1[[#This Row],[Total_Income]]&lt;7000,"Medium","High"))</f>
        <v>High</v>
      </c>
      <c r="P279" s="1" t="str">
        <f t="shared" si="12"/>
        <v>Rejected</v>
      </c>
      <c r="Q279" s="1" t="str">
        <f t="shared" si="13"/>
        <v>High Risk</v>
      </c>
      <c r="R279" s="2">
        <f t="shared" si="14"/>
        <v>5047.2279251828486</v>
      </c>
    </row>
    <row r="280" spans="1:18" s="1" customFormat="1" ht="11.5" x14ac:dyDescent="0.25">
      <c r="A280" s="1" t="s">
        <v>311</v>
      </c>
      <c r="B280" s="1" t="s">
        <v>52</v>
      </c>
      <c r="C280" s="1" t="s">
        <v>29</v>
      </c>
      <c r="D280" s="1" t="s">
        <v>16</v>
      </c>
      <c r="E280" s="1" t="s">
        <v>17</v>
      </c>
      <c r="F280" s="1" t="s">
        <v>22</v>
      </c>
      <c r="G280" s="1">
        <v>11832</v>
      </c>
      <c r="H280" s="1">
        <v>5784</v>
      </c>
      <c r="I280" s="1">
        <v>91</v>
      </c>
      <c r="J280" s="1">
        <v>180</v>
      </c>
      <c r="K280" s="1">
        <v>0</v>
      </c>
      <c r="L280" s="1" t="s">
        <v>30</v>
      </c>
      <c r="M280" s="1">
        <f>Table1[[#This Row],[ApplicantIncome]]+Table1[[#This Row],[CoapplicantIncome]]</f>
        <v>17616</v>
      </c>
      <c r="N280" s="1" t="s">
        <v>26</v>
      </c>
      <c r="O280" s="1" t="str">
        <f>IF(Table1[[#This Row],[Total_Income]]&lt;3000,"Low",IF(Table1[[#This Row],[Total_Income]]&lt;7000,"Medium","High"))</f>
        <v>High</v>
      </c>
      <c r="P280" s="1" t="str">
        <f t="shared" si="12"/>
        <v>Rejected</v>
      </c>
      <c r="Q280" s="1" t="str">
        <f t="shared" si="13"/>
        <v>High Risk</v>
      </c>
      <c r="R280" s="2">
        <f t="shared" si="14"/>
        <v>869.64339674061989</v>
      </c>
    </row>
    <row r="281" spans="1:18" s="1" customFormat="1" ht="11.5" x14ac:dyDescent="0.25">
      <c r="A281" s="1" t="s">
        <v>312</v>
      </c>
      <c r="B281" s="1" t="s">
        <v>28</v>
      </c>
      <c r="C281" s="1" t="s">
        <v>22</v>
      </c>
      <c r="D281" s="1">
        <v>1</v>
      </c>
      <c r="E281" s="1" t="s">
        <v>25</v>
      </c>
      <c r="F281" s="1" t="s">
        <v>22</v>
      </c>
      <c r="G281" s="1">
        <v>14938</v>
      </c>
      <c r="H281" s="1">
        <v>1378</v>
      </c>
      <c r="I281" s="1">
        <v>257</v>
      </c>
      <c r="J281" s="1">
        <v>120</v>
      </c>
      <c r="K281" s="1">
        <v>1</v>
      </c>
      <c r="L281" s="1" t="s">
        <v>41</v>
      </c>
      <c r="M281" s="1">
        <f>Table1[[#This Row],[ApplicantIncome]]+Table1[[#This Row],[CoapplicantIncome]]</f>
        <v>16316</v>
      </c>
      <c r="N281" s="1" t="s">
        <v>26</v>
      </c>
      <c r="O281" s="1" t="str">
        <f>IF(Table1[[#This Row],[Total_Income]]&lt;3000,"Low",IF(Table1[[#This Row],[Total_Income]]&lt;7000,"Medium","High"))</f>
        <v>High</v>
      </c>
      <c r="P281" s="1" t="str">
        <f t="shared" si="12"/>
        <v>Rejected</v>
      </c>
      <c r="Q281" s="1" t="str">
        <f t="shared" si="13"/>
        <v>Low Risk</v>
      </c>
      <c r="R281" s="2">
        <f t="shared" si="14"/>
        <v>3118.1191749326731</v>
      </c>
    </row>
    <row r="282" spans="1:18" s="1" customFormat="1" ht="11.5" x14ac:dyDescent="0.25">
      <c r="A282" s="1" t="s">
        <v>313</v>
      </c>
      <c r="B282" s="1" t="s">
        <v>28</v>
      </c>
      <c r="C282" s="1" t="s">
        <v>22</v>
      </c>
      <c r="D282" s="1">
        <v>1</v>
      </c>
      <c r="E282" s="1" t="s">
        <v>17</v>
      </c>
      <c r="F282" s="1" t="s">
        <v>22</v>
      </c>
      <c r="G282" s="1">
        <v>6667</v>
      </c>
      <c r="H282" s="1">
        <v>3753</v>
      </c>
      <c r="I282" s="1">
        <v>499</v>
      </c>
      <c r="J282" s="1">
        <v>360</v>
      </c>
      <c r="K282" s="1">
        <v>0</v>
      </c>
      <c r="L282" s="1" t="s">
        <v>19</v>
      </c>
      <c r="M282" s="1">
        <f>Table1[[#This Row],[ApplicantIncome]]+Table1[[#This Row],[CoapplicantIncome]]</f>
        <v>10420</v>
      </c>
      <c r="N282" s="1" t="s">
        <v>20</v>
      </c>
      <c r="O282" s="1" t="str">
        <f>IF(Table1[[#This Row],[Total_Income]]&lt;3000,"Low",IF(Table1[[#This Row],[Total_Income]]&lt;7000,"Medium","High"))</f>
        <v>High</v>
      </c>
      <c r="P282" s="1" t="str">
        <f t="shared" si="12"/>
        <v>Approved</v>
      </c>
      <c r="Q282" s="1" t="str">
        <f t="shared" si="13"/>
        <v>High Risk</v>
      </c>
      <c r="R282" s="2">
        <f t="shared" si="14"/>
        <v>3661.4852236580873</v>
      </c>
    </row>
    <row r="283" spans="1:18" s="1" customFormat="1" ht="11.5" x14ac:dyDescent="0.25">
      <c r="A283" s="1" t="s">
        <v>314</v>
      </c>
      <c r="B283" s="1" t="s">
        <v>52</v>
      </c>
      <c r="C283" s="1" t="s">
        <v>29</v>
      </c>
      <c r="D283" s="1">
        <v>1</v>
      </c>
      <c r="E283" s="1" t="s">
        <v>17</v>
      </c>
      <c r="F283" s="1" t="s">
        <v>22</v>
      </c>
      <c r="G283" s="1">
        <v>6950</v>
      </c>
      <c r="H283" s="1">
        <v>8665</v>
      </c>
      <c r="I283" s="1">
        <v>199</v>
      </c>
      <c r="J283" s="1">
        <v>360</v>
      </c>
      <c r="K283" s="1">
        <v>0</v>
      </c>
      <c r="L283" s="1" t="s">
        <v>30</v>
      </c>
      <c r="M283" s="1">
        <f>Table1[[#This Row],[ApplicantIncome]]+Table1[[#This Row],[CoapplicantIncome]]</f>
        <v>15615</v>
      </c>
      <c r="N283" s="1" t="s">
        <v>20</v>
      </c>
      <c r="O283" s="1" t="str">
        <f>IF(Table1[[#This Row],[Total_Income]]&lt;3000,"Low",IF(Table1[[#This Row],[Total_Income]]&lt;7000,"Medium","High"))</f>
        <v>High</v>
      </c>
      <c r="P283" s="1" t="str">
        <f t="shared" si="12"/>
        <v>Approved</v>
      </c>
      <c r="Q283" s="1" t="str">
        <f t="shared" si="13"/>
        <v>High Risk</v>
      </c>
      <c r="R283" s="2">
        <f t="shared" si="14"/>
        <v>1460.1915020199588</v>
      </c>
    </row>
    <row r="284" spans="1:18" s="1" customFormat="1" ht="11.5" x14ac:dyDescent="0.25">
      <c r="A284" s="1" t="s">
        <v>315</v>
      </c>
      <c r="B284" s="1" t="s">
        <v>52</v>
      </c>
      <c r="C284" s="1" t="s">
        <v>29</v>
      </c>
      <c r="D284" s="1">
        <v>1</v>
      </c>
      <c r="E284" s="1" t="s">
        <v>25</v>
      </c>
      <c r="F284" s="1" t="s">
        <v>22</v>
      </c>
      <c r="G284" s="1">
        <v>18210</v>
      </c>
      <c r="H284" s="1">
        <v>6892</v>
      </c>
      <c r="I284" s="1">
        <v>161</v>
      </c>
      <c r="J284" s="1">
        <v>180</v>
      </c>
      <c r="K284" s="1">
        <v>1</v>
      </c>
      <c r="L284" s="1" t="s">
        <v>30</v>
      </c>
      <c r="M284" s="1">
        <f>Table1[[#This Row],[ApplicantIncome]]+Table1[[#This Row],[CoapplicantIncome]]</f>
        <v>25102</v>
      </c>
      <c r="N284" s="1" t="s">
        <v>26</v>
      </c>
      <c r="O284" s="1" t="str">
        <f>IF(Table1[[#This Row],[Total_Income]]&lt;3000,"Low",IF(Table1[[#This Row],[Total_Income]]&lt;7000,"Medium","High"))</f>
        <v>High</v>
      </c>
      <c r="P284" s="1" t="str">
        <f t="shared" si="12"/>
        <v>Rejected</v>
      </c>
      <c r="Q284" s="1" t="str">
        <f t="shared" si="13"/>
        <v>Low Risk</v>
      </c>
      <c r="R284" s="2">
        <f t="shared" si="14"/>
        <v>1538.5998557718658</v>
      </c>
    </row>
    <row r="285" spans="1:18" s="1" customFormat="1" ht="11.5" x14ac:dyDescent="0.25">
      <c r="A285" s="1" t="s">
        <v>316</v>
      </c>
      <c r="B285" s="1" t="s">
        <v>28</v>
      </c>
      <c r="C285" s="1" t="s">
        <v>22</v>
      </c>
      <c r="D285" s="1">
        <v>0</v>
      </c>
      <c r="E285" s="1" t="s">
        <v>25</v>
      </c>
      <c r="F285" s="1" t="s">
        <v>22</v>
      </c>
      <c r="G285" s="1">
        <v>1717</v>
      </c>
      <c r="H285" s="1">
        <v>1851</v>
      </c>
      <c r="I285" s="1">
        <v>250</v>
      </c>
      <c r="J285" s="1">
        <v>180</v>
      </c>
      <c r="K285" s="1">
        <v>1</v>
      </c>
      <c r="L285" s="1" t="s">
        <v>41</v>
      </c>
      <c r="M285" s="1">
        <f>Table1[[#This Row],[ApplicantIncome]]+Table1[[#This Row],[CoapplicantIncome]]</f>
        <v>3568</v>
      </c>
      <c r="N285" s="1" t="s">
        <v>26</v>
      </c>
      <c r="O285" s="1" t="str">
        <f>IF(Table1[[#This Row],[Total_Income]]&lt;3000,"Low",IF(Table1[[#This Row],[Total_Income]]&lt;7000,"Medium","High"))</f>
        <v>Medium</v>
      </c>
      <c r="P285" s="1" t="str">
        <f t="shared" si="12"/>
        <v>Rejected</v>
      </c>
      <c r="Q285" s="1" t="str">
        <f t="shared" si="13"/>
        <v>Low Risk</v>
      </c>
      <c r="R285" s="2">
        <f t="shared" si="14"/>
        <v>2389.1302108258787</v>
      </c>
    </row>
    <row r="286" spans="1:18" s="1" customFormat="1" ht="11.5" x14ac:dyDescent="0.25">
      <c r="A286" s="1" t="s">
        <v>317</v>
      </c>
      <c r="B286" s="1" t="s">
        <v>52</v>
      </c>
      <c r="C286" s="1" t="s">
        <v>29</v>
      </c>
      <c r="D286" s="1">
        <v>1</v>
      </c>
      <c r="E286" s="1" t="s">
        <v>17</v>
      </c>
      <c r="F286" s="1" t="s">
        <v>22</v>
      </c>
      <c r="G286" s="1">
        <v>14629</v>
      </c>
      <c r="H286" s="1">
        <v>6008</v>
      </c>
      <c r="I286" s="1">
        <v>261</v>
      </c>
      <c r="J286" s="1">
        <v>120</v>
      </c>
      <c r="K286" s="1">
        <v>0</v>
      </c>
      <c r="L286" s="1" t="s">
        <v>30</v>
      </c>
      <c r="M286" s="1">
        <f>Table1[[#This Row],[ApplicantIncome]]+Table1[[#This Row],[CoapplicantIncome]]</f>
        <v>20637</v>
      </c>
      <c r="N286" s="1" t="s">
        <v>26</v>
      </c>
      <c r="O286" s="1" t="str">
        <f>IF(Table1[[#This Row],[Total_Income]]&lt;3000,"Low",IF(Table1[[#This Row],[Total_Income]]&lt;7000,"Medium","High"))</f>
        <v>High</v>
      </c>
      <c r="P286" s="1" t="str">
        <f t="shared" si="12"/>
        <v>Rejected</v>
      </c>
      <c r="Q286" s="1" t="str">
        <f t="shared" si="13"/>
        <v>High Risk</v>
      </c>
      <c r="R286" s="2">
        <f t="shared" si="14"/>
        <v>3166.650212674816</v>
      </c>
    </row>
    <row r="287" spans="1:18" s="1" customFormat="1" ht="11.5" x14ac:dyDescent="0.25">
      <c r="A287" s="1" t="s">
        <v>318</v>
      </c>
      <c r="B287" s="1" t="s">
        <v>1238</v>
      </c>
      <c r="C287" s="1" t="s">
        <v>22</v>
      </c>
      <c r="D287" s="1">
        <v>2</v>
      </c>
      <c r="E287" s="1" t="s">
        <v>17</v>
      </c>
      <c r="F287" s="1" t="s">
        <v>22</v>
      </c>
      <c r="G287" s="1">
        <v>3921</v>
      </c>
      <c r="H287" s="1">
        <v>3606</v>
      </c>
      <c r="I287" s="1">
        <v>517</v>
      </c>
      <c r="J287" s="1">
        <v>180</v>
      </c>
      <c r="K287" s="1">
        <v>1</v>
      </c>
      <c r="L287" s="1" t="s">
        <v>19</v>
      </c>
      <c r="M287" s="1">
        <f>Table1[[#This Row],[ApplicantIncome]]+Table1[[#This Row],[CoapplicantIncome]]</f>
        <v>7527</v>
      </c>
      <c r="N287" s="1" t="s">
        <v>20</v>
      </c>
      <c r="O287" s="1" t="str">
        <f>IF(Table1[[#This Row],[Total_Income]]&lt;3000,"Low",IF(Table1[[#This Row],[Total_Income]]&lt;7000,"Medium","High"))</f>
        <v>High</v>
      </c>
      <c r="P287" s="1" t="str">
        <f t="shared" si="12"/>
        <v>Approved</v>
      </c>
      <c r="Q287" s="1" t="str">
        <f t="shared" si="13"/>
        <v>Low Risk</v>
      </c>
      <c r="R287" s="2">
        <f t="shared" si="14"/>
        <v>4940.7212759879176</v>
      </c>
    </row>
    <row r="288" spans="1:18" s="1" customFormat="1" ht="11.5" x14ac:dyDescent="0.25">
      <c r="A288" s="1" t="s">
        <v>319</v>
      </c>
      <c r="B288" s="1" t="s">
        <v>28</v>
      </c>
      <c r="C288" s="1" t="s">
        <v>22</v>
      </c>
      <c r="D288" s="1" t="s">
        <v>16</v>
      </c>
      <c r="E288" s="1" t="s">
        <v>17</v>
      </c>
      <c r="F288" s="1" t="s">
        <v>29</v>
      </c>
      <c r="G288" s="1">
        <v>6581</v>
      </c>
      <c r="H288" s="1">
        <v>9195</v>
      </c>
      <c r="I288" s="1">
        <v>425</v>
      </c>
      <c r="J288" s="1">
        <v>120</v>
      </c>
      <c r="K288" s="1">
        <v>0</v>
      </c>
      <c r="L288" s="1" t="s">
        <v>41</v>
      </c>
      <c r="M288" s="1">
        <f>Table1[[#This Row],[ApplicantIncome]]+Table1[[#This Row],[CoapplicantIncome]]</f>
        <v>15776</v>
      </c>
      <c r="N288" s="1" t="s">
        <v>20</v>
      </c>
      <c r="O288" s="1" t="str">
        <f>IF(Table1[[#This Row],[Total_Income]]&lt;3000,"Low",IF(Table1[[#This Row],[Total_Income]]&lt;7000,"Medium","High"))</f>
        <v>High</v>
      </c>
      <c r="P288" s="1" t="str">
        <f t="shared" si="12"/>
        <v>Approved</v>
      </c>
      <c r="Q288" s="1" t="str">
        <f t="shared" si="13"/>
        <v>High Risk</v>
      </c>
      <c r="R288" s="2">
        <f t="shared" si="14"/>
        <v>5156.4227601026696</v>
      </c>
    </row>
    <row r="289" spans="1:18" s="1" customFormat="1" ht="11.5" x14ac:dyDescent="0.25">
      <c r="A289" s="1" t="s">
        <v>320</v>
      </c>
      <c r="B289" s="1" t="s">
        <v>1238</v>
      </c>
      <c r="C289" s="1" t="s">
        <v>29</v>
      </c>
      <c r="D289" s="1">
        <v>2</v>
      </c>
      <c r="E289" s="1" t="s">
        <v>25</v>
      </c>
      <c r="F289" s="1" t="s">
        <v>29</v>
      </c>
      <c r="G289" s="1">
        <v>6058</v>
      </c>
      <c r="H289" s="1">
        <v>5268</v>
      </c>
      <c r="I289" s="1">
        <v>52</v>
      </c>
      <c r="J289" s="1">
        <v>120</v>
      </c>
      <c r="K289" s="1">
        <v>0</v>
      </c>
      <c r="L289" s="1" t="s">
        <v>19</v>
      </c>
      <c r="M289" s="1">
        <f>Table1[[#This Row],[ApplicantIncome]]+Table1[[#This Row],[CoapplicantIncome]]</f>
        <v>11326</v>
      </c>
      <c r="N289" s="1" t="s">
        <v>20</v>
      </c>
      <c r="O289" s="1" t="str">
        <f>IF(Table1[[#This Row],[Total_Income]]&lt;3000,"Low",IF(Table1[[#This Row],[Total_Income]]&lt;7000,"Medium","High"))</f>
        <v>High</v>
      </c>
      <c r="P289" s="1" t="str">
        <f t="shared" si="12"/>
        <v>Approved</v>
      </c>
      <c r="Q289" s="1" t="str">
        <f t="shared" si="13"/>
        <v>High Risk</v>
      </c>
      <c r="R289" s="2">
        <f t="shared" si="14"/>
        <v>630.90349064785607</v>
      </c>
    </row>
    <row r="290" spans="1:18" s="1" customFormat="1" ht="11.5" x14ac:dyDescent="0.25">
      <c r="A290" s="1" t="s">
        <v>321</v>
      </c>
      <c r="B290" s="1" t="s">
        <v>1238</v>
      </c>
      <c r="C290" s="1" t="s">
        <v>22</v>
      </c>
      <c r="D290" s="1" t="s">
        <v>16</v>
      </c>
      <c r="E290" s="1" t="s">
        <v>25</v>
      </c>
      <c r="F290" s="1" t="s">
        <v>22</v>
      </c>
      <c r="G290" s="1">
        <v>11689</v>
      </c>
      <c r="H290" s="1">
        <v>385</v>
      </c>
      <c r="I290" s="1">
        <v>394</v>
      </c>
      <c r="J290" s="1">
        <v>360</v>
      </c>
      <c r="K290" s="1">
        <v>0</v>
      </c>
      <c r="L290" s="1" t="s">
        <v>41</v>
      </c>
      <c r="M290" s="1">
        <f>Table1[[#This Row],[ApplicantIncome]]+Table1[[#This Row],[CoapplicantIncome]]</f>
        <v>12074</v>
      </c>
      <c r="N290" s="1" t="s">
        <v>20</v>
      </c>
      <c r="O290" s="1" t="str">
        <f>IF(Table1[[#This Row],[Total_Income]]&lt;3000,"Low",IF(Table1[[#This Row],[Total_Income]]&lt;7000,"Medium","High"))</f>
        <v>High</v>
      </c>
      <c r="P290" s="1" t="str">
        <f t="shared" si="12"/>
        <v>Approved</v>
      </c>
      <c r="Q290" s="1" t="str">
        <f t="shared" si="13"/>
        <v>High Risk</v>
      </c>
      <c r="R290" s="2">
        <f t="shared" si="14"/>
        <v>2891.0324210847425</v>
      </c>
    </row>
    <row r="291" spans="1:18" s="1" customFormat="1" ht="11.5" x14ac:dyDescent="0.25">
      <c r="A291" s="1" t="s">
        <v>322</v>
      </c>
      <c r="B291" s="1" t="s">
        <v>52</v>
      </c>
      <c r="C291" s="1" t="s">
        <v>29</v>
      </c>
      <c r="D291" s="1">
        <v>0</v>
      </c>
      <c r="E291" s="1" t="s">
        <v>25</v>
      </c>
      <c r="F291" s="1" t="s">
        <v>22</v>
      </c>
      <c r="G291" s="1">
        <v>13245</v>
      </c>
      <c r="H291" s="1">
        <v>8599</v>
      </c>
      <c r="I291" s="1">
        <v>457</v>
      </c>
      <c r="J291" s="1">
        <v>360</v>
      </c>
      <c r="K291" s="1">
        <v>0</v>
      </c>
      <c r="L291" s="1" t="s">
        <v>30</v>
      </c>
      <c r="M291" s="1">
        <f>Table1[[#This Row],[ApplicantIncome]]+Table1[[#This Row],[CoapplicantIncome]]</f>
        <v>21844</v>
      </c>
      <c r="N291" s="1" t="s">
        <v>26</v>
      </c>
      <c r="O291" s="1" t="str">
        <f>IF(Table1[[#This Row],[Total_Income]]&lt;3000,"Low",IF(Table1[[#This Row],[Total_Income]]&lt;7000,"Medium","High"))</f>
        <v>High</v>
      </c>
      <c r="P291" s="1" t="str">
        <f t="shared" si="12"/>
        <v>Rejected</v>
      </c>
      <c r="Q291" s="1" t="str">
        <f t="shared" si="13"/>
        <v>High Risk</v>
      </c>
      <c r="R291" s="2">
        <f t="shared" si="14"/>
        <v>3353.3041026287492</v>
      </c>
    </row>
    <row r="292" spans="1:18" s="1" customFormat="1" ht="11.5" x14ac:dyDescent="0.25">
      <c r="A292" s="1" t="s">
        <v>323</v>
      </c>
      <c r="B292" s="1" t="s">
        <v>52</v>
      </c>
      <c r="C292" s="1" t="s">
        <v>29</v>
      </c>
      <c r="D292" s="1">
        <v>2</v>
      </c>
      <c r="E292" s="1" t="s">
        <v>17</v>
      </c>
      <c r="F292" s="1" t="s">
        <v>22</v>
      </c>
      <c r="G292" s="1">
        <v>13105</v>
      </c>
      <c r="H292" s="1">
        <v>9226</v>
      </c>
      <c r="I292" s="1">
        <v>600</v>
      </c>
      <c r="J292" s="1">
        <v>180</v>
      </c>
      <c r="K292" s="1">
        <v>1</v>
      </c>
      <c r="L292" s="1" t="s">
        <v>30</v>
      </c>
      <c r="M292" s="1">
        <f>Table1[[#This Row],[ApplicantIncome]]+Table1[[#This Row],[CoapplicantIncome]]</f>
        <v>22331</v>
      </c>
      <c r="N292" s="1" t="s">
        <v>26</v>
      </c>
      <c r="O292" s="1" t="str">
        <f>IF(Table1[[#This Row],[Total_Income]]&lt;3000,"Low",IF(Table1[[#This Row],[Total_Income]]&lt;7000,"Medium","High"))</f>
        <v>High</v>
      </c>
      <c r="P292" s="1" t="str">
        <f t="shared" si="12"/>
        <v>Rejected</v>
      </c>
      <c r="Q292" s="1" t="str">
        <f t="shared" si="13"/>
        <v>Low Risk</v>
      </c>
      <c r="R292" s="2">
        <f t="shared" si="14"/>
        <v>5733.912505982109</v>
      </c>
    </row>
    <row r="293" spans="1:18" s="1" customFormat="1" ht="11.5" x14ac:dyDescent="0.25">
      <c r="A293" s="1" t="s">
        <v>324</v>
      </c>
      <c r="B293" s="1" t="s">
        <v>28</v>
      </c>
      <c r="C293" s="1" t="s">
        <v>22</v>
      </c>
      <c r="D293" s="1">
        <v>2</v>
      </c>
      <c r="E293" s="1" t="s">
        <v>25</v>
      </c>
      <c r="F293" s="1" t="s">
        <v>22</v>
      </c>
      <c r="G293" s="1">
        <v>18158</v>
      </c>
      <c r="H293" s="1">
        <v>7530</v>
      </c>
      <c r="I293" s="1">
        <v>62</v>
      </c>
      <c r="J293" s="1">
        <v>360</v>
      </c>
      <c r="K293" s="1">
        <v>1</v>
      </c>
      <c r="L293" s="1" t="s">
        <v>19</v>
      </c>
      <c r="M293" s="1">
        <f>Table1[[#This Row],[ApplicantIncome]]+Table1[[#This Row],[CoapplicantIncome]]</f>
        <v>25688</v>
      </c>
      <c r="N293" s="1" t="s">
        <v>26</v>
      </c>
      <c r="O293" s="1" t="str">
        <f>IF(Table1[[#This Row],[Total_Income]]&lt;3000,"Low",IF(Table1[[#This Row],[Total_Income]]&lt;7000,"Medium","High"))</f>
        <v>High</v>
      </c>
      <c r="P293" s="1" t="str">
        <f t="shared" si="12"/>
        <v>Rejected</v>
      </c>
      <c r="Q293" s="1" t="str">
        <f t="shared" si="13"/>
        <v>Low Risk</v>
      </c>
      <c r="R293" s="2">
        <f t="shared" si="14"/>
        <v>454.93403580521323</v>
      </c>
    </row>
    <row r="294" spans="1:18" s="1" customFormat="1" ht="11.5" x14ac:dyDescent="0.25">
      <c r="A294" s="1" t="s">
        <v>325</v>
      </c>
      <c r="B294" s="1" t="s">
        <v>52</v>
      </c>
      <c r="C294" s="1" t="s">
        <v>29</v>
      </c>
      <c r="D294" s="1">
        <v>2</v>
      </c>
      <c r="E294" s="1" t="s">
        <v>17</v>
      </c>
      <c r="F294" s="1" t="s">
        <v>22</v>
      </c>
      <c r="G294" s="1">
        <v>11615</v>
      </c>
      <c r="H294" s="1">
        <v>492</v>
      </c>
      <c r="I294" s="1">
        <v>148</v>
      </c>
      <c r="J294" s="1">
        <v>360</v>
      </c>
      <c r="K294" s="1">
        <v>0</v>
      </c>
      <c r="L294" s="1" t="s">
        <v>41</v>
      </c>
      <c r="M294" s="1">
        <f>Table1[[#This Row],[ApplicantIncome]]+Table1[[#This Row],[CoapplicantIncome]]</f>
        <v>12107</v>
      </c>
      <c r="N294" s="1" t="s">
        <v>26</v>
      </c>
      <c r="O294" s="1" t="str">
        <f>IF(Table1[[#This Row],[Total_Income]]&lt;3000,"Low",IF(Table1[[#This Row],[Total_Income]]&lt;7000,"Medium","High"))</f>
        <v>High</v>
      </c>
      <c r="P294" s="1" t="str">
        <f t="shared" si="12"/>
        <v>Rejected</v>
      </c>
      <c r="Q294" s="1" t="str">
        <f t="shared" si="13"/>
        <v>High Risk</v>
      </c>
      <c r="R294" s="2">
        <f t="shared" si="14"/>
        <v>1085.9715693414767</v>
      </c>
    </row>
    <row r="295" spans="1:18" s="1" customFormat="1" ht="11.5" x14ac:dyDescent="0.25">
      <c r="A295" s="1" t="s">
        <v>326</v>
      </c>
      <c r="B295" s="1" t="s">
        <v>52</v>
      </c>
      <c r="C295" s="1" t="s">
        <v>22</v>
      </c>
      <c r="D295" s="1">
        <v>0</v>
      </c>
      <c r="E295" s="1" t="s">
        <v>25</v>
      </c>
      <c r="F295" s="1" t="s">
        <v>29</v>
      </c>
      <c r="G295" s="1">
        <v>4721</v>
      </c>
      <c r="H295" s="1">
        <v>9105</v>
      </c>
      <c r="I295" s="1">
        <v>523</v>
      </c>
      <c r="J295" s="1">
        <v>360</v>
      </c>
      <c r="K295" s="1">
        <v>0</v>
      </c>
      <c r="L295" s="1" t="s">
        <v>30</v>
      </c>
      <c r="M295" s="1">
        <f>Table1[[#This Row],[ApplicantIncome]]+Table1[[#This Row],[CoapplicantIncome]]</f>
        <v>13826</v>
      </c>
      <c r="N295" s="1" t="s">
        <v>26</v>
      </c>
      <c r="O295" s="1" t="str">
        <f>IF(Table1[[#This Row],[Total_Income]]&lt;3000,"Low",IF(Table1[[#This Row],[Total_Income]]&lt;7000,"Medium","High"))</f>
        <v>High</v>
      </c>
      <c r="P295" s="1" t="str">
        <f t="shared" si="12"/>
        <v>Rejected</v>
      </c>
      <c r="Q295" s="1" t="str">
        <f t="shared" si="13"/>
        <v>High Risk</v>
      </c>
      <c r="R295" s="2">
        <f t="shared" si="14"/>
        <v>3837.5887213891374</v>
      </c>
    </row>
    <row r="296" spans="1:18" s="1" customFormat="1" ht="11.5" x14ac:dyDescent="0.25">
      <c r="A296" s="1" t="s">
        <v>327</v>
      </c>
      <c r="B296" s="1" t="s">
        <v>28</v>
      </c>
      <c r="C296" s="1" t="s">
        <v>22</v>
      </c>
      <c r="D296" s="1" t="s">
        <v>16</v>
      </c>
      <c r="E296" s="1" t="s">
        <v>25</v>
      </c>
      <c r="F296" s="1" t="s">
        <v>29</v>
      </c>
      <c r="G296" s="1">
        <v>19551</v>
      </c>
      <c r="H296" s="1">
        <v>6343</v>
      </c>
      <c r="I296" s="1">
        <v>180</v>
      </c>
      <c r="J296" s="1">
        <v>360</v>
      </c>
      <c r="K296" s="1">
        <v>0</v>
      </c>
      <c r="L296" s="1" t="s">
        <v>19</v>
      </c>
      <c r="M296" s="1">
        <f>Table1[[#This Row],[ApplicantIncome]]+Table1[[#This Row],[CoapplicantIncome]]</f>
        <v>25894</v>
      </c>
      <c r="N296" s="1" t="s">
        <v>20</v>
      </c>
      <c r="O296" s="1" t="str">
        <f>IF(Table1[[#This Row],[Total_Income]]&lt;3000,"Low",IF(Table1[[#This Row],[Total_Income]]&lt;7000,"Medium","High"))</f>
        <v>High</v>
      </c>
      <c r="P296" s="1" t="str">
        <f t="shared" si="12"/>
        <v>Approved</v>
      </c>
      <c r="Q296" s="1" t="str">
        <f t="shared" si="13"/>
        <v>High Risk</v>
      </c>
      <c r="R296" s="2">
        <f t="shared" si="14"/>
        <v>1320.7762329828772</v>
      </c>
    </row>
    <row r="297" spans="1:18" s="1" customFormat="1" ht="11.5" x14ac:dyDescent="0.25">
      <c r="A297" s="1" t="s">
        <v>328</v>
      </c>
      <c r="B297" s="1" t="s">
        <v>1238</v>
      </c>
      <c r="C297" s="1" t="s">
        <v>22</v>
      </c>
      <c r="D297" s="1" t="s">
        <v>16</v>
      </c>
      <c r="E297" s="1" t="s">
        <v>25</v>
      </c>
      <c r="F297" s="1" t="s">
        <v>22</v>
      </c>
      <c r="G297" s="1">
        <v>7342</v>
      </c>
      <c r="H297" s="1">
        <v>3828</v>
      </c>
      <c r="I297" s="1">
        <v>362</v>
      </c>
      <c r="J297" s="1">
        <v>360</v>
      </c>
      <c r="K297" s="1">
        <v>0</v>
      </c>
      <c r="L297" s="1" t="s">
        <v>41</v>
      </c>
      <c r="M297" s="1">
        <f>Table1[[#This Row],[ApplicantIncome]]+Table1[[#This Row],[CoapplicantIncome]]</f>
        <v>11170</v>
      </c>
      <c r="N297" s="1" t="s">
        <v>20</v>
      </c>
      <c r="O297" s="1" t="str">
        <f>IF(Table1[[#This Row],[Total_Income]]&lt;3000,"Low",IF(Table1[[#This Row],[Total_Income]]&lt;7000,"Medium","High"))</f>
        <v>High</v>
      </c>
      <c r="P297" s="1" t="str">
        <f t="shared" si="12"/>
        <v>Approved</v>
      </c>
      <c r="Q297" s="1" t="str">
        <f t="shared" si="13"/>
        <v>High Risk</v>
      </c>
      <c r="R297" s="2">
        <f t="shared" si="14"/>
        <v>2656.2277574433419</v>
      </c>
    </row>
    <row r="298" spans="1:18" s="1" customFormat="1" ht="11.5" x14ac:dyDescent="0.25">
      <c r="A298" s="1" t="s">
        <v>329</v>
      </c>
      <c r="B298" s="1" t="s">
        <v>1238</v>
      </c>
      <c r="C298" s="1" t="s">
        <v>22</v>
      </c>
      <c r="D298" s="1">
        <v>1</v>
      </c>
      <c r="E298" s="1" t="s">
        <v>25</v>
      </c>
      <c r="F298" s="1" t="s">
        <v>22</v>
      </c>
      <c r="G298" s="1">
        <v>18303</v>
      </c>
      <c r="H298" s="1">
        <v>9668</v>
      </c>
      <c r="I298" s="1">
        <v>173</v>
      </c>
      <c r="J298" s="1">
        <v>120</v>
      </c>
      <c r="K298" s="1">
        <v>1</v>
      </c>
      <c r="L298" s="1" t="s">
        <v>30</v>
      </c>
      <c r="M298" s="1">
        <f>Table1[[#This Row],[ApplicantIncome]]+Table1[[#This Row],[CoapplicantIncome]]</f>
        <v>27971</v>
      </c>
      <c r="N298" s="1" t="s">
        <v>20</v>
      </c>
      <c r="O298" s="1" t="str">
        <f>IF(Table1[[#This Row],[Total_Income]]&lt;3000,"Low",IF(Table1[[#This Row],[Total_Income]]&lt;7000,"Medium","High"))</f>
        <v>High</v>
      </c>
      <c r="P298" s="1" t="str">
        <f t="shared" si="12"/>
        <v>Approved</v>
      </c>
      <c r="Q298" s="1" t="str">
        <f t="shared" si="13"/>
        <v>Low Risk</v>
      </c>
      <c r="R298" s="2">
        <f t="shared" si="14"/>
        <v>2098.9673823476746</v>
      </c>
    </row>
    <row r="299" spans="1:18" s="1" customFormat="1" ht="11.5" x14ac:dyDescent="0.25">
      <c r="A299" s="1" t="s">
        <v>330</v>
      </c>
      <c r="B299" s="1" t="s">
        <v>1238</v>
      </c>
      <c r="C299" s="1" t="s">
        <v>22</v>
      </c>
      <c r="D299" s="1" t="s">
        <v>16</v>
      </c>
      <c r="E299" s="1" t="s">
        <v>17</v>
      </c>
      <c r="F299" s="1" t="s">
        <v>22</v>
      </c>
      <c r="G299" s="1">
        <v>4920</v>
      </c>
      <c r="H299" s="1">
        <v>6122</v>
      </c>
      <c r="I299" s="1">
        <v>123</v>
      </c>
      <c r="J299" s="1">
        <v>360</v>
      </c>
      <c r="K299" s="1">
        <v>0</v>
      </c>
      <c r="L299" s="1" t="s">
        <v>30</v>
      </c>
      <c r="M299" s="1">
        <f>Table1[[#This Row],[ApplicantIncome]]+Table1[[#This Row],[CoapplicantIncome]]</f>
        <v>11042</v>
      </c>
      <c r="N299" s="1" t="s">
        <v>20</v>
      </c>
      <c r="O299" s="1" t="str">
        <f>IF(Table1[[#This Row],[Total_Income]]&lt;3000,"Low",IF(Table1[[#This Row],[Total_Income]]&lt;7000,"Medium","High"))</f>
        <v>High</v>
      </c>
      <c r="P299" s="1" t="str">
        <f t="shared" si="12"/>
        <v>Approved</v>
      </c>
      <c r="Q299" s="1" t="str">
        <f t="shared" si="13"/>
        <v>High Risk</v>
      </c>
      <c r="R299" s="2">
        <f t="shared" si="14"/>
        <v>902.53042587163281</v>
      </c>
    </row>
    <row r="300" spans="1:18" s="1" customFormat="1" ht="11.5" x14ac:dyDescent="0.25">
      <c r="A300" s="1" t="s">
        <v>331</v>
      </c>
      <c r="B300" s="1" t="s">
        <v>1238</v>
      </c>
      <c r="C300" s="1" t="s">
        <v>22</v>
      </c>
      <c r="D300" s="1">
        <v>2</v>
      </c>
      <c r="E300" s="1" t="s">
        <v>25</v>
      </c>
      <c r="F300" s="1" t="s">
        <v>22</v>
      </c>
      <c r="G300" s="1">
        <v>1663</v>
      </c>
      <c r="H300" s="1">
        <v>1622</v>
      </c>
      <c r="I300" s="1">
        <v>95</v>
      </c>
      <c r="J300" s="1">
        <v>360</v>
      </c>
      <c r="K300" s="1">
        <v>1</v>
      </c>
      <c r="L300" s="1" t="s">
        <v>41</v>
      </c>
      <c r="M300" s="1">
        <f>Table1[[#This Row],[ApplicantIncome]]+Table1[[#This Row],[CoapplicantIncome]]</f>
        <v>3285</v>
      </c>
      <c r="N300" s="1" t="s">
        <v>26</v>
      </c>
      <c r="O300" s="1" t="str">
        <f>IF(Table1[[#This Row],[Total_Income]]&lt;3000,"Low",IF(Table1[[#This Row],[Total_Income]]&lt;7000,"Medium","High"))</f>
        <v>Medium</v>
      </c>
      <c r="P300" s="1" t="str">
        <f t="shared" si="12"/>
        <v>Rejected</v>
      </c>
      <c r="Q300" s="1" t="str">
        <f t="shared" si="13"/>
        <v>Low Risk</v>
      </c>
      <c r="R300" s="2">
        <f t="shared" si="14"/>
        <v>697.07634518540738</v>
      </c>
    </row>
    <row r="301" spans="1:18" s="1" customFormat="1" ht="11.5" x14ac:dyDescent="0.25">
      <c r="A301" s="1" t="s">
        <v>332</v>
      </c>
      <c r="B301" s="1" t="s">
        <v>52</v>
      </c>
      <c r="C301" s="1" t="s">
        <v>22</v>
      </c>
      <c r="D301" s="1">
        <v>1</v>
      </c>
      <c r="E301" s="1" t="s">
        <v>25</v>
      </c>
      <c r="F301" s="1" t="s">
        <v>22</v>
      </c>
      <c r="G301" s="1">
        <v>1603</v>
      </c>
      <c r="H301" s="1">
        <v>1402</v>
      </c>
      <c r="I301" s="1">
        <v>370</v>
      </c>
      <c r="J301" s="1">
        <v>360</v>
      </c>
      <c r="K301" s="1">
        <v>1</v>
      </c>
      <c r="L301" s="1" t="s">
        <v>30</v>
      </c>
      <c r="M301" s="1">
        <f>Table1[[#This Row],[ApplicantIncome]]+Table1[[#This Row],[CoapplicantIncome]]</f>
        <v>3005</v>
      </c>
      <c r="N301" s="1" t="s">
        <v>20</v>
      </c>
      <c r="O301" s="1" t="str">
        <f>IF(Table1[[#This Row],[Total_Income]]&lt;3000,"Low",IF(Table1[[#This Row],[Total_Income]]&lt;7000,"Medium","High"))</f>
        <v>Medium</v>
      </c>
      <c r="P301" s="1" t="str">
        <f t="shared" si="12"/>
        <v>Approved</v>
      </c>
      <c r="Q301" s="1" t="str">
        <f t="shared" si="13"/>
        <v>Low Risk</v>
      </c>
      <c r="R301" s="2">
        <f t="shared" si="14"/>
        <v>2714.928923353692</v>
      </c>
    </row>
    <row r="302" spans="1:18" s="1" customFormat="1" ht="11.5" x14ac:dyDescent="0.25">
      <c r="A302" s="1" t="s">
        <v>333</v>
      </c>
      <c r="B302" s="1" t="s">
        <v>1238</v>
      </c>
      <c r="C302" s="1" t="s">
        <v>22</v>
      </c>
      <c r="D302" s="1">
        <v>0</v>
      </c>
      <c r="E302" s="1" t="s">
        <v>17</v>
      </c>
      <c r="F302" s="1" t="s">
        <v>29</v>
      </c>
      <c r="G302" s="1">
        <v>14116</v>
      </c>
      <c r="H302" s="1">
        <v>8636</v>
      </c>
      <c r="I302" s="1">
        <v>260</v>
      </c>
      <c r="J302" s="1">
        <v>180</v>
      </c>
      <c r="K302" s="1">
        <v>0</v>
      </c>
      <c r="L302" s="1" t="s">
        <v>30</v>
      </c>
      <c r="M302" s="1">
        <f>Table1[[#This Row],[ApplicantIncome]]+Table1[[#This Row],[CoapplicantIncome]]</f>
        <v>22752</v>
      </c>
      <c r="N302" s="1" t="s">
        <v>26</v>
      </c>
      <c r="O302" s="1" t="str">
        <f>IF(Table1[[#This Row],[Total_Income]]&lt;3000,"Low",IF(Table1[[#This Row],[Total_Income]]&lt;7000,"Medium","High"))</f>
        <v>High</v>
      </c>
      <c r="P302" s="1" t="str">
        <f t="shared" si="12"/>
        <v>Rejected</v>
      </c>
      <c r="Q302" s="1" t="str">
        <f t="shared" si="13"/>
        <v>High Risk</v>
      </c>
      <c r="R302" s="2">
        <f t="shared" si="14"/>
        <v>2484.6954192589137</v>
      </c>
    </row>
    <row r="303" spans="1:18" s="1" customFormat="1" ht="11.5" x14ac:dyDescent="0.25">
      <c r="A303" s="1" t="s">
        <v>334</v>
      </c>
      <c r="B303" s="1" t="s">
        <v>1238</v>
      </c>
      <c r="C303" s="1" t="s">
        <v>22</v>
      </c>
      <c r="D303" s="1">
        <v>2</v>
      </c>
      <c r="E303" s="1" t="s">
        <v>17</v>
      </c>
      <c r="F303" s="1" t="s">
        <v>29</v>
      </c>
      <c r="G303" s="1">
        <v>16015</v>
      </c>
      <c r="H303" s="1">
        <v>6702</v>
      </c>
      <c r="I303" s="1">
        <v>421</v>
      </c>
      <c r="J303" s="1">
        <v>180</v>
      </c>
      <c r="K303" s="1">
        <v>0</v>
      </c>
      <c r="L303" s="1" t="s">
        <v>41</v>
      </c>
      <c r="M303" s="1">
        <f>Table1[[#This Row],[ApplicantIncome]]+Table1[[#This Row],[CoapplicantIncome]]</f>
        <v>22717</v>
      </c>
      <c r="N303" s="1" t="s">
        <v>26</v>
      </c>
      <c r="O303" s="1" t="str">
        <f>IF(Table1[[#This Row],[Total_Income]]&lt;3000,"Low",IF(Table1[[#This Row],[Total_Income]]&lt;7000,"Medium","High"))</f>
        <v>High</v>
      </c>
      <c r="P303" s="1" t="str">
        <f t="shared" si="12"/>
        <v>Rejected</v>
      </c>
      <c r="Q303" s="1" t="str">
        <f t="shared" si="13"/>
        <v>High Risk</v>
      </c>
      <c r="R303" s="2">
        <f t="shared" si="14"/>
        <v>4023.29527503078</v>
      </c>
    </row>
    <row r="304" spans="1:18" s="1" customFormat="1" ht="11.5" x14ac:dyDescent="0.25">
      <c r="A304" s="1" t="s">
        <v>335</v>
      </c>
      <c r="B304" s="1" t="s">
        <v>1238</v>
      </c>
      <c r="C304" s="1" t="s">
        <v>22</v>
      </c>
      <c r="D304" s="1">
        <v>0</v>
      </c>
      <c r="E304" s="1" t="s">
        <v>17</v>
      </c>
      <c r="F304" s="1" t="s">
        <v>22</v>
      </c>
      <c r="G304" s="1">
        <v>11105</v>
      </c>
      <c r="H304" s="1">
        <v>9374</v>
      </c>
      <c r="I304" s="1">
        <v>681</v>
      </c>
      <c r="J304" s="1">
        <v>180</v>
      </c>
      <c r="K304" s="1">
        <v>0</v>
      </c>
      <c r="L304" s="1" t="s">
        <v>30</v>
      </c>
      <c r="M304" s="1">
        <f>Table1[[#This Row],[ApplicantIncome]]+Table1[[#This Row],[CoapplicantIncome]]</f>
        <v>20479</v>
      </c>
      <c r="N304" s="1" t="s">
        <v>20</v>
      </c>
      <c r="O304" s="1" t="str">
        <f>IF(Table1[[#This Row],[Total_Income]]&lt;3000,"Low",IF(Table1[[#This Row],[Total_Income]]&lt;7000,"Medium","High"))</f>
        <v>High</v>
      </c>
      <c r="P304" s="1" t="str">
        <f t="shared" si="12"/>
        <v>Approved</v>
      </c>
      <c r="Q304" s="1" t="str">
        <f t="shared" si="13"/>
        <v>High Risk</v>
      </c>
      <c r="R304" s="2">
        <f t="shared" si="14"/>
        <v>6507.9906942896941</v>
      </c>
    </row>
    <row r="305" spans="1:18" s="1" customFormat="1" ht="11.5" x14ac:dyDescent="0.25">
      <c r="A305" s="1" t="s">
        <v>336</v>
      </c>
      <c r="B305" s="1" t="s">
        <v>28</v>
      </c>
      <c r="C305" s="1" t="s">
        <v>22</v>
      </c>
      <c r="D305" s="1" t="s">
        <v>16</v>
      </c>
      <c r="E305" s="1" t="s">
        <v>25</v>
      </c>
      <c r="F305" s="1" t="s">
        <v>29</v>
      </c>
      <c r="G305" s="1">
        <v>13341</v>
      </c>
      <c r="H305" s="1">
        <v>7662</v>
      </c>
      <c r="I305" s="1">
        <v>461</v>
      </c>
      <c r="J305" s="1">
        <v>360</v>
      </c>
      <c r="K305" s="1">
        <v>1</v>
      </c>
      <c r="L305" s="1" t="s">
        <v>19</v>
      </c>
      <c r="M305" s="1">
        <f>Table1[[#This Row],[ApplicantIncome]]+Table1[[#This Row],[CoapplicantIncome]]</f>
        <v>21003</v>
      </c>
      <c r="N305" s="1" t="s">
        <v>26</v>
      </c>
      <c r="O305" s="1" t="str">
        <f>IF(Table1[[#This Row],[Total_Income]]&lt;3000,"Low",IF(Table1[[#This Row],[Total_Income]]&lt;7000,"Medium","High"))</f>
        <v>High</v>
      </c>
      <c r="P305" s="1" t="str">
        <f t="shared" si="12"/>
        <v>Rejected</v>
      </c>
      <c r="Q305" s="1" t="str">
        <f t="shared" si="13"/>
        <v>Low Risk</v>
      </c>
      <c r="R305" s="2">
        <f t="shared" si="14"/>
        <v>3382.6546855839242</v>
      </c>
    </row>
    <row r="306" spans="1:18" s="1" customFormat="1" ht="11.5" x14ac:dyDescent="0.25">
      <c r="A306" s="1" t="s">
        <v>337</v>
      </c>
      <c r="B306" s="1" t="s">
        <v>28</v>
      </c>
      <c r="C306" s="1" t="s">
        <v>29</v>
      </c>
      <c r="D306" s="1">
        <v>0</v>
      </c>
      <c r="E306" s="1" t="s">
        <v>25</v>
      </c>
      <c r="F306" s="1" t="s">
        <v>29</v>
      </c>
      <c r="G306" s="1">
        <v>7684</v>
      </c>
      <c r="H306" s="1">
        <v>1632</v>
      </c>
      <c r="I306" s="1">
        <v>186</v>
      </c>
      <c r="J306" s="1">
        <v>180</v>
      </c>
      <c r="K306" s="1">
        <v>1</v>
      </c>
      <c r="L306" s="1" t="s">
        <v>41</v>
      </c>
      <c r="M306" s="1">
        <f>Table1[[#This Row],[ApplicantIncome]]+Table1[[#This Row],[CoapplicantIncome]]</f>
        <v>9316</v>
      </c>
      <c r="N306" s="1" t="s">
        <v>20</v>
      </c>
      <c r="O306" s="1" t="str">
        <f>IF(Table1[[#This Row],[Total_Income]]&lt;3000,"Low",IF(Table1[[#This Row],[Total_Income]]&lt;7000,"Medium","High"))</f>
        <v>High</v>
      </c>
      <c r="P306" s="1" t="str">
        <f t="shared" si="12"/>
        <v>Approved</v>
      </c>
      <c r="Q306" s="1" t="str">
        <f t="shared" si="13"/>
        <v>Low Risk</v>
      </c>
      <c r="R306" s="2">
        <f t="shared" si="14"/>
        <v>1777.5128768544537</v>
      </c>
    </row>
    <row r="307" spans="1:18" s="1" customFormat="1" ht="11.5" x14ac:dyDescent="0.25">
      <c r="A307" s="1" t="s">
        <v>338</v>
      </c>
      <c r="B307" s="1" t="s">
        <v>28</v>
      </c>
      <c r="C307" s="1" t="s">
        <v>22</v>
      </c>
      <c r="D307" s="1">
        <v>2</v>
      </c>
      <c r="E307" s="1" t="s">
        <v>17</v>
      </c>
      <c r="F307" s="1" t="s">
        <v>22</v>
      </c>
      <c r="G307" s="1">
        <v>9404</v>
      </c>
      <c r="H307" s="1">
        <v>5215</v>
      </c>
      <c r="I307" s="1">
        <v>76</v>
      </c>
      <c r="J307" s="1">
        <v>120</v>
      </c>
      <c r="K307" s="1">
        <v>1</v>
      </c>
      <c r="L307" s="1" t="s">
        <v>30</v>
      </c>
      <c r="M307" s="1">
        <f>Table1[[#This Row],[ApplicantIncome]]+Table1[[#This Row],[CoapplicantIncome]]</f>
        <v>14619</v>
      </c>
      <c r="N307" s="1" t="s">
        <v>26</v>
      </c>
      <c r="O307" s="1" t="str">
        <f>IF(Table1[[#This Row],[Total_Income]]&lt;3000,"Low",IF(Table1[[#This Row],[Total_Income]]&lt;7000,"Medium","High"))</f>
        <v>High</v>
      </c>
      <c r="P307" s="1" t="str">
        <f t="shared" si="12"/>
        <v>Rejected</v>
      </c>
      <c r="Q307" s="1" t="str">
        <f t="shared" si="13"/>
        <v>Low Risk</v>
      </c>
      <c r="R307" s="2">
        <f t="shared" si="14"/>
        <v>922.08971710071262</v>
      </c>
    </row>
    <row r="308" spans="1:18" s="1" customFormat="1" ht="11.5" x14ac:dyDescent="0.25">
      <c r="A308" s="1" t="s">
        <v>339</v>
      </c>
      <c r="B308" s="1" t="s">
        <v>28</v>
      </c>
      <c r="C308" s="1" t="s">
        <v>29</v>
      </c>
      <c r="D308" s="1">
        <v>1</v>
      </c>
      <c r="E308" s="1" t="s">
        <v>17</v>
      </c>
      <c r="F308" s="1" t="s">
        <v>29</v>
      </c>
      <c r="G308" s="1">
        <v>6340</v>
      </c>
      <c r="H308" s="1">
        <v>2286</v>
      </c>
      <c r="I308" s="1">
        <v>252</v>
      </c>
      <c r="J308" s="1">
        <v>360</v>
      </c>
      <c r="K308" s="1">
        <v>0</v>
      </c>
      <c r="L308" s="1" t="s">
        <v>41</v>
      </c>
      <c r="M308" s="1">
        <f>Table1[[#This Row],[ApplicantIncome]]+Table1[[#This Row],[CoapplicantIncome]]</f>
        <v>8626</v>
      </c>
      <c r="N308" s="1" t="s">
        <v>20</v>
      </c>
      <c r="O308" s="1" t="str">
        <f>IF(Table1[[#This Row],[Total_Income]]&lt;3000,"Low",IF(Table1[[#This Row],[Total_Income]]&lt;7000,"Medium","High"))</f>
        <v>High</v>
      </c>
      <c r="P308" s="1" t="str">
        <f t="shared" si="12"/>
        <v>Approved</v>
      </c>
      <c r="Q308" s="1" t="str">
        <f t="shared" si="13"/>
        <v>High Risk</v>
      </c>
      <c r="R308" s="2">
        <f t="shared" si="14"/>
        <v>1849.0867261760279</v>
      </c>
    </row>
    <row r="309" spans="1:18" s="1" customFormat="1" ht="11.5" x14ac:dyDescent="0.25">
      <c r="A309" s="1" t="s">
        <v>340</v>
      </c>
      <c r="B309" s="1" t="s">
        <v>28</v>
      </c>
      <c r="C309" s="1" t="s">
        <v>22</v>
      </c>
      <c r="D309" s="1">
        <v>2</v>
      </c>
      <c r="E309" s="1" t="s">
        <v>17</v>
      </c>
      <c r="F309" s="1" t="s">
        <v>29</v>
      </c>
      <c r="G309" s="1">
        <v>2586</v>
      </c>
      <c r="H309" s="1">
        <v>1160</v>
      </c>
      <c r="I309" s="1">
        <v>199</v>
      </c>
      <c r="J309" s="1">
        <v>180</v>
      </c>
      <c r="K309" s="1">
        <v>0</v>
      </c>
      <c r="L309" s="1" t="s">
        <v>30</v>
      </c>
      <c r="M309" s="1">
        <f>Table1[[#This Row],[ApplicantIncome]]+Table1[[#This Row],[CoapplicantIncome]]</f>
        <v>3746</v>
      </c>
      <c r="N309" s="1" t="s">
        <v>26</v>
      </c>
      <c r="O309" s="1" t="str">
        <f>IF(Table1[[#This Row],[Total_Income]]&lt;3000,"Low",IF(Table1[[#This Row],[Total_Income]]&lt;7000,"Medium","High"))</f>
        <v>Medium</v>
      </c>
      <c r="P309" s="1" t="str">
        <f t="shared" si="12"/>
        <v>Rejected</v>
      </c>
      <c r="Q309" s="1" t="str">
        <f t="shared" si="13"/>
        <v>High Risk</v>
      </c>
      <c r="R309" s="2">
        <f t="shared" si="14"/>
        <v>1901.7476478173992</v>
      </c>
    </row>
    <row r="310" spans="1:18" s="1" customFormat="1" ht="11.5" x14ac:dyDescent="0.25">
      <c r="A310" s="1" t="s">
        <v>341</v>
      </c>
      <c r="B310" s="1" t="s">
        <v>52</v>
      </c>
      <c r="C310" s="1" t="s">
        <v>29</v>
      </c>
      <c r="D310" s="1">
        <v>1</v>
      </c>
      <c r="E310" s="1" t="s">
        <v>17</v>
      </c>
      <c r="F310" s="1" t="s">
        <v>29</v>
      </c>
      <c r="G310" s="1">
        <v>14605</v>
      </c>
      <c r="H310" s="1">
        <v>3359</v>
      </c>
      <c r="I310" s="1">
        <v>441</v>
      </c>
      <c r="J310" s="1">
        <v>360</v>
      </c>
      <c r="K310" s="1">
        <v>1</v>
      </c>
      <c r="L310" s="1" t="s">
        <v>30</v>
      </c>
      <c r="M310" s="1">
        <f>Table1[[#This Row],[ApplicantIncome]]+Table1[[#This Row],[CoapplicantIncome]]</f>
        <v>17964</v>
      </c>
      <c r="N310" s="1" t="s">
        <v>20</v>
      </c>
      <c r="O310" s="1" t="str">
        <f>IF(Table1[[#This Row],[Total_Income]]&lt;3000,"Low",IF(Table1[[#This Row],[Total_Income]]&lt;7000,"Medium","High"))</f>
        <v>High</v>
      </c>
      <c r="P310" s="1" t="str">
        <f t="shared" si="12"/>
        <v>Approved</v>
      </c>
      <c r="Q310" s="1" t="str">
        <f t="shared" si="13"/>
        <v>Low Risk</v>
      </c>
      <c r="R310" s="2">
        <f t="shared" si="14"/>
        <v>3235.9017708080487</v>
      </c>
    </row>
    <row r="311" spans="1:18" s="1" customFormat="1" ht="11.5" x14ac:dyDescent="0.25">
      <c r="A311" s="1" t="s">
        <v>342</v>
      </c>
      <c r="B311" s="1" t="s">
        <v>1238</v>
      </c>
      <c r="C311" s="1" t="s">
        <v>29</v>
      </c>
      <c r="D311" s="1">
        <v>1</v>
      </c>
      <c r="E311" s="1" t="s">
        <v>25</v>
      </c>
      <c r="F311" s="1" t="s">
        <v>22</v>
      </c>
      <c r="G311" s="1">
        <v>15796</v>
      </c>
      <c r="H311" s="1">
        <v>9758</v>
      </c>
      <c r="I311" s="1">
        <v>205</v>
      </c>
      <c r="J311" s="1">
        <v>360</v>
      </c>
      <c r="K311" s="1">
        <v>1</v>
      </c>
      <c r="L311" s="1" t="s">
        <v>19</v>
      </c>
      <c r="M311" s="1">
        <f>Table1[[#This Row],[ApplicantIncome]]+Table1[[#This Row],[CoapplicantIncome]]</f>
        <v>25554</v>
      </c>
      <c r="N311" s="1" t="s">
        <v>26</v>
      </c>
      <c r="O311" s="1" t="str">
        <f>IF(Table1[[#This Row],[Total_Income]]&lt;3000,"Low",IF(Table1[[#This Row],[Total_Income]]&lt;7000,"Medium","High"))</f>
        <v>High</v>
      </c>
      <c r="P311" s="1" t="str">
        <f t="shared" si="12"/>
        <v>Rejected</v>
      </c>
      <c r="Q311" s="1" t="str">
        <f t="shared" si="13"/>
        <v>Low Risk</v>
      </c>
      <c r="R311" s="2">
        <f t="shared" si="14"/>
        <v>1504.2173764527213</v>
      </c>
    </row>
    <row r="312" spans="1:18" s="1" customFormat="1" ht="11.5" x14ac:dyDescent="0.25">
      <c r="A312" s="1" t="s">
        <v>343</v>
      </c>
      <c r="B312" s="1" t="s">
        <v>1238</v>
      </c>
      <c r="C312" s="1" t="s">
        <v>22</v>
      </c>
      <c r="D312" s="1">
        <v>0</v>
      </c>
      <c r="E312" s="1" t="s">
        <v>25</v>
      </c>
      <c r="F312" s="1" t="s">
        <v>22</v>
      </c>
      <c r="G312" s="1">
        <v>9484</v>
      </c>
      <c r="H312" s="1">
        <v>1206</v>
      </c>
      <c r="I312" s="1">
        <v>217</v>
      </c>
      <c r="J312" s="1">
        <v>360</v>
      </c>
      <c r="K312" s="1">
        <v>0</v>
      </c>
      <c r="L312" s="1" t="s">
        <v>19</v>
      </c>
      <c r="M312" s="1">
        <f>Table1[[#This Row],[ApplicantIncome]]+Table1[[#This Row],[CoapplicantIncome]]</f>
        <v>10690</v>
      </c>
      <c r="N312" s="1" t="s">
        <v>26</v>
      </c>
      <c r="O312" s="1" t="str">
        <f>IF(Table1[[#This Row],[Total_Income]]&lt;3000,"Low",IF(Table1[[#This Row],[Total_Income]]&lt;7000,"Medium","High"))</f>
        <v>High</v>
      </c>
      <c r="P312" s="1" t="str">
        <f t="shared" si="12"/>
        <v>Rejected</v>
      </c>
      <c r="Q312" s="1" t="str">
        <f t="shared" si="13"/>
        <v>High Risk</v>
      </c>
      <c r="R312" s="2">
        <f t="shared" si="14"/>
        <v>1592.2691253182463</v>
      </c>
    </row>
    <row r="313" spans="1:18" s="1" customFormat="1" ht="11.5" x14ac:dyDescent="0.25">
      <c r="A313" s="1" t="s">
        <v>344</v>
      </c>
      <c r="B313" s="1" t="s">
        <v>1238</v>
      </c>
      <c r="C313" s="1" t="s">
        <v>22</v>
      </c>
      <c r="D313" s="1">
        <v>1</v>
      </c>
      <c r="E313" s="1" t="s">
        <v>17</v>
      </c>
      <c r="F313" s="1" t="s">
        <v>22</v>
      </c>
      <c r="G313" s="1">
        <v>1719</v>
      </c>
      <c r="H313" s="1">
        <v>6491</v>
      </c>
      <c r="I313" s="1">
        <v>74</v>
      </c>
      <c r="J313" s="1">
        <v>180</v>
      </c>
      <c r="K313" s="1">
        <v>0</v>
      </c>
      <c r="L313" s="1" t="s">
        <v>19</v>
      </c>
      <c r="M313" s="1">
        <f>Table1[[#This Row],[ApplicantIncome]]+Table1[[#This Row],[CoapplicantIncome]]</f>
        <v>8210</v>
      </c>
      <c r="N313" s="1" t="s">
        <v>20</v>
      </c>
      <c r="O313" s="1" t="str">
        <f>IF(Table1[[#This Row],[Total_Income]]&lt;3000,"Low",IF(Table1[[#This Row],[Total_Income]]&lt;7000,"Medium","High"))</f>
        <v>High</v>
      </c>
      <c r="P313" s="1" t="str">
        <f t="shared" si="12"/>
        <v>Approved</v>
      </c>
      <c r="Q313" s="1" t="str">
        <f t="shared" si="13"/>
        <v>High Risk</v>
      </c>
      <c r="R313" s="2">
        <f t="shared" si="14"/>
        <v>707.18254240446015</v>
      </c>
    </row>
    <row r="314" spans="1:18" s="1" customFormat="1" ht="11.5" x14ac:dyDescent="0.25">
      <c r="A314" s="1" t="s">
        <v>345</v>
      </c>
      <c r="B314" s="1" t="s">
        <v>28</v>
      </c>
      <c r="C314" s="1" t="s">
        <v>29</v>
      </c>
      <c r="D314" s="1">
        <v>2</v>
      </c>
      <c r="E314" s="1" t="s">
        <v>25</v>
      </c>
      <c r="F314" s="1" t="s">
        <v>22</v>
      </c>
      <c r="G314" s="1">
        <v>13431</v>
      </c>
      <c r="H314" s="1">
        <v>9290</v>
      </c>
      <c r="I314" s="1">
        <v>109</v>
      </c>
      <c r="J314" s="1">
        <v>180</v>
      </c>
      <c r="K314" s="1">
        <v>1</v>
      </c>
      <c r="L314" s="1" t="s">
        <v>19</v>
      </c>
      <c r="M314" s="1">
        <f>Table1[[#This Row],[ApplicantIncome]]+Table1[[#This Row],[CoapplicantIncome]]</f>
        <v>22721</v>
      </c>
      <c r="N314" s="1" t="s">
        <v>20</v>
      </c>
      <c r="O314" s="1" t="str">
        <f>IF(Table1[[#This Row],[Total_Income]]&lt;3000,"Low",IF(Table1[[#This Row],[Total_Income]]&lt;7000,"Medium","High"))</f>
        <v>High</v>
      </c>
      <c r="P314" s="1" t="str">
        <f t="shared" si="12"/>
        <v>Approved</v>
      </c>
      <c r="Q314" s="1" t="str">
        <f t="shared" si="13"/>
        <v>Low Risk</v>
      </c>
      <c r="R314" s="2">
        <f t="shared" si="14"/>
        <v>1041.6607719200831</v>
      </c>
    </row>
    <row r="315" spans="1:18" s="1" customFormat="1" ht="11.5" x14ac:dyDescent="0.25">
      <c r="A315" s="1" t="s">
        <v>346</v>
      </c>
      <c r="B315" s="1" t="s">
        <v>52</v>
      </c>
      <c r="C315" s="1" t="s">
        <v>22</v>
      </c>
      <c r="D315" s="1">
        <v>0</v>
      </c>
      <c r="E315" s="1" t="s">
        <v>25</v>
      </c>
      <c r="F315" s="1" t="s">
        <v>29</v>
      </c>
      <c r="G315" s="1">
        <v>4514</v>
      </c>
      <c r="H315" s="1">
        <v>2012</v>
      </c>
      <c r="I315" s="1">
        <v>271</v>
      </c>
      <c r="J315" s="1">
        <v>360</v>
      </c>
      <c r="K315" s="1">
        <v>0</v>
      </c>
      <c r="L315" s="1" t="s">
        <v>19</v>
      </c>
      <c r="M315" s="1">
        <f>Table1[[#This Row],[ApplicantIncome]]+Table1[[#This Row],[CoapplicantIncome]]</f>
        <v>6526</v>
      </c>
      <c r="N315" s="1" t="s">
        <v>20</v>
      </c>
      <c r="O315" s="1" t="str">
        <f>IF(Table1[[#This Row],[Total_Income]]&lt;3000,"Low",IF(Table1[[#This Row],[Total_Income]]&lt;7000,"Medium","High"))</f>
        <v>Medium</v>
      </c>
      <c r="P315" s="1" t="str">
        <f t="shared" si="12"/>
        <v>Approved</v>
      </c>
      <c r="Q315" s="1" t="str">
        <f t="shared" si="13"/>
        <v>High Risk</v>
      </c>
      <c r="R315" s="2">
        <f t="shared" si="14"/>
        <v>1988.5019952131095</v>
      </c>
    </row>
    <row r="316" spans="1:18" s="1" customFormat="1" ht="11.5" x14ac:dyDescent="0.25">
      <c r="A316" s="1" t="s">
        <v>347</v>
      </c>
      <c r="B316" s="1" t="s">
        <v>1238</v>
      </c>
      <c r="C316" s="1" t="s">
        <v>22</v>
      </c>
      <c r="D316" s="1" t="s">
        <v>16</v>
      </c>
      <c r="E316" s="1" t="s">
        <v>17</v>
      </c>
      <c r="F316" s="1" t="s">
        <v>22</v>
      </c>
      <c r="G316" s="1">
        <v>14016</v>
      </c>
      <c r="H316" s="1">
        <v>1251</v>
      </c>
      <c r="I316" s="1">
        <v>418</v>
      </c>
      <c r="J316" s="1">
        <v>360</v>
      </c>
      <c r="K316" s="1">
        <v>1</v>
      </c>
      <c r="L316" s="1" t="s">
        <v>41</v>
      </c>
      <c r="M316" s="1">
        <f>Table1[[#This Row],[ApplicantIncome]]+Table1[[#This Row],[CoapplicantIncome]]</f>
        <v>15267</v>
      </c>
      <c r="N316" s="1" t="s">
        <v>26</v>
      </c>
      <c r="O316" s="1" t="str">
        <f>IF(Table1[[#This Row],[Total_Income]]&lt;3000,"Low",IF(Table1[[#This Row],[Total_Income]]&lt;7000,"Medium","High"))</f>
        <v>High</v>
      </c>
      <c r="P316" s="1" t="str">
        <f t="shared" si="12"/>
        <v>Rejected</v>
      </c>
      <c r="Q316" s="1" t="str">
        <f t="shared" si="13"/>
        <v>Low Risk</v>
      </c>
      <c r="R316" s="2">
        <f t="shared" si="14"/>
        <v>3067.1359188157921</v>
      </c>
    </row>
    <row r="317" spans="1:18" s="1" customFormat="1" ht="11.5" x14ac:dyDescent="0.25">
      <c r="A317" s="1" t="s">
        <v>348</v>
      </c>
      <c r="B317" s="1" t="s">
        <v>1238</v>
      </c>
      <c r="C317" s="1" t="s">
        <v>22</v>
      </c>
      <c r="D317" s="1" t="s">
        <v>16</v>
      </c>
      <c r="E317" s="1" t="s">
        <v>17</v>
      </c>
      <c r="F317" s="1" t="s">
        <v>22</v>
      </c>
      <c r="G317" s="1">
        <v>4992</v>
      </c>
      <c r="H317" s="1">
        <v>6482</v>
      </c>
      <c r="I317" s="1">
        <v>86</v>
      </c>
      <c r="J317" s="1">
        <v>360</v>
      </c>
      <c r="K317" s="1">
        <v>0</v>
      </c>
      <c r="L317" s="1" t="s">
        <v>41</v>
      </c>
      <c r="M317" s="1">
        <f>Table1[[#This Row],[ApplicantIncome]]+Table1[[#This Row],[CoapplicantIncome]]</f>
        <v>11474</v>
      </c>
      <c r="N317" s="1" t="s">
        <v>26</v>
      </c>
      <c r="O317" s="1" t="str">
        <f>IF(Table1[[#This Row],[Total_Income]]&lt;3000,"Low",IF(Table1[[#This Row],[Total_Income]]&lt;7000,"Medium","High"))</f>
        <v>High</v>
      </c>
      <c r="P317" s="1" t="str">
        <f t="shared" si="12"/>
        <v>Rejected</v>
      </c>
      <c r="Q317" s="1" t="str">
        <f t="shared" si="13"/>
        <v>High Risk</v>
      </c>
      <c r="R317" s="2">
        <f t="shared" si="14"/>
        <v>631.0375335362636</v>
      </c>
    </row>
    <row r="318" spans="1:18" s="1" customFormat="1" ht="11.5" x14ac:dyDescent="0.25">
      <c r="A318" s="1" t="s">
        <v>349</v>
      </c>
      <c r="B318" s="1" t="s">
        <v>52</v>
      </c>
      <c r="C318" s="1" t="s">
        <v>22</v>
      </c>
      <c r="D318" s="1" t="s">
        <v>16</v>
      </c>
      <c r="E318" s="1" t="s">
        <v>25</v>
      </c>
      <c r="F318" s="1" t="s">
        <v>22</v>
      </c>
      <c r="G318" s="1">
        <v>2344</v>
      </c>
      <c r="H318" s="1">
        <v>4274</v>
      </c>
      <c r="I318" s="1">
        <v>364</v>
      </c>
      <c r="J318" s="1">
        <v>360</v>
      </c>
      <c r="K318" s="1">
        <v>0</v>
      </c>
      <c r="L318" s="1" t="s">
        <v>19</v>
      </c>
      <c r="M318" s="1">
        <f>Table1[[#This Row],[ApplicantIncome]]+Table1[[#This Row],[CoapplicantIncome]]</f>
        <v>6618</v>
      </c>
      <c r="N318" s="1" t="s">
        <v>26</v>
      </c>
      <c r="O318" s="1" t="str">
        <f>IF(Table1[[#This Row],[Total_Income]]&lt;3000,"Low",IF(Table1[[#This Row],[Total_Income]]&lt;7000,"Medium","High"))</f>
        <v>Medium</v>
      </c>
      <c r="P318" s="1" t="str">
        <f t="shared" si="12"/>
        <v>Rejected</v>
      </c>
      <c r="Q318" s="1" t="str">
        <f t="shared" si="13"/>
        <v>High Risk</v>
      </c>
      <c r="R318" s="2">
        <f t="shared" si="14"/>
        <v>2670.903048920929</v>
      </c>
    </row>
    <row r="319" spans="1:18" s="1" customFormat="1" ht="11.5" x14ac:dyDescent="0.25">
      <c r="A319" s="1" t="s">
        <v>350</v>
      </c>
      <c r="B319" s="1" t="s">
        <v>1238</v>
      </c>
      <c r="C319" s="1" t="s">
        <v>22</v>
      </c>
      <c r="D319" s="1">
        <v>1</v>
      </c>
      <c r="E319" s="1" t="s">
        <v>25</v>
      </c>
      <c r="F319" s="1" t="s">
        <v>22</v>
      </c>
      <c r="G319" s="1">
        <v>14902</v>
      </c>
      <c r="H319" s="1">
        <v>7673</v>
      </c>
      <c r="I319" s="1">
        <v>253</v>
      </c>
      <c r="J319" s="1">
        <v>180</v>
      </c>
      <c r="K319" s="1">
        <v>0</v>
      </c>
      <c r="L319" s="1" t="s">
        <v>19</v>
      </c>
      <c r="M319" s="1">
        <f>Table1[[#This Row],[ApplicantIncome]]+Table1[[#This Row],[CoapplicantIncome]]</f>
        <v>22575</v>
      </c>
      <c r="N319" s="1" t="s">
        <v>26</v>
      </c>
      <c r="O319" s="1" t="str">
        <f>IF(Table1[[#This Row],[Total_Income]]&lt;3000,"Low",IF(Table1[[#This Row],[Total_Income]]&lt;7000,"Medium","High"))</f>
        <v>High</v>
      </c>
      <c r="P319" s="1" t="str">
        <f t="shared" si="12"/>
        <v>Rejected</v>
      </c>
      <c r="Q319" s="1" t="str">
        <f t="shared" si="13"/>
        <v>High Risk</v>
      </c>
      <c r="R319" s="2">
        <f t="shared" si="14"/>
        <v>2417.7997733557895</v>
      </c>
    </row>
    <row r="320" spans="1:18" s="1" customFormat="1" ht="11.5" x14ac:dyDescent="0.25">
      <c r="A320" s="1" t="s">
        <v>351</v>
      </c>
      <c r="B320" s="1" t="s">
        <v>1238</v>
      </c>
      <c r="C320" s="1" t="s">
        <v>22</v>
      </c>
      <c r="D320" s="1">
        <v>2</v>
      </c>
      <c r="E320" s="1" t="s">
        <v>17</v>
      </c>
      <c r="F320" s="1" t="s">
        <v>22</v>
      </c>
      <c r="G320" s="1">
        <v>8667</v>
      </c>
      <c r="H320" s="1">
        <v>2912</v>
      </c>
      <c r="I320" s="1">
        <v>572</v>
      </c>
      <c r="J320" s="1">
        <v>120</v>
      </c>
      <c r="K320" s="1">
        <v>1</v>
      </c>
      <c r="L320" s="1" t="s">
        <v>30</v>
      </c>
      <c r="M320" s="1">
        <f>Table1[[#This Row],[ApplicantIncome]]+Table1[[#This Row],[CoapplicantIncome]]</f>
        <v>11579</v>
      </c>
      <c r="N320" s="1" t="s">
        <v>20</v>
      </c>
      <c r="O320" s="1" t="str">
        <f>IF(Table1[[#This Row],[Total_Income]]&lt;3000,"Low",IF(Table1[[#This Row],[Total_Income]]&lt;7000,"Medium","High"))</f>
        <v>High</v>
      </c>
      <c r="P320" s="1" t="str">
        <f t="shared" si="12"/>
        <v>Approved</v>
      </c>
      <c r="Q320" s="1" t="str">
        <f t="shared" si="13"/>
        <v>Low Risk</v>
      </c>
      <c r="R320" s="2">
        <f t="shared" si="14"/>
        <v>6939.938397126416</v>
      </c>
    </row>
    <row r="321" spans="1:18" s="1" customFormat="1" ht="11.5" x14ac:dyDescent="0.25">
      <c r="A321" s="1" t="s">
        <v>352</v>
      </c>
      <c r="B321" s="1" t="s">
        <v>28</v>
      </c>
      <c r="C321" s="1" t="s">
        <v>29</v>
      </c>
      <c r="D321" s="1" t="s">
        <v>16</v>
      </c>
      <c r="E321" s="1" t="s">
        <v>25</v>
      </c>
      <c r="F321" s="1" t="s">
        <v>22</v>
      </c>
      <c r="G321" s="1">
        <v>11592</v>
      </c>
      <c r="H321" s="1">
        <v>873</v>
      </c>
      <c r="I321" s="1">
        <v>325</v>
      </c>
      <c r="J321" s="1">
        <v>120</v>
      </c>
      <c r="K321" s="1">
        <v>0</v>
      </c>
      <c r="L321" s="1" t="s">
        <v>41</v>
      </c>
      <c r="M321" s="1">
        <f>Table1[[#This Row],[ApplicantIncome]]+Table1[[#This Row],[CoapplicantIncome]]</f>
        <v>12465</v>
      </c>
      <c r="N321" s="1" t="s">
        <v>26</v>
      </c>
      <c r="O321" s="1" t="str">
        <f>IF(Table1[[#This Row],[Total_Income]]&lt;3000,"Low",IF(Table1[[#This Row],[Total_Income]]&lt;7000,"Medium","High"))</f>
        <v>High</v>
      </c>
      <c r="P321" s="1" t="str">
        <f t="shared" si="12"/>
        <v>Rejected</v>
      </c>
      <c r="Q321" s="1" t="str">
        <f t="shared" si="13"/>
        <v>High Risk</v>
      </c>
      <c r="R321" s="2">
        <f t="shared" si="14"/>
        <v>3943.1468165491005</v>
      </c>
    </row>
    <row r="322" spans="1:18" s="1" customFormat="1" ht="11.5" x14ac:dyDescent="0.25">
      <c r="A322" s="1" t="s">
        <v>353</v>
      </c>
      <c r="B322" s="1" t="s">
        <v>52</v>
      </c>
      <c r="C322" s="1" t="s">
        <v>22</v>
      </c>
      <c r="D322" s="1">
        <v>2</v>
      </c>
      <c r="E322" s="1" t="s">
        <v>17</v>
      </c>
      <c r="F322" s="1" t="s">
        <v>22</v>
      </c>
      <c r="G322" s="1">
        <v>12714</v>
      </c>
      <c r="H322" s="1">
        <v>2682</v>
      </c>
      <c r="I322" s="1">
        <v>383</v>
      </c>
      <c r="J322" s="1">
        <v>120</v>
      </c>
      <c r="K322" s="1">
        <v>0</v>
      </c>
      <c r="L322" s="1" t="s">
        <v>19</v>
      </c>
      <c r="M322" s="1">
        <f>Table1[[#This Row],[ApplicantIncome]]+Table1[[#This Row],[CoapplicantIncome]]</f>
        <v>15396</v>
      </c>
      <c r="N322" s="1" t="s">
        <v>20</v>
      </c>
      <c r="O322" s="1" t="str">
        <f>IF(Table1[[#This Row],[Total_Income]]&lt;3000,"Low",IF(Table1[[#This Row],[Total_Income]]&lt;7000,"Medium","High"))</f>
        <v>High</v>
      </c>
      <c r="P322" s="1" t="str">
        <f t="shared" ref="P322:P385" si="15">IF(N322="Y","Approved","Rejected")</f>
        <v>Approved</v>
      </c>
      <c r="Q322" s="1" t="str">
        <f t="shared" ref="Q322:Q385" si="16">IF(K322=1,"Low Risk","High Risk")</f>
        <v>High Risk</v>
      </c>
      <c r="R322" s="2">
        <f t="shared" ref="R322:R385" si="17">-PMT(8%/12,J322,I322*1000)</f>
        <v>4646.8468638101704</v>
      </c>
    </row>
    <row r="323" spans="1:18" s="1" customFormat="1" ht="11.5" x14ac:dyDescent="0.25">
      <c r="A323" s="1" t="s">
        <v>354</v>
      </c>
      <c r="B323" s="1" t="s">
        <v>1238</v>
      </c>
      <c r="C323" s="1" t="s">
        <v>22</v>
      </c>
      <c r="D323" s="1" t="s">
        <v>16</v>
      </c>
      <c r="E323" s="1" t="s">
        <v>25</v>
      </c>
      <c r="F323" s="1" t="s">
        <v>29</v>
      </c>
      <c r="G323" s="1">
        <v>2798</v>
      </c>
      <c r="H323" s="1">
        <v>3171</v>
      </c>
      <c r="I323" s="1">
        <v>509</v>
      </c>
      <c r="J323" s="1">
        <v>180</v>
      </c>
      <c r="K323" s="1">
        <v>0</v>
      </c>
      <c r="L323" s="1" t="s">
        <v>30</v>
      </c>
      <c r="M323" s="1">
        <f>Table1[[#This Row],[ApplicantIncome]]+Table1[[#This Row],[CoapplicantIncome]]</f>
        <v>5969</v>
      </c>
      <c r="N323" s="1" t="s">
        <v>26</v>
      </c>
      <c r="O323" s="1" t="str">
        <f>IF(Table1[[#This Row],[Total_Income]]&lt;3000,"Low",IF(Table1[[#This Row],[Total_Income]]&lt;7000,"Medium","High"))</f>
        <v>Medium</v>
      </c>
      <c r="P323" s="1" t="str">
        <f t="shared" si="15"/>
        <v>Rejected</v>
      </c>
      <c r="Q323" s="1" t="str">
        <f t="shared" si="16"/>
        <v>High Risk</v>
      </c>
      <c r="R323" s="2">
        <f t="shared" si="17"/>
        <v>4864.2691092414889</v>
      </c>
    </row>
    <row r="324" spans="1:18" s="1" customFormat="1" ht="11.5" x14ac:dyDescent="0.25">
      <c r="A324" s="1" t="s">
        <v>355</v>
      </c>
      <c r="B324" s="1" t="s">
        <v>1238</v>
      </c>
      <c r="C324" s="1" t="s">
        <v>29</v>
      </c>
      <c r="D324" s="1">
        <v>1</v>
      </c>
      <c r="E324" s="1" t="s">
        <v>25</v>
      </c>
      <c r="F324" s="1" t="s">
        <v>29</v>
      </c>
      <c r="G324" s="1">
        <v>19443</v>
      </c>
      <c r="H324" s="1">
        <v>323</v>
      </c>
      <c r="I324" s="1">
        <v>229</v>
      </c>
      <c r="J324" s="1">
        <v>180</v>
      </c>
      <c r="K324" s="1">
        <v>0</v>
      </c>
      <c r="L324" s="1" t="s">
        <v>19</v>
      </c>
      <c r="M324" s="1">
        <f>Table1[[#This Row],[ApplicantIncome]]+Table1[[#This Row],[CoapplicantIncome]]</f>
        <v>19766</v>
      </c>
      <c r="N324" s="1" t="s">
        <v>26</v>
      </c>
      <c r="O324" s="1" t="str">
        <f>IF(Table1[[#This Row],[Total_Income]]&lt;3000,"Low",IF(Table1[[#This Row],[Total_Income]]&lt;7000,"Medium","High"))</f>
        <v>High</v>
      </c>
      <c r="P324" s="1" t="str">
        <f t="shared" si="15"/>
        <v>Rejected</v>
      </c>
      <c r="Q324" s="1" t="str">
        <f t="shared" si="16"/>
        <v>High Risk</v>
      </c>
      <c r="R324" s="2">
        <f t="shared" si="17"/>
        <v>2188.4432731165048</v>
      </c>
    </row>
    <row r="325" spans="1:18" s="1" customFormat="1" ht="11.5" x14ac:dyDescent="0.25">
      <c r="A325" s="1" t="s">
        <v>356</v>
      </c>
      <c r="B325" s="1" t="s">
        <v>1238</v>
      </c>
      <c r="C325" s="1" t="s">
        <v>22</v>
      </c>
      <c r="D325" s="1" t="s">
        <v>16</v>
      </c>
      <c r="E325" s="1" t="s">
        <v>25</v>
      </c>
      <c r="F325" s="1" t="s">
        <v>22</v>
      </c>
      <c r="G325" s="1">
        <v>13895</v>
      </c>
      <c r="H325" s="1">
        <v>2806</v>
      </c>
      <c r="I325" s="1">
        <v>137</v>
      </c>
      <c r="J325" s="1">
        <v>120</v>
      </c>
      <c r="K325" s="1">
        <v>0</v>
      </c>
      <c r="L325" s="1" t="s">
        <v>30</v>
      </c>
      <c r="M325" s="1">
        <f>Table1[[#This Row],[ApplicantIncome]]+Table1[[#This Row],[CoapplicantIncome]]</f>
        <v>16701</v>
      </c>
      <c r="N325" s="1" t="s">
        <v>26</v>
      </c>
      <c r="O325" s="1" t="str">
        <f>IF(Table1[[#This Row],[Total_Income]]&lt;3000,"Low",IF(Table1[[#This Row],[Total_Income]]&lt;7000,"Medium","High"))</f>
        <v>High</v>
      </c>
      <c r="P325" s="1" t="str">
        <f t="shared" si="15"/>
        <v>Rejected</v>
      </c>
      <c r="Q325" s="1" t="str">
        <f t="shared" si="16"/>
        <v>High Risk</v>
      </c>
      <c r="R325" s="2">
        <f t="shared" si="17"/>
        <v>1662.1880426683899</v>
      </c>
    </row>
    <row r="326" spans="1:18" s="1" customFormat="1" ht="11.5" x14ac:dyDescent="0.25">
      <c r="A326" s="1" t="s">
        <v>357</v>
      </c>
      <c r="B326" s="1" t="s">
        <v>1238</v>
      </c>
      <c r="C326" s="1" t="s">
        <v>29</v>
      </c>
      <c r="D326" s="1" t="s">
        <v>16</v>
      </c>
      <c r="E326" s="1" t="s">
        <v>25</v>
      </c>
      <c r="F326" s="1" t="s">
        <v>22</v>
      </c>
      <c r="G326" s="1">
        <v>18012</v>
      </c>
      <c r="H326" s="1">
        <v>6789</v>
      </c>
      <c r="I326" s="1">
        <v>252</v>
      </c>
      <c r="J326" s="1">
        <v>120</v>
      </c>
      <c r="K326" s="1">
        <v>1</v>
      </c>
      <c r="L326" s="1" t="s">
        <v>30</v>
      </c>
      <c r="M326" s="1">
        <f>Table1[[#This Row],[ApplicantIncome]]+Table1[[#This Row],[CoapplicantIncome]]</f>
        <v>24801</v>
      </c>
      <c r="N326" s="1" t="s">
        <v>26</v>
      </c>
      <c r="O326" s="1" t="str">
        <f>IF(Table1[[#This Row],[Total_Income]]&lt;3000,"Low",IF(Table1[[#This Row],[Total_Income]]&lt;7000,"Medium","High"))</f>
        <v>High</v>
      </c>
      <c r="P326" s="1" t="str">
        <f t="shared" si="15"/>
        <v>Rejected</v>
      </c>
      <c r="Q326" s="1" t="str">
        <f t="shared" si="16"/>
        <v>Low Risk</v>
      </c>
      <c r="R326" s="2">
        <f t="shared" si="17"/>
        <v>3057.4553777549945</v>
      </c>
    </row>
    <row r="327" spans="1:18" s="1" customFormat="1" ht="11.5" x14ac:dyDescent="0.25">
      <c r="A327" s="1" t="s">
        <v>358</v>
      </c>
      <c r="B327" s="1" t="s">
        <v>1238</v>
      </c>
      <c r="C327" s="1" t="s">
        <v>22</v>
      </c>
      <c r="D327" s="1">
        <v>0</v>
      </c>
      <c r="E327" s="1" t="s">
        <v>25</v>
      </c>
      <c r="F327" s="1" t="s">
        <v>22</v>
      </c>
      <c r="G327" s="1">
        <v>11259</v>
      </c>
      <c r="H327" s="1">
        <v>4266</v>
      </c>
      <c r="I327" s="1">
        <v>164</v>
      </c>
      <c r="J327" s="1">
        <v>360</v>
      </c>
      <c r="K327" s="1">
        <v>0</v>
      </c>
      <c r="L327" s="1" t="s">
        <v>30</v>
      </c>
      <c r="M327" s="1">
        <f>Table1[[#This Row],[ApplicantIncome]]+Table1[[#This Row],[CoapplicantIncome]]</f>
        <v>15525</v>
      </c>
      <c r="N327" s="1" t="s">
        <v>20</v>
      </c>
      <c r="O327" s="1" t="str">
        <f>IF(Table1[[#This Row],[Total_Income]]&lt;3000,"Low",IF(Table1[[#This Row],[Total_Income]]&lt;7000,"Medium","High"))</f>
        <v>High</v>
      </c>
      <c r="P327" s="1" t="str">
        <f t="shared" si="15"/>
        <v>Approved</v>
      </c>
      <c r="Q327" s="1" t="str">
        <f t="shared" si="16"/>
        <v>High Risk</v>
      </c>
      <c r="R327" s="2">
        <f t="shared" si="17"/>
        <v>1203.3739011621769</v>
      </c>
    </row>
    <row r="328" spans="1:18" s="1" customFormat="1" ht="11.5" x14ac:dyDescent="0.25">
      <c r="A328" s="1" t="s">
        <v>359</v>
      </c>
      <c r="B328" s="1" t="s">
        <v>28</v>
      </c>
      <c r="C328" s="1" t="s">
        <v>22</v>
      </c>
      <c r="D328" s="1">
        <v>0</v>
      </c>
      <c r="E328" s="1" t="s">
        <v>17</v>
      </c>
      <c r="F328" s="1" t="s">
        <v>22</v>
      </c>
      <c r="G328" s="1">
        <v>6761</v>
      </c>
      <c r="H328" s="1">
        <v>7584</v>
      </c>
      <c r="I328" s="1">
        <v>660</v>
      </c>
      <c r="J328" s="1">
        <v>180</v>
      </c>
      <c r="K328" s="1">
        <v>0</v>
      </c>
      <c r="L328" s="1" t="s">
        <v>41</v>
      </c>
      <c r="M328" s="1">
        <f>Table1[[#This Row],[ApplicantIncome]]+Table1[[#This Row],[CoapplicantIncome]]</f>
        <v>14345</v>
      </c>
      <c r="N328" s="1" t="s">
        <v>20</v>
      </c>
      <c r="O328" s="1" t="str">
        <f>IF(Table1[[#This Row],[Total_Income]]&lt;3000,"Low",IF(Table1[[#This Row],[Total_Income]]&lt;7000,"Medium","High"))</f>
        <v>High</v>
      </c>
      <c r="P328" s="1" t="str">
        <f t="shared" si="15"/>
        <v>Approved</v>
      </c>
      <c r="Q328" s="1" t="str">
        <f t="shared" si="16"/>
        <v>High Risk</v>
      </c>
      <c r="R328" s="2">
        <f t="shared" si="17"/>
        <v>6307.3037565803197</v>
      </c>
    </row>
    <row r="329" spans="1:18" s="1" customFormat="1" ht="11.5" x14ac:dyDescent="0.25">
      <c r="A329" s="1" t="s">
        <v>360</v>
      </c>
      <c r="B329" s="1" t="s">
        <v>1238</v>
      </c>
      <c r="C329" s="1" t="s">
        <v>29</v>
      </c>
      <c r="D329" s="1">
        <v>1</v>
      </c>
      <c r="E329" s="1" t="s">
        <v>17</v>
      </c>
      <c r="F329" s="1" t="s">
        <v>22</v>
      </c>
      <c r="G329" s="1">
        <v>10644</v>
      </c>
      <c r="H329" s="1">
        <v>9684</v>
      </c>
      <c r="I329" s="1">
        <v>680</v>
      </c>
      <c r="J329" s="1">
        <v>180</v>
      </c>
      <c r="K329" s="1">
        <v>0</v>
      </c>
      <c r="L329" s="1" t="s">
        <v>41</v>
      </c>
      <c r="M329" s="1">
        <f>Table1[[#This Row],[ApplicantIncome]]+Table1[[#This Row],[CoapplicantIncome]]</f>
        <v>20328</v>
      </c>
      <c r="N329" s="1" t="s">
        <v>26</v>
      </c>
      <c r="O329" s="1" t="str">
        <f>IF(Table1[[#This Row],[Total_Income]]&lt;3000,"Low",IF(Table1[[#This Row],[Total_Income]]&lt;7000,"Medium","High"))</f>
        <v>High</v>
      </c>
      <c r="P329" s="1" t="str">
        <f t="shared" si="15"/>
        <v>Rejected</v>
      </c>
      <c r="Q329" s="1" t="str">
        <f t="shared" si="16"/>
        <v>High Risk</v>
      </c>
      <c r="R329" s="2">
        <f t="shared" si="17"/>
        <v>6498.4341734463897</v>
      </c>
    </row>
    <row r="330" spans="1:18" s="1" customFormat="1" ht="11.5" x14ac:dyDescent="0.25">
      <c r="A330" s="1" t="s">
        <v>361</v>
      </c>
      <c r="B330" s="1" t="s">
        <v>52</v>
      </c>
      <c r="C330" s="1" t="s">
        <v>22</v>
      </c>
      <c r="D330" s="1">
        <v>2</v>
      </c>
      <c r="E330" s="1" t="s">
        <v>25</v>
      </c>
      <c r="F330" s="1" t="s">
        <v>22</v>
      </c>
      <c r="G330" s="1">
        <v>17652</v>
      </c>
      <c r="H330" s="1">
        <v>3635</v>
      </c>
      <c r="I330" s="1">
        <v>230</v>
      </c>
      <c r="J330" s="1">
        <v>180</v>
      </c>
      <c r="K330" s="1">
        <v>0</v>
      </c>
      <c r="L330" s="1" t="s">
        <v>41</v>
      </c>
      <c r="M330" s="1">
        <f>Table1[[#This Row],[ApplicantIncome]]+Table1[[#This Row],[CoapplicantIncome]]</f>
        <v>21287</v>
      </c>
      <c r="N330" s="1" t="s">
        <v>20</v>
      </c>
      <c r="O330" s="1" t="str">
        <f>IF(Table1[[#This Row],[Total_Income]]&lt;3000,"Low",IF(Table1[[#This Row],[Total_Income]]&lt;7000,"Medium","High"))</f>
        <v>High</v>
      </c>
      <c r="P330" s="1" t="str">
        <f t="shared" si="15"/>
        <v>Approved</v>
      </c>
      <c r="Q330" s="1" t="str">
        <f t="shared" si="16"/>
        <v>High Risk</v>
      </c>
      <c r="R330" s="2">
        <f t="shared" si="17"/>
        <v>2197.9997939598084</v>
      </c>
    </row>
    <row r="331" spans="1:18" s="1" customFormat="1" ht="11.5" x14ac:dyDescent="0.25">
      <c r="A331" s="1" t="s">
        <v>362</v>
      </c>
      <c r="B331" s="1" t="s">
        <v>1238</v>
      </c>
      <c r="C331" s="1" t="s">
        <v>22</v>
      </c>
      <c r="D331" s="1">
        <v>1</v>
      </c>
      <c r="E331" s="1" t="s">
        <v>25</v>
      </c>
      <c r="F331" s="1" t="s">
        <v>22</v>
      </c>
      <c r="G331" s="1">
        <v>17954</v>
      </c>
      <c r="H331" s="1">
        <v>5053</v>
      </c>
      <c r="I331" s="1">
        <v>592</v>
      </c>
      <c r="J331" s="1">
        <v>180</v>
      </c>
      <c r="K331" s="1">
        <v>0</v>
      </c>
      <c r="L331" s="1" t="s">
        <v>30</v>
      </c>
      <c r="M331" s="1">
        <f>Table1[[#This Row],[ApplicantIncome]]+Table1[[#This Row],[CoapplicantIncome]]</f>
        <v>23007</v>
      </c>
      <c r="N331" s="1" t="s">
        <v>20</v>
      </c>
      <c r="O331" s="1" t="str">
        <f>IF(Table1[[#This Row],[Total_Income]]&lt;3000,"Low",IF(Table1[[#This Row],[Total_Income]]&lt;7000,"Medium","High"))</f>
        <v>High</v>
      </c>
      <c r="P331" s="1" t="str">
        <f t="shared" si="15"/>
        <v>Approved</v>
      </c>
      <c r="Q331" s="1" t="str">
        <f t="shared" si="16"/>
        <v>High Risk</v>
      </c>
      <c r="R331" s="2">
        <f t="shared" si="17"/>
        <v>5657.4603392356812</v>
      </c>
    </row>
    <row r="332" spans="1:18" s="1" customFormat="1" ht="11.5" x14ac:dyDescent="0.25">
      <c r="A332" s="1" t="s">
        <v>363</v>
      </c>
      <c r="B332" s="1" t="s">
        <v>1238</v>
      </c>
      <c r="C332" s="1" t="s">
        <v>29</v>
      </c>
      <c r="D332" s="1">
        <v>1</v>
      </c>
      <c r="E332" s="1" t="s">
        <v>17</v>
      </c>
      <c r="F332" s="1" t="s">
        <v>22</v>
      </c>
      <c r="G332" s="1">
        <v>4650</v>
      </c>
      <c r="H332" s="1">
        <v>9335</v>
      </c>
      <c r="I332" s="1">
        <v>616</v>
      </c>
      <c r="J332" s="1">
        <v>360</v>
      </c>
      <c r="K332" s="1">
        <v>0</v>
      </c>
      <c r="L332" s="1" t="s">
        <v>41</v>
      </c>
      <c r="M332" s="1">
        <f>Table1[[#This Row],[ApplicantIncome]]+Table1[[#This Row],[CoapplicantIncome]]</f>
        <v>13985</v>
      </c>
      <c r="N332" s="1" t="s">
        <v>26</v>
      </c>
      <c r="O332" s="1" t="str">
        <f>IF(Table1[[#This Row],[Total_Income]]&lt;3000,"Low",IF(Table1[[#This Row],[Total_Income]]&lt;7000,"Medium","High"))</f>
        <v>High</v>
      </c>
      <c r="P332" s="1" t="str">
        <f t="shared" si="15"/>
        <v>Rejected</v>
      </c>
      <c r="Q332" s="1" t="str">
        <f t="shared" si="16"/>
        <v>High Risk</v>
      </c>
      <c r="R332" s="2">
        <f t="shared" si="17"/>
        <v>4519.9897750969576</v>
      </c>
    </row>
    <row r="333" spans="1:18" s="1" customFormat="1" ht="11.5" x14ac:dyDescent="0.25">
      <c r="A333" s="1" t="s">
        <v>364</v>
      </c>
      <c r="B333" s="1" t="s">
        <v>28</v>
      </c>
      <c r="C333" s="1" t="s">
        <v>22</v>
      </c>
      <c r="D333" s="1">
        <v>0</v>
      </c>
      <c r="E333" s="1" t="s">
        <v>17</v>
      </c>
      <c r="F333" s="1" t="s">
        <v>29</v>
      </c>
      <c r="G333" s="1">
        <v>17348</v>
      </c>
      <c r="H333" s="1">
        <v>6308</v>
      </c>
      <c r="I333" s="1">
        <v>489</v>
      </c>
      <c r="J333" s="1">
        <v>360</v>
      </c>
      <c r="K333" s="1">
        <v>0</v>
      </c>
      <c r="L333" s="1" t="s">
        <v>30</v>
      </c>
      <c r="M333" s="1">
        <f>Table1[[#This Row],[ApplicantIncome]]+Table1[[#This Row],[CoapplicantIncome]]</f>
        <v>23656</v>
      </c>
      <c r="N333" s="1" t="s">
        <v>20</v>
      </c>
      <c r="O333" s="1" t="str">
        <f>IF(Table1[[#This Row],[Total_Income]]&lt;3000,"Low",IF(Table1[[#This Row],[Total_Income]]&lt;7000,"Medium","High"))</f>
        <v>High</v>
      </c>
      <c r="P333" s="1" t="str">
        <f t="shared" si="15"/>
        <v>Approved</v>
      </c>
      <c r="Q333" s="1" t="str">
        <f t="shared" si="16"/>
        <v>High Risk</v>
      </c>
      <c r="R333" s="2">
        <f t="shared" si="17"/>
        <v>3588.1087662701498</v>
      </c>
    </row>
    <row r="334" spans="1:18" s="1" customFormat="1" ht="11.5" x14ac:dyDescent="0.25">
      <c r="A334" s="1" t="s">
        <v>365</v>
      </c>
      <c r="B334" s="1" t="s">
        <v>1238</v>
      </c>
      <c r="C334" s="1" t="s">
        <v>22</v>
      </c>
      <c r="D334" s="1">
        <v>0</v>
      </c>
      <c r="E334" s="1" t="s">
        <v>17</v>
      </c>
      <c r="F334" s="1" t="s">
        <v>29</v>
      </c>
      <c r="G334" s="1">
        <v>14334</v>
      </c>
      <c r="H334" s="1">
        <v>5916</v>
      </c>
      <c r="I334" s="1">
        <v>618</v>
      </c>
      <c r="J334" s="1">
        <v>120</v>
      </c>
      <c r="K334" s="1">
        <v>0</v>
      </c>
      <c r="L334" s="1" t="s">
        <v>19</v>
      </c>
      <c r="M334" s="1">
        <f>Table1[[#This Row],[ApplicantIncome]]+Table1[[#This Row],[CoapplicantIncome]]</f>
        <v>20250</v>
      </c>
      <c r="N334" s="1" t="s">
        <v>26</v>
      </c>
      <c r="O334" s="1" t="str">
        <f>IF(Table1[[#This Row],[Total_Income]]&lt;3000,"Low",IF(Table1[[#This Row],[Total_Income]]&lt;7000,"Medium","High"))</f>
        <v>High</v>
      </c>
      <c r="P334" s="1" t="str">
        <f t="shared" si="15"/>
        <v>Rejected</v>
      </c>
      <c r="Q334" s="1" t="str">
        <f t="shared" si="16"/>
        <v>High Risk</v>
      </c>
      <c r="R334" s="2">
        <f t="shared" si="17"/>
        <v>7498.0453311610581</v>
      </c>
    </row>
    <row r="335" spans="1:18" s="1" customFormat="1" ht="11.5" x14ac:dyDescent="0.25">
      <c r="A335" s="1" t="s">
        <v>366</v>
      </c>
      <c r="B335" s="1" t="s">
        <v>1238</v>
      </c>
      <c r="C335" s="1" t="s">
        <v>22</v>
      </c>
      <c r="D335" s="1" t="s">
        <v>16</v>
      </c>
      <c r="E335" s="1" t="s">
        <v>25</v>
      </c>
      <c r="F335" s="1" t="s">
        <v>29</v>
      </c>
      <c r="G335" s="1">
        <v>17544</v>
      </c>
      <c r="H335" s="1">
        <v>5376</v>
      </c>
      <c r="I335" s="1">
        <v>649</v>
      </c>
      <c r="J335" s="1">
        <v>120</v>
      </c>
      <c r="K335" s="1">
        <v>1</v>
      </c>
      <c r="L335" s="1" t="s">
        <v>41</v>
      </c>
      <c r="M335" s="1">
        <f>Table1[[#This Row],[ApplicantIncome]]+Table1[[#This Row],[CoapplicantIncome]]</f>
        <v>22920</v>
      </c>
      <c r="N335" s="1" t="s">
        <v>20</v>
      </c>
      <c r="O335" s="1" t="str">
        <f>IF(Table1[[#This Row],[Total_Income]]&lt;3000,"Low",IF(Table1[[#This Row],[Total_Income]]&lt;7000,"Medium","High"))</f>
        <v>High</v>
      </c>
      <c r="P335" s="1" t="str">
        <f t="shared" si="15"/>
        <v>Approved</v>
      </c>
      <c r="Q335" s="1" t="str">
        <f t="shared" si="16"/>
        <v>Low Risk</v>
      </c>
      <c r="R335" s="2">
        <f t="shared" si="17"/>
        <v>7874.160873662664</v>
      </c>
    </row>
    <row r="336" spans="1:18" s="1" customFormat="1" ht="11.5" x14ac:dyDescent="0.25">
      <c r="A336" s="1" t="s">
        <v>367</v>
      </c>
      <c r="B336" s="1" t="s">
        <v>1238</v>
      </c>
      <c r="C336" s="1" t="s">
        <v>22</v>
      </c>
      <c r="D336" s="1">
        <v>0</v>
      </c>
      <c r="E336" s="1" t="s">
        <v>25</v>
      </c>
      <c r="F336" s="1" t="s">
        <v>29</v>
      </c>
      <c r="G336" s="1">
        <v>4994</v>
      </c>
      <c r="H336" s="1">
        <v>4892</v>
      </c>
      <c r="I336" s="1">
        <v>656</v>
      </c>
      <c r="J336" s="1">
        <v>360</v>
      </c>
      <c r="K336" s="1">
        <v>0</v>
      </c>
      <c r="L336" s="1" t="s">
        <v>41</v>
      </c>
      <c r="M336" s="1">
        <f>Table1[[#This Row],[ApplicantIncome]]+Table1[[#This Row],[CoapplicantIncome]]</f>
        <v>9886</v>
      </c>
      <c r="N336" s="1" t="s">
        <v>20</v>
      </c>
      <c r="O336" s="1" t="str">
        <f>IF(Table1[[#This Row],[Total_Income]]&lt;3000,"Low",IF(Table1[[#This Row],[Total_Income]]&lt;7000,"Medium","High"))</f>
        <v>High</v>
      </c>
      <c r="P336" s="1" t="str">
        <f t="shared" si="15"/>
        <v>Approved</v>
      </c>
      <c r="Q336" s="1" t="str">
        <f t="shared" si="16"/>
        <v>High Risk</v>
      </c>
      <c r="R336" s="2">
        <f t="shared" si="17"/>
        <v>4813.4956046487077</v>
      </c>
    </row>
    <row r="337" spans="1:18" s="1" customFormat="1" ht="11.5" x14ac:dyDescent="0.25">
      <c r="A337" s="1" t="s">
        <v>368</v>
      </c>
      <c r="B337" s="1" t="s">
        <v>28</v>
      </c>
      <c r="C337" s="1" t="s">
        <v>22</v>
      </c>
      <c r="D337" s="1">
        <v>2</v>
      </c>
      <c r="E337" s="1" t="s">
        <v>25</v>
      </c>
      <c r="F337" s="1" t="s">
        <v>22</v>
      </c>
      <c r="G337" s="1">
        <v>18839</v>
      </c>
      <c r="H337" s="1">
        <v>8887</v>
      </c>
      <c r="I337" s="1">
        <v>565</v>
      </c>
      <c r="J337" s="1">
        <v>120</v>
      </c>
      <c r="K337" s="1">
        <v>0</v>
      </c>
      <c r="L337" s="1" t="s">
        <v>19</v>
      </c>
      <c r="M337" s="1">
        <f>Table1[[#This Row],[ApplicantIncome]]+Table1[[#This Row],[CoapplicantIncome]]</f>
        <v>27726</v>
      </c>
      <c r="N337" s="1" t="s">
        <v>26</v>
      </c>
      <c r="O337" s="1" t="str">
        <f>IF(Table1[[#This Row],[Total_Income]]&lt;3000,"Low",IF(Table1[[#This Row],[Total_Income]]&lt;7000,"Medium","High"))</f>
        <v>High</v>
      </c>
      <c r="P337" s="1" t="str">
        <f t="shared" si="15"/>
        <v>Rejected</v>
      </c>
      <c r="Q337" s="1" t="str">
        <f t="shared" si="16"/>
        <v>High Risk</v>
      </c>
      <c r="R337" s="2">
        <f t="shared" si="17"/>
        <v>6855.0090810776665</v>
      </c>
    </row>
    <row r="338" spans="1:18" s="1" customFormat="1" ht="11.5" x14ac:dyDescent="0.25">
      <c r="A338" s="1" t="s">
        <v>369</v>
      </c>
      <c r="B338" s="1" t="s">
        <v>52</v>
      </c>
      <c r="C338" s="1" t="s">
        <v>22</v>
      </c>
      <c r="D338" s="1">
        <v>1</v>
      </c>
      <c r="E338" s="1" t="s">
        <v>17</v>
      </c>
      <c r="F338" s="1" t="s">
        <v>22</v>
      </c>
      <c r="G338" s="1">
        <v>6182</v>
      </c>
      <c r="H338" s="1">
        <v>646</v>
      </c>
      <c r="I338" s="1">
        <v>577</v>
      </c>
      <c r="J338" s="1">
        <v>180</v>
      </c>
      <c r="K338" s="1">
        <v>1</v>
      </c>
      <c r="L338" s="1" t="s">
        <v>41</v>
      </c>
      <c r="M338" s="1">
        <f>Table1[[#This Row],[ApplicantIncome]]+Table1[[#This Row],[CoapplicantIncome]]</f>
        <v>6828</v>
      </c>
      <c r="N338" s="1" t="s">
        <v>20</v>
      </c>
      <c r="O338" s="1" t="str">
        <f>IF(Table1[[#This Row],[Total_Income]]&lt;3000,"Low",IF(Table1[[#This Row],[Total_Income]]&lt;7000,"Medium","High"))</f>
        <v>Medium</v>
      </c>
      <c r="P338" s="1" t="str">
        <f t="shared" si="15"/>
        <v>Approved</v>
      </c>
      <c r="Q338" s="1" t="str">
        <f t="shared" si="16"/>
        <v>Low Risk</v>
      </c>
      <c r="R338" s="2">
        <f t="shared" si="17"/>
        <v>5514.1125265861274</v>
      </c>
    </row>
    <row r="339" spans="1:18" s="1" customFormat="1" ht="11.5" x14ac:dyDescent="0.25">
      <c r="A339" s="1" t="s">
        <v>370</v>
      </c>
      <c r="B339" s="1" t="s">
        <v>52</v>
      </c>
      <c r="C339" s="1" t="s">
        <v>22</v>
      </c>
      <c r="D339" s="1">
        <v>0</v>
      </c>
      <c r="E339" s="1" t="s">
        <v>17</v>
      </c>
      <c r="F339" s="1" t="s">
        <v>22</v>
      </c>
      <c r="G339" s="1">
        <v>7392</v>
      </c>
      <c r="H339" s="1">
        <v>4580</v>
      </c>
      <c r="I339" s="1">
        <v>300</v>
      </c>
      <c r="J339" s="1">
        <v>180</v>
      </c>
      <c r="K339" s="1">
        <v>1</v>
      </c>
      <c r="L339" s="1" t="s">
        <v>19</v>
      </c>
      <c r="M339" s="1">
        <f>Table1[[#This Row],[ApplicantIncome]]+Table1[[#This Row],[CoapplicantIncome]]</f>
        <v>11972</v>
      </c>
      <c r="N339" s="1" t="s">
        <v>20</v>
      </c>
      <c r="O339" s="1" t="str">
        <f>IF(Table1[[#This Row],[Total_Income]]&lt;3000,"Low",IF(Table1[[#This Row],[Total_Income]]&lt;7000,"Medium","High"))</f>
        <v>High</v>
      </c>
      <c r="P339" s="1" t="str">
        <f t="shared" si="15"/>
        <v>Approved</v>
      </c>
      <c r="Q339" s="1" t="str">
        <f t="shared" si="16"/>
        <v>Low Risk</v>
      </c>
      <c r="R339" s="2">
        <f t="shared" si="17"/>
        <v>2866.9562529910545</v>
      </c>
    </row>
    <row r="340" spans="1:18" s="1" customFormat="1" ht="11.5" x14ac:dyDescent="0.25">
      <c r="A340" s="1" t="s">
        <v>371</v>
      </c>
      <c r="B340" s="1" t="s">
        <v>52</v>
      </c>
      <c r="C340" s="1" t="s">
        <v>22</v>
      </c>
      <c r="D340" s="1">
        <v>1</v>
      </c>
      <c r="E340" s="1" t="s">
        <v>25</v>
      </c>
      <c r="F340" s="1" t="s">
        <v>29</v>
      </c>
      <c r="G340" s="1">
        <v>12464</v>
      </c>
      <c r="H340" s="1">
        <v>4959</v>
      </c>
      <c r="I340" s="1">
        <v>359</v>
      </c>
      <c r="J340" s="1">
        <v>360</v>
      </c>
      <c r="K340" s="1">
        <v>1</v>
      </c>
      <c r="L340" s="1" t="s">
        <v>30</v>
      </c>
      <c r="M340" s="1">
        <f>Table1[[#This Row],[ApplicantIncome]]+Table1[[#This Row],[CoapplicantIncome]]</f>
        <v>17423</v>
      </c>
      <c r="N340" s="1" t="s">
        <v>20</v>
      </c>
      <c r="O340" s="1" t="str">
        <f>IF(Table1[[#This Row],[Total_Income]]&lt;3000,"Low",IF(Table1[[#This Row],[Total_Income]]&lt;7000,"Medium","High"))</f>
        <v>High</v>
      </c>
      <c r="P340" s="1" t="str">
        <f t="shared" si="15"/>
        <v>Approved</v>
      </c>
      <c r="Q340" s="1" t="str">
        <f t="shared" si="16"/>
        <v>Low Risk</v>
      </c>
      <c r="R340" s="2">
        <f t="shared" si="17"/>
        <v>2634.2148202269605</v>
      </c>
    </row>
    <row r="341" spans="1:18" s="1" customFormat="1" ht="11.5" x14ac:dyDescent="0.25">
      <c r="A341" s="1" t="s">
        <v>372</v>
      </c>
      <c r="B341" s="1" t="s">
        <v>1238</v>
      </c>
      <c r="C341" s="1" t="s">
        <v>22</v>
      </c>
      <c r="D341" s="1">
        <v>0</v>
      </c>
      <c r="E341" s="1" t="s">
        <v>17</v>
      </c>
      <c r="F341" s="1" t="s">
        <v>22</v>
      </c>
      <c r="G341" s="1">
        <v>6164</v>
      </c>
      <c r="H341" s="1">
        <v>1706</v>
      </c>
      <c r="I341" s="1">
        <v>302</v>
      </c>
      <c r="J341" s="1">
        <v>180</v>
      </c>
      <c r="K341" s="1">
        <v>0</v>
      </c>
      <c r="L341" s="1" t="s">
        <v>41</v>
      </c>
      <c r="M341" s="1">
        <f>Table1[[#This Row],[ApplicantIncome]]+Table1[[#This Row],[CoapplicantIncome]]</f>
        <v>7870</v>
      </c>
      <c r="N341" s="1" t="s">
        <v>26</v>
      </c>
      <c r="O341" s="1" t="str">
        <f>IF(Table1[[#This Row],[Total_Income]]&lt;3000,"Low",IF(Table1[[#This Row],[Total_Income]]&lt;7000,"Medium","High"))</f>
        <v>High</v>
      </c>
      <c r="P341" s="1" t="str">
        <f t="shared" si="15"/>
        <v>Rejected</v>
      </c>
      <c r="Q341" s="1" t="str">
        <f t="shared" si="16"/>
        <v>High Risk</v>
      </c>
      <c r="R341" s="2">
        <f t="shared" si="17"/>
        <v>2886.0692946776612</v>
      </c>
    </row>
    <row r="342" spans="1:18" s="1" customFormat="1" ht="11.5" x14ac:dyDescent="0.25">
      <c r="A342" s="1" t="s">
        <v>373</v>
      </c>
      <c r="B342" s="1" t="s">
        <v>1238</v>
      </c>
      <c r="C342" s="1" t="s">
        <v>29</v>
      </c>
      <c r="D342" s="1">
        <v>2</v>
      </c>
      <c r="E342" s="1" t="s">
        <v>25</v>
      </c>
      <c r="F342" s="1" t="s">
        <v>29</v>
      </c>
      <c r="G342" s="1">
        <v>14216</v>
      </c>
      <c r="H342" s="1">
        <v>7361</v>
      </c>
      <c r="I342" s="1">
        <v>145</v>
      </c>
      <c r="J342" s="1">
        <v>180</v>
      </c>
      <c r="K342" s="1">
        <v>0</v>
      </c>
      <c r="L342" s="1" t="s">
        <v>41</v>
      </c>
      <c r="M342" s="1">
        <f>Table1[[#This Row],[ApplicantIncome]]+Table1[[#This Row],[CoapplicantIncome]]</f>
        <v>21577</v>
      </c>
      <c r="N342" s="1" t="s">
        <v>20</v>
      </c>
      <c r="O342" s="1" t="str">
        <f>IF(Table1[[#This Row],[Total_Income]]&lt;3000,"Low",IF(Table1[[#This Row],[Total_Income]]&lt;7000,"Medium","High"))</f>
        <v>High</v>
      </c>
      <c r="P342" s="1" t="str">
        <f t="shared" si="15"/>
        <v>Approved</v>
      </c>
      <c r="Q342" s="1" t="str">
        <f t="shared" si="16"/>
        <v>High Risk</v>
      </c>
      <c r="R342" s="2">
        <f t="shared" si="17"/>
        <v>1385.6955222790095</v>
      </c>
    </row>
    <row r="343" spans="1:18" s="1" customFormat="1" ht="11.5" x14ac:dyDescent="0.25">
      <c r="A343" s="1" t="s">
        <v>374</v>
      </c>
      <c r="B343" s="1" t="s">
        <v>1238</v>
      </c>
      <c r="C343" s="1" t="s">
        <v>22</v>
      </c>
      <c r="D343" s="1">
        <v>0</v>
      </c>
      <c r="E343" s="1" t="s">
        <v>17</v>
      </c>
      <c r="F343" s="1" t="s">
        <v>22</v>
      </c>
      <c r="G343" s="1">
        <v>10730</v>
      </c>
      <c r="H343" s="1">
        <v>2110</v>
      </c>
      <c r="I343" s="1">
        <v>568</v>
      </c>
      <c r="J343" s="1">
        <v>360</v>
      </c>
      <c r="K343" s="1">
        <v>1</v>
      </c>
      <c r="L343" s="1" t="s">
        <v>41</v>
      </c>
      <c r="M343" s="1">
        <f>Table1[[#This Row],[ApplicantIncome]]+Table1[[#This Row],[CoapplicantIncome]]</f>
        <v>12840</v>
      </c>
      <c r="N343" s="1" t="s">
        <v>20</v>
      </c>
      <c r="O343" s="1" t="str">
        <f>IF(Table1[[#This Row],[Total_Income]]&lt;3000,"Low",IF(Table1[[#This Row],[Total_Income]]&lt;7000,"Medium","High"))</f>
        <v>High</v>
      </c>
      <c r="P343" s="1" t="str">
        <f t="shared" si="15"/>
        <v>Approved</v>
      </c>
      <c r="Q343" s="1" t="str">
        <f t="shared" si="16"/>
        <v>Low Risk</v>
      </c>
      <c r="R343" s="2">
        <f t="shared" si="17"/>
        <v>4167.7827796348565</v>
      </c>
    </row>
    <row r="344" spans="1:18" s="1" customFormat="1" ht="11.5" x14ac:dyDescent="0.25">
      <c r="A344" s="1" t="s">
        <v>375</v>
      </c>
      <c r="B344" s="1" t="s">
        <v>1238</v>
      </c>
      <c r="C344" s="1" t="s">
        <v>29</v>
      </c>
      <c r="D344" s="1">
        <v>0</v>
      </c>
      <c r="E344" s="1" t="s">
        <v>25</v>
      </c>
      <c r="F344" s="1" t="s">
        <v>22</v>
      </c>
      <c r="G344" s="1">
        <v>10727</v>
      </c>
      <c r="H344" s="1">
        <v>8996</v>
      </c>
      <c r="I344" s="1">
        <v>633</v>
      </c>
      <c r="J344" s="1">
        <v>120</v>
      </c>
      <c r="K344" s="1">
        <v>0</v>
      </c>
      <c r="L344" s="1" t="s">
        <v>41</v>
      </c>
      <c r="M344" s="1">
        <f>Table1[[#This Row],[ApplicantIncome]]+Table1[[#This Row],[CoapplicantIncome]]</f>
        <v>19723</v>
      </c>
      <c r="N344" s="1" t="s">
        <v>20</v>
      </c>
      <c r="O344" s="1" t="str">
        <f>IF(Table1[[#This Row],[Total_Income]]&lt;3000,"Low",IF(Table1[[#This Row],[Total_Income]]&lt;7000,"Medium","High"))</f>
        <v>High</v>
      </c>
      <c r="P344" s="1" t="str">
        <f t="shared" si="15"/>
        <v>Approved</v>
      </c>
      <c r="Q344" s="1" t="str">
        <f t="shared" si="16"/>
        <v>High Risk</v>
      </c>
      <c r="R344" s="2">
        <f t="shared" si="17"/>
        <v>7680.0367226940944</v>
      </c>
    </row>
    <row r="345" spans="1:18" s="1" customFormat="1" ht="11.5" x14ac:dyDescent="0.25">
      <c r="A345" s="1" t="s">
        <v>376</v>
      </c>
      <c r="B345" s="1" t="s">
        <v>28</v>
      </c>
      <c r="C345" s="1" t="s">
        <v>29</v>
      </c>
      <c r="D345" s="1">
        <v>2</v>
      </c>
      <c r="E345" s="1" t="s">
        <v>17</v>
      </c>
      <c r="F345" s="1" t="s">
        <v>22</v>
      </c>
      <c r="G345" s="1">
        <v>5214</v>
      </c>
      <c r="H345" s="1">
        <v>831</v>
      </c>
      <c r="I345" s="1">
        <v>560</v>
      </c>
      <c r="J345" s="1">
        <v>180</v>
      </c>
      <c r="K345" s="1">
        <v>0</v>
      </c>
      <c r="L345" s="1" t="s">
        <v>41</v>
      </c>
      <c r="M345" s="1">
        <f>Table1[[#This Row],[ApplicantIncome]]+Table1[[#This Row],[CoapplicantIncome]]</f>
        <v>6045</v>
      </c>
      <c r="N345" s="1" t="s">
        <v>26</v>
      </c>
      <c r="O345" s="1" t="str">
        <f>IF(Table1[[#This Row],[Total_Income]]&lt;3000,"Low",IF(Table1[[#This Row],[Total_Income]]&lt;7000,"Medium","High"))</f>
        <v>Medium</v>
      </c>
      <c r="P345" s="1" t="str">
        <f t="shared" si="15"/>
        <v>Rejected</v>
      </c>
      <c r="Q345" s="1" t="str">
        <f t="shared" si="16"/>
        <v>High Risk</v>
      </c>
      <c r="R345" s="2">
        <f t="shared" si="17"/>
        <v>5351.6516722499682</v>
      </c>
    </row>
    <row r="346" spans="1:18" s="1" customFormat="1" ht="11.5" x14ac:dyDescent="0.25">
      <c r="A346" s="1" t="s">
        <v>377</v>
      </c>
      <c r="B346" s="1" t="s">
        <v>28</v>
      </c>
      <c r="C346" s="1" t="s">
        <v>22</v>
      </c>
      <c r="D346" s="1">
        <v>1</v>
      </c>
      <c r="E346" s="1" t="s">
        <v>17</v>
      </c>
      <c r="F346" s="1" t="s">
        <v>22</v>
      </c>
      <c r="G346" s="1">
        <v>19544</v>
      </c>
      <c r="H346" s="1">
        <v>299</v>
      </c>
      <c r="I346" s="1">
        <v>149</v>
      </c>
      <c r="J346" s="1">
        <v>120</v>
      </c>
      <c r="K346" s="1">
        <v>1</v>
      </c>
      <c r="L346" s="1" t="s">
        <v>30</v>
      </c>
      <c r="M346" s="1">
        <f>Table1[[#This Row],[ApplicantIncome]]+Table1[[#This Row],[CoapplicantIncome]]</f>
        <v>19843</v>
      </c>
      <c r="N346" s="1" t="s">
        <v>20</v>
      </c>
      <c r="O346" s="1" t="str">
        <f>IF(Table1[[#This Row],[Total_Income]]&lt;3000,"Low",IF(Table1[[#This Row],[Total_Income]]&lt;7000,"Medium","High"))</f>
        <v>High</v>
      </c>
      <c r="P346" s="1" t="str">
        <f t="shared" si="15"/>
        <v>Approved</v>
      </c>
      <c r="Q346" s="1" t="str">
        <f t="shared" si="16"/>
        <v>Low Risk</v>
      </c>
      <c r="R346" s="2">
        <f t="shared" si="17"/>
        <v>1807.7811558948183</v>
      </c>
    </row>
    <row r="347" spans="1:18" s="1" customFormat="1" ht="11.5" x14ac:dyDescent="0.25">
      <c r="A347" s="1" t="s">
        <v>378</v>
      </c>
      <c r="B347" s="1" t="s">
        <v>52</v>
      </c>
      <c r="C347" s="1" t="s">
        <v>22</v>
      </c>
      <c r="D347" s="1">
        <v>0</v>
      </c>
      <c r="E347" s="1" t="s">
        <v>17</v>
      </c>
      <c r="F347" s="1" t="s">
        <v>22</v>
      </c>
      <c r="G347" s="1">
        <v>7140</v>
      </c>
      <c r="H347" s="1">
        <v>8499</v>
      </c>
      <c r="I347" s="1">
        <v>254</v>
      </c>
      <c r="J347" s="1">
        <v>180</v>
      </c>
      <c r="K347" s="1">
        <v>1</v>
      </c>
      <c r="L347" s="1" t="s">
        <v>30</v>
      </c>
      <c r="M347" s="1">
        <f>Table1[[#This Row],[ApplicantIncome]]+Table1[[#This Row],[CoapplicantIncome]]</f>
        <v>15639</v>
      </c>
      <c r="N347" s="1" t="s">
        <v>20</v>
      </c>
      <c r="O347" s="1" t="str">
        <f>IF(Table1[[#This Row],[Total_Income]]&lt;3000,"Low",IF(Table1[[#This Row],[Total_Income]]&lt;7000,"Medium","High"))</f>
        <v>High</v>
      </c>
      <c r="P347" s="1" t="str">
        <f t="shared" si="15"/>
        <v>Approved</v>
      </c>
      <c r="Q347" s="1" t="str">
        <f t="shared" si="16"/>
        <v>Low Risk</v>
      </c>
      <c r="R347" s="2">
        <f t="shared" si="17"/>
        <v>2427.3562941990926</v>
      </c>
    </row>
    <row r="348" spans="1:18" s="1" customFormat="1" ht="11.5" x14ac:dyDescent="0.25">
      <c r="A348" s="1" t="s">
        <v>379</v>
      </c>
      <c r="B348" s="1" t="s">
        <v>28</v>
      </c>
      <c r="C348" s="1" t="s">
        <v>22</v>
      </c>
      <c r="D348" s="1" t="s">
        <v>16</v>
      </c>
      <c r="E348" s="1" t="s">
        <v>25</v>
      </c>
      <c r="F348" s="1" t="s">
        <v>22</v>
      </c>
      <c r="G348" s="1">
        <v>11373</v>
      </c>
      <c r="H348" s="1">
        <v>8395</v>
      </c>
      <c r="I348" s="1">
        <v>608</v>
      </c>
      <c r="J348" s="1">
        <v>360</v>
      </c>
      <c r="K348" s="1">
        <v>0</v>
      </c>
      <c r="L348" s="1" t="s">
        <v>30</v>
      </c>
      <c r="M348" s="1">
        <f>Table1[[#This Row],[ApplicantIncome]]+Table1[[#This Row],[CoapplicantIncome]]</f>
        <v>19768</v>
      </c>
      <c r="N348" s="1" t="s">
        <v>26</v>
      </c>
      <c r="O348" s="1" t="str">
        <f>IF(Table1[[#This Row],[Total_Income]]&lt;3000,"Low",IF(Table1[[#This Row],[Total_Income]]&lt;7000,"Medium","High"))</f>
        <v>High</v>
      </c>
      <c r="P348" s="1" t="str">
        <f t="shared" si="15"/>
        <v>Rejected</v>
      </c>
      <c r="Q348" s="1" t="str">
        <f t="shared" si="16"/>
        <v>High Risk</v>
      </c>
      <c r="R348" s="2">
        <f t="shared" si="17"/>
        <v>4461.2886091866076</v>
      </c>
    </row>
    <row r="349" spans="1:18" s="1" customFormat="1" ht="11.5" x14ac:dyDescent="0.25">
      <c r="A349" s="1" t="s">
        <v>380</v>
      </c>
      <c r="B349" s="1" t="s">
        <v>52</v>
      </c>
      <c r="C349" s="1" t="s">
        <v>22</v>
      </c>
      <c r="D349" s="1" t="s">
        <v>16</v>
      </c>
      <c r="E349" s="1" t="s">
        <v>17</v>
      </c>
      <c r="F349" s="1" t="s">
        <v>22</v>
      </c>
      <c r="G349" s="1">
        <v>19100</v>
      </c>
      <c r="H349" s="1">
        <v>3457</v>
      </c>
      <c r="I349" s="1">
        <v>59</v>
      </c>
      <c r="J349" s="1">
        <v>120</v>
      </c>
      <c r="K349" s="1">
        <v>1</v>
      </c>
      <c r="L349" s="1" t="s">
        <v>41</v>
      </c>
      <c r="M349" s="1">
        <f>Table1[[#This Row],[ApplicantIncome]]+Table1[[#This Row],[CoapplicantIncome]]</f>
        <v>22557</v>
      </c>
      <c r="N349" s="1" t="s">
        <v>20</v>
      </c>
      <c r="O349" s="1" t="str">
        <f>IF(Table1[[#This Row],[Total_Income]]&lt;3000,"Low",IF(Table1[[#This Row],[Total_Income]]&lt;7000,"Medium","High"))</f>
        <v>High</v>
      </c>
      <c r="P349" s="1" t="str">
        <f t="shared" si="15"/>
        <v>Approved</v>
      </c>
      <c r="Q349" s="1" t="str">
        <f t="shared" si="16"/>
        <v>Low Risk</v>
      </c>
      <c r="R349" s="2">
        <f t="shared" si="17"/>
        <v>715.83280669660587</v>
      </c>
    </row>
    <row r="350" spans="1:18" s="1" customFormat="1" ht="11.5" x14ac:dyDescent="0.25">
      <c r="A350" s="1" t="s">
        <v>381</v>
      </c>
      <c r="B350" s="1" t="s">
        <v>1238</v>
      </c>
      <c r="C350" s="1" t="s">
        <v>29</v>
      </c>
      <c r="D350" s="1" t="s">
        <v>16</v>
      </c>
      <c r="E350" s="1" t="s">
        <v>17</v>
      </c>
      <c r="F350" s="1" t="s">
        <v>22</v>
      </c>
      <c r="G350" s="1">
        <v>1795</v>
      </c>
      <c r="H350" s="1">
        <v>1867</v>
      </c>
      <c r="I350" s="1">
        <v>442</v>
      </c>
      <c r="J350" s="1">
        <v>360</v>
      </c>
      <c r="K350" s="1">
        <v>0</v>
      </c>
      <c r="L350" s="1" t="s">
        <v>41</v>
      </c>
      <c r="M350" s="1">
        <f>Table1[[#This Row],[ApplicantIncome]]+Table1[[#This Row],[CoapplicantIncome]]</f>
        <v>3662</v>
      </c>
      <c r="N350" s="1" t="s">
        <v>26</v>
      </c>
      <c r="O350" s="1" t="str">
        <f>IF(Table1[[#This Row],[Total_Income]]&lt;3000,"Low",IF(Table1[[#This Row],[Total_Income]]&lt;7000,"Medium","High"))</f>
        <v>Medium</v>
      </c>
      <c r="P350" s="1" t="str">
        <f t="shared" si="15"/>
        <v>Rejected</v>
      </c>
      <c r="Q350" s="1" t="str">
        <f t="shared" si="16"/>
        <v>High Risk</v>
      </c>
      <c r="R350" s="2">
        <f t="shared" si="17"/>
        <v>3243.2394165468427</v>
      </c>
    </row>
    <row r="351" spans="1:18" s="1" customFormat="1" ht="11.5" x14ac:dyDescent="0.25">
      <c r="A351" s="1" t="s">
        <v>382</v>
      </c>
      <c r="B351" s="1" t="s">
        <v>52</v>
      </c>
      <c r="C351" s="1" t="s">
        <v>29</v>
      </c>
      <c r="D351" s="1">
        <v>0</v>
      </c>
      <c r="E351" s="1" t="s">
        <v>17</v>
      </c>
      <c r="F351" s="1" t="s">
        <v>22</v>
      </c>
      <c r="G351" s="1">
        <v>9642</v>
      </c>
      <c r="H351" s="1">
        <v>398</v>
      </c>
      <c r="I351" s="1">
        <v>219</v>
      </c>
      <c r="J351" s="1">
        <v>360</v>
      </c>
      <c r="K351" s="1">
        <v>0</v>
      </c>
      <c r="L351" s="1" t="s">
        <v>30</v>
      </c>
      <c r="M351" s="1">
        <f>Table1[[#This Row],[ApplicantIncome]]+Table1[[#This Row],[CoapplicantIncome]]</f>
        <v>10040</v>
      </c>
      <c r="N351" s="1" t="s">
        <v>20</v>
      </c>
      <c r="O351" s="1" t="str">
        <f>IF(Table1[[#This Row],[Total_Income]]&lt;3000,"Low",IF(Table1[[#This Row],[Total_Income]]&lt;7000,"Medium","High"))</f>
        <v>High</v>
      </c>
      <c r="P351" s="1" t="str">
        <f t="shared" si="15"/>
        <v>Approved</v>
      </c>
      <c r="Q351" s="1" t="str">
        <f t="shared" si="16"/>
        <v>High Risk</v>
      </c>
      <c r="R351" s="2">
        <f t="shared" si="17"/>
        <v>1606.9444167958338</v>
      </c>
    </row>
    <row r="352" spans="1:18" s="1" customFormat="1" ht="11.5" x14ac:dyDescent="0.25">
      <c r="A352" s="1" t="s">
        <v>383</v>
      </c>
      <c r="B352" s="1" t="s">
        <v>52</v>
      </c>
      <c r="C352" s="1" t="s">
        <v>22</v>
      </c>
      <c r="D352" s="1">
        <v>1</v>
      </c>
      <c r="E352" s="1" t="s">
        <v>25</v>
      </c>
      <c r="F352" s="1" t="s">
        <v>22</v>
      </c>
      <c r="G352" s="1">
        <v>4607</v>
      </c>
      <c r="H352" s="1">
        <v>403</v>
      </c>
      <c r="I352" s="1">
        <v>673</v>
      </c>
      <c r="J352" s="1">
        <v>120</v>
      </c>
      <c r="K352" s="1">
        <v>1</v>
      </c>
      <c r="L352" s="1" t="s">
        <v>30</v>
      </c>
      <c r="M352" s="1">
        <f>Table1[[#This Row],[ApplicantIncome]]+Table1[[#This Row],[CoapplicantIncome]]</f>
        <v>5010</v>
      </c>
      <c r="N352" s="1" t="s">
        <v>20</v>
      </c>
      <c r="O352" s="1" t="str">
        <f>IF(Table1[[#This Row],[Total_Income]]&lt;3000,"Low",IF(Table1[[#This Row],[Total_Income]]&lt;7000,"Medium","High"))</f>
        <v>Medium</v>
      </c>
      <c r="P352" s="1" t="str">
        <f t="shared" si="15"/>
        <v>Approved</v>
      </c>
      <c r="Q352" s="1" t="str">
        <f t="shared" si="16"/>
        <v>Low Risk</v>
      </c>
      <c r="R352" s="2">
        <f t="shared" si="17"/>
        <v>8165.3471001155212</v>
      </c>
    </row>
    <row r="353" spans="1:18" s="1" customFormat="1" ht="11.5" x14ac:dyDescent="0.25">
      <c r="A353" s="1" t="s">
        <v>384</v>
      </c>
      <c r="B353" s="1" t="s">
        <v>1238</v>
      </c>
      <c r="C353" s="1" t="s">
        <v>22</v>
      </c>
      <c r="D353" s="1">
        <v>0</v>
      </c>
      <c r="E353" s="1" t="s">
        <v>17</v>
      </c>
      <c r="F353" s="1" t="s">
        <v>22</v>
      </c>
      <c r="G353" s="1">
        <v>12516</v>
      </c>
      <c r="H353" s="1">
        <v>3339</v>
      </c>
      <c r="I353" s="1">
        <v>603</v>
      </c>
      <c r="J353" s="1">
        <v>120</v>
      </c>
      <c r="K353" s="1">
        <v>0</v>
      </c>
      <c r="L353" s="1" t="s">
        <v>19</v>
      </c>
      <c r="M353" s="1">
        <f>Table1[[#This Row],[ApplicantIncome]]+Table1[[#This Row],[CoapplicantIncome]]</f>
        <v>15855</v>
      </c>
      <c r="N353" s="1" t="s">
        <v>26</v>
      </c>
      <c r="O353" s="1" t="str">
        <f>IF(Table1[[#This Row],[Total_Income]]&lt;3000,"Low",IF(Table1[[#This Row],[Total_Income]]&lt;7000,"Medium","High"))</f>
        <v>High</v>
      </c>
      <c r="P353" s="1" t="str">
        <f t="shared" si="15"/>
        <v>Rejected</v>
      </c>
      <c r="Q353" s="1" t="str">
        <f t="shared" si="16"/>
        <v>High Risk</v>
      </c>
      <c r="R353" s="2">
        <f t="shared" si="17"/>
        <v>7316.0539396280228</v>
      </c>
    </row>
    <row r="354" spans="1:18" s="1" customFormat="1" ht="11.5" x14ac:dyDescent="0.25">
      <c r="A354" s="1" t="s">
        <v>385</v>
      </c>
      <c r="B354" s="1" t="s">
        <v>52</v>
      </c>
      <c r="C354" s="1" t="s">
        <v>22</v>
      </c>
      <c r="D354" s="1">
        <v>0</v>
      </c>
      <c r="E354" s="1" t="s">
        <v>17</v>
      </c>
      <c r="F354" s="1" t="s">
        <v>22</v>
      </c>
      <c r="G354" s="1">
        <v>8984</v>
      </c>
      <c r="H354" s="1">
        <v>4217</v>
      </c>
      <c r="I354" s="1">
        <v>362</v>
      </c>
      <c r="J354" s="1">
        <v>180</v>
      </c>
      <c r="K354" s="1">
        <v>0</v>
      </c>
      <c r="L354" s="1" t="s">
        <v>30</v>
      </c>
      <c r="M354" s="1">
        <f>Table1[[#This Row],[ApplicantIncome]]+Table1[[#This Row],[CoapplicantIncome]]</f>
        <v>13201</v>
      </c>
      <c r="N354" s="1" t="s">
        <v>26</v>
      </c>
      <c r="O354" s="1" t="str">
        <f>IF(Table1[[#This Row],[Total_Income]]&lt;3000,"Low",IF(Table1[[#This Row],[Total_Income]]&lt;7000,"Medium","High"))</f>
        <v>High</v>
      </c>
      <c r="P354" s="1" t="str">
        <f t="shared" si="15"/>
        <v>Rejected</v>
      </c>
      <c r="Q354" s="1" t="str">
        <f t="shared" si="16"/>
        <v>High Risk</v>
      </c>
      <c r="R354" s="2">
        <f t="shared" si="17"/>
        <v>3459.4605452758724</v>
      </c>
    </row>
    <row r="355" spans="1:18" s="1" customFormat="1" ht="11.5" x14ac:dyDescent="0.25">
      <c r="A355" s="1" t="s">
        <v>386</v>
      </c>
      <c r="B355" s="1" t="s">
        <v>52</v>
      </c>
      <c r="C355" s="1" t="s">
        <v>22</v>
      </c>
      <c r="D355" s="1">
        <v>0</v>
      </c>
      <c r="E355" s="1" t="s">
        <v>25</v>
      </c>
      <c r="F355" s="1" t="s">
        <v>22</v>
      </c>
      <c r="G355" s="1">
        <v>9354</v>
      </c>
      <c r="H355" s="1">
        <v>2273</v>
      </c>
      <c r="I355" s="1">
        <v>474</v>
      </c>
      <c r="J355" s="1">
        <v>360</v>
      </c>
      <c r="K355" s="1">
        <v>0</v>
      </c>
      <c r="L355" s="1" t="s">
        <v>30</v>
      </c>
      <c r="M355" s="1">
        <f>Table1[[#This Row],[ApplicantIncome]]+Table1[[#This Row],[CoapplicantIncome]]</f>
        <v>11627</v>
      </c>
      <c r="N355" s="1" t="s">
        <v>20</v>
      </c>
      <c r="O355" s="1" t="str">
        <f>IF(Table1[[#This Row],[Total_Income]]&lt;3000,"Low",IF(Table1[[#This Row],[Total_Income]]&lt;7000,"Medium","High"))</f>
        <v>High</v>
      </c>
      <c r="P355" s="1" t="str">
        <f t="shared" si="15"/>
        <v>Approved</v>
      </c>
      <c r="Q355" s="1" t="str">
        <f t="shared" si="16"/>
        <v>High Risk</v>
      </c>
      <c r="R355" s="2">
        <f t="shared" si="17"/>
        <v>3478.0440801882432</v>
      </c>
    </row>
    <row r="356" spans="1:18" s="1" customFormat="1" ht="11.5" x14ac:dyDescent="0.25">
      <c r="A356" s="1" t="s">
        <v>387</v>
      </c>
      <c r="B356" s="1" t="s">
        <v>52</v>
      </c>
      <c r="C356" s="1" t="s">
        <v>29</v>
      </c>
      <c r="D356" s="1">
        <v>2</v>
      </c>
      <c r="E356" s="1" t="s">
        <v>25</v>
      </c>
      <c r="F356" s="1" t="s">
        <v>29</v>
      </c>
      <c r="G356" s="1">
        <v>18353</v>
      </c>
      <c r="H356" s="1">
        <v>9385</v>
      </c>
      <c r="I356" s="1">
        <v>592</v>
      </c>
      <c r="J356" s="1">
        <v>360</v>
      </c>
      <c r="K356" s="1">
        <v>0</v>
      </c>
      <c r="L356" s="1" t="s">
        <v>19</v>
      </c>
      <c r="M356" s="1">
        <f>Table1[[#This Row],[ApplicantIncome]]+Table1[[#This Row],[CoapplicantIncome]]</f>
        <v>27738</v>
      </c>
      <c r="N356" s="1" t="s">
        <v>26</v>
      </c>
      <c r="O356" s="1" t="str">
        <f>IF(Table1[[#This Row],[Total_Income]]&lt;3000,"Low",IF(Table1[[#This Row],[Total_Income]]&lt;7000,"Medium","High"))</f>
        <v>High</v>
      </c>
      <c r="P356" s="1" t="str">
        <f t="shared" si="15"/>
        <v>Rejected</v>
      </c>
      <c r="Q356" s="1" t="str">
        <f t="shared" si="16"/>
        <v>High Risk</v>
      </c>
      <c r="R356" s="2">
        <f t="shared" si="17"/>
        <v>4343.8862773659066</v>
      </c>
    </row>
    <row r="357" spans="1:18" s="1" customFormat="1" ht="11.5" x14ac:dyDescent="0.25">
      <c r="A357" s="1" t="s">
        <v>388</v>
      </c>
      <c r="B357" s="1" t="s">
        <v>1238</v>
      </c>
      <c r="C357" s="1" t="s">
        <v>29</v>
      </c>
      <c r="D357" s="1" t="s">
        <v>16</v>
      </c>
      <c r="E357" s="1" t="s">
        <v>25</v>
      </c>
      <c r="F357" s="1" t="s">
        <v>22</v>
      </c>
      <c r="G357" s="1">
        <v>8844</v>
      </c>
      <c r="H357" s="1">
        <v>887</v>
      </c>
      <c r="I357" s="1">
        <v>650</v>
      </c>
      <c r="J357" s="1">
        <v>120</v>
      </c>
      <c r="K357" s="1">
        <v>1</v>
      </c>
      <c r="L357" s="1" t="s">
        <v>19</v>
      </c>
      <c r="M357" s="1">
        <f>Table1[[#This Row],[ApplicantIncome]]+Table1[[#This Row],[CoapplicantIncome]]</f>
        <v>9731</v>
      </c>
      <c r="N357" s="1" t="s">
        <v>20</v>
      </c>
      <c r="O357" s="1" t="str">
        <f>IF(Table1[[#This Row],[Total_Income]]&lt;3000,"Low",IF(Table1[[#This Row],[Total_Income]]&lt;7000,"Medium","High"))</f>
        <v>High</v>
      </c>
      <c r="P357" s="1" t="str">
        <f t="shared" si="15"/>
        <v>Approved</v>
      </c>
      <c r="Q357" s="1" t="str">
        <f t="shared" si="16"/>
        <v>Low Risk</v>
      </c>
      <c r="R357" s="2">
        <f t="shared" si="17"/>
        <v>7886.2936330982011</v>
      </c>
    </row>
    <row r="358" spans="1:18" s="1" customFormat="1" ht="11.5" x14ac:dyDescent="0.25">
      <c r="A358" s="1" t="s">
        <v>389</v>
      </c>
      <c r="B358" s="1" t="s">
        <v>52</v>
      </c>
      <c r="C358" s="1" t="s">
        <v>22</v>
      </c>
      <c r="D358" s="1">
        <v>1</v>
      </c>
      <c r="E358" s="1" t="s">
        <v>17</v>
      </c>
      <c r="F358" s="1" t="s">
        <v>22</v>
      </c>
      <c r="G358" s="1">
        <v>15345</v>
      </c>
      <c r="H358" s="1">
        <v>1900</v>
      </c>
      <c r="I358" s="1">
        <v>78</v>
      </c>
      <c r="J358" s="1">
        <v>360</v>
      </c>
      <c r="K358" s="1">
        <v>1</v>
      </c>
      <c r="L358" s="1" t="s">
        <v>41</v>
      </c>
      <c r="M358" s="1">
        <f>Table1[[#This Row],[ApplicantIncome]]+Table1[[#This Row],[CoapplicantIncome]]</f>
        <v>17245</v>
      </c>
      <c r="N358" s="1" t="s">
        <v>26</v>
      </c>
      <c r="O358" s="1" t="str">
        <f>IF(Table1[[#This Row],[Total_Income]]&lt;3000,"Low",IF(Table1[[#This Row],[Total_Income]]&lt;7000,"Medium","High"))</f>
        <v>High</v>
      </c>
      <c r="P358" s="1" t="str">
        <f t="shared" si="15"/>
        <v>Rejected</v>
      </c>
      <c r="Q358" s="1" t="str">
        <f t="shared" si="16"/>
        <v>Low Risk</v>
      </c>
      <c r="R358" s="2">
        <f t="shared" si="17"/>
        <v>572.33636762591345</v>
      </c>
    </row>
    <row r="359" spans="1:18" s="1" customFormat="1" ht="11.5" x14ac:dyDescent="0.25">
      <c r="A359" s="1" t="s">
        <v>390</v>
      </c>
      <c r="B359" s="1" t="s">
        <v>28</v>
      </c>
      <c r="C359" s="1" t="s">
        <v>29</v>
      </c>
      <c r="D359" s="1">
        <v>1</v>
      </c>
      <c r="E359" s="1" t="s">
        <v>25</v>
      </c>
      <c r="F359" s="1" t="s">
        <v>29</v>
      </c>
      <c r="G359" s="1">
        <v>10112</v>
      </c>
      <c r="H359" s="1">
        <v>4066</v>
      </c>
      <c r="I359" s="1">
        <v>118</v>
      </c>
      <c r="J359" s="1">
        <v>180</v>
      </c>
      <c r="K359" s="1">
        <v>0</v>
      </c>
      <c r="L359" s="1" t="s">
        <v>41</v>
      </c>
      <c r="M359" s="1">
        <f>Table1[[#This Row],[ApplicantIncome]]+Table1[[#This Row],[CoapplicantIncome]]</f>
        <v>14178</v>
      </c>
      <c r="N359" s="1" t="s">
        <v>20</v>
      </c>
      <c r="O359" s="1" t="str">
        <f>IF(Table1[[#This Row],[Total_Income]]&lt;3000,"Low",IF(Table1[[#This Row],[Total_Income]]&lt;7000,"Medium","High"))</f>
        <v>High</v>
      </c>
      <c r="P359" s="1" t="str">
        <f t="shared" si="15"/>
        <v>Approved</v>
      </c>
      <c r="Q359" s="1" t="str">
        <f t="shared" si="16"/>
        <v>High Risk</v>
      </c>
      <c r="R359" s="2">
        <f t="shared" si="17"/>
        <v>1127.6694595098147</v>
      </c>
    </row>
    <row r="360" spans="1:18" s="1" customFormat="1" ht="11.5" x14ac:dyDescent="0.25">
      <c r="A360" s="1" t="s">
        <v>391</v>
      </c>
      <c r="B360" s="1" t="s">
        <v>52</v>
      </c>
      <c r="C360" s="1" t="s">
        <v>22</v>
      </c>
      <c r="D360" s="1">
        <v>1</v>
      </c>
      <c r="E360" s="1" t="s">
        <v>17</v>
      </c>
      <c r="F360" s="1" t="s">
        <v>29</v>
      </c>
      <c r="G360" s="1">
        <v>6847</v>
      </c>
      <c r="H360" s="1">
        <v>6122</v>
      </c>
      <c r="I360" s="1">
        <v>292</v>
      </c>
      <c r="J360" s="1">
        <v>360</v>
      </c>
      <c r="K360" s="1">
        <v>1</v>
      </c>
      <c r="L360" s="1" t="s">
        <v>30</v>
      </c>
      <c r="M360" s="1">
        <f>Table1[[#This Row],[ApplicantIncome]]+Table1[[#This Row],[CoapplicantIncome]]</f>
        <v>12969</v>
      </c>
      <c r="N360" s="1" t="s">
        <v>26</v>
      </c>
      <c r="O360" s="1" t="str">
        <f>IF(Table1[[#This Row],[Total_Income]]&lt;3000,"Low",IF(Table1[[#This Row],[Total_Income]]&lt;7000,"Medium","High"))</f>
        <v>High</v>
      </c>
      <c r="P360" s="1" t="str">
        <f t="shared" si="15"/>
        <v>Rejected</v>
      </c>
      <c r="Q360" s="1" t="str">
        <f t="shared" si="16"/>
        <v>Low Risk</v>
      </c>
      <c r="R360" s="2">
        <f t="shared" si="17"/>
        <v>2142.5925557277783</v>
      </c>
    </row>
    <row r="361" spans="1:18" s="1" customFormat="1" ht="11.5" x14ac:dyDescent="0.25">
      <c r="A361" s="1" t="s">
        <v>392</v>
      </c>
      <c r="B361" s="1" t="s">
        <v>1238</v>
      </c>
      <c r="C361" s="1" t="s">
        <v>22</v>
      </c>
      <c r="D361" s="1">
        <v>0</v>
      </c>
      <c r="E361" s="1" t="s">
        <v>25</v>
      </c>
      <c r="F361" s="1" t="s">
        <v>22</v>
      </c>
      <c r="G361" s="1">
        <v>12732</v>
      </c>
      <c r="H361" s="1">
        <v>1751</v>
      </c>
      <c r="I361" s="1">
        <v>671</v>
      </c>
      <c r="J361" s="1">
        <v>120</v>
      </c>
      <c r="K361" s="1">
        <v>0</v>
      </c>
      <c r="L361" s="1" t="s">
        <v>41</v>
      </c>
      <c r="M361" s="1">
        <f>Table1[[#This Row],[ApplicantIncome]]+Table1[[#This Row],[CoapplicantIncome]]</f>
        <v>14483</v>
      </c>
      <c r="N361" s="1" t="s">
        <v>26</v>
      </c>
      <c r="O361" s="1" t="str">
        <f>IF(Table1[[#This Row],[Total_Income]]&lt;3000,"Low",IF(Table1[[#This Row],[Total_Income]]&lt;7000,"Medium","High"))</f>
        <v>High</v>
      </c>
      <c r="P361" s="1" t="str">
        <f t="shared" si="15"/>
        <v>Rejected</v>
      </c>
      <c r="Q361" s="1" t="str">
        <f t="shared" si="16"/>
        <v>High Risk</v>
      </c>
      <c r="R361" s="2">
        <f t="shared" si="17"/>
        <v>8141.0815812444489</v>
      </c>
    </row>
    <row r="362" spans="1:18" s="1" customFormat="1" ht="11.5" x14ac:dyDescent="0.25">
      <c r="A362" s="1" t="s">
        <v>393</v>
      </c>
      <c r="B362" s="1" t="s">
        <v>28</v>
      </c>
      <c r="C362" s="1" t="s">
        <v>22</v>
      </c>
      <c r="D362" s="1">
        <v>1</v>
      </c>
      <c r="E362" s="1" t="s">
        <v>25</v>
      </c>
      <c r="F362" s="1" t="s">
        <v>29</v>
      </c>
      <c r="G362" s="1">
        <v>19509</v>
      </c>
      <c r="H362" s="1">
        <v>9573</v>
      </c>
      <c r="I362" s="1">
        <v>624</v>
      </c>
      <c r="J362" s="1">
        <v>360</v>
      </c>
      <c r="K362" s="1">
        <v>0</v>
      </c>
      <c r="L362" s="1" t="s">
        <v>41</v>
      </c>
      <c r="M362" s="1">
        <f>Table1[[#This Row],[ApplicantIncome]]+Table1[[#This Row],[CoapplicantIncome]]</f>
        <v>29082</v>
      </c>
      <c r="N362" s="1" t="s">
        <v>26</v>
      </c>
      <c r="O362" s="1" t="str">
        <f>IF(Table1[[#This Row],[Total_Income]]&lt;3000,"Low",IF(Table1[[#This Row],[Total_Income]]&lt;7000,"Medium","High"))</f>
        <v>High</v>
      </c>
      <c r="P362" s="1" t="str">
        <f t="shared" si="15"/>
        <v>Rejected</v>
      </c>
      <c r="Q362" s="1" t="str">
        <f t="shared" si="16"/>
        <v>High Risk</v>
      </c>
      <c r="R362" s="2">
        <f t="shared" si="17"/>
        <v>4578.6909410073076</v>
      </c>
    </row>
    <row r="363" spans="1:18" s="1" customFormat="1" ht="11.5" x14ac:dyDescent="0.25">
      <c r="A363" s="1" t="s">
        <v>394</v>
      </c>
      <c r="B363" s="1" t="s">
        <v>1238</v>
      </c>
      <c r="C363" s="1" t="s">
        <v>22</v>
      </c>
      <c r="D363" s="1">
        <v>0</v>
      </c>
      <c r="E363" s="1" t="s">
        <v>17</v>
      </c>
      <c r="F363" s="1" t="s">
        <v>22</v>
      </c>
      <c r="G363" s="1">
        <v>17651</v>
      </c>
      <c r="H363" s="1">
        <v>781</v>
      </c>
      <c r="I363" s="1">
        <v>635</v>
      </c>
      <c r="J363" s="1">
        <v>120</v>
      </c>
      <c r="K363" s="1">
        <v>0</v>
      </c>
      <c r="L363" s="1" t="s">
        <v>41</v>
      </c>
      <c r="M363" s="1">
        <f>Table1[[#This Row],[ApplicantIncome]]+Table1[[#This Row],[CoapplicantIncome]]</f>
        <v>18432</v>
      </c>
      <c r="N363" s="1" t="s">
        <v>26</v>
      </c>
      <c r="O363" s="1" t="str">
        <f>IF(Table1[[#This Row],[Total_Income]]&lt;3000,"Low",IF(Table1[[#This Row],[Total_Income]]&lt;7000,"Medium","High"))</f>
        <v>High</v>
      </c>
      <c r="P363" s="1" t="str">
        <f t="shared" si="15"/>
        <v>Rejected</v>
      </c>
      <c r="Q363" s="1" t="str">
        <f t="shared" si="16"/>
        <v>High Risk</v>
      </c>
      <c r="R363" s="2">
        <f t="shared" si="17"/>
        <v>7704.3022415651649</v>
      </c>
    </row>
    <row r="364" spans="1:18" s="1" customFormat="1" ht="11.5" x14ac:dyDescent="0.25">
      <c r="A364" s="1" t="s">
        <v>395</v>
      </c>
      <c r="B364" s="1" t="s">
        <v>28</v>
      </c>
      <c r="C364" s="1" t="s">
        <v>22</v>
      </c>
      <c r="D364" s="1">
        <v>1</v>
      </c>
      <c r="E364" s="1" t="s">
        <v>25</v>
      </c>
      <c r="F364" s="1" t="s">
        <v>22</v>
      </c>
      <c r="G364" s="1">
        <v>16912</v>
      </c>
      <c r="H364" s="1">
        <v>8336</v>
      </c>
      <c r="I364" s="1">
        <v>549</v>
      </c>
      <c r="J364" s="1">
        <v>120</v>
      </c>
      <c r="K364" s="1">
        <v>1</v>
      </c>
      <c r="L364" s="1" t="s">
        <v>19</v>
      </c>
      <c r="M364" s="1">
        <f>Table1[[#This Row],[ApplicantIncome]]+Table1[[#This Row],[CoapplicantIncome]]</f>
        <v>25248</v>
      </c>
      <c r="N364" s="1" t="s">
        <v>20</v>
      </c>
      <c r="O364" s="1" t="str">
        <f>IF(Table1[[#This Row],[Total_Income]]&lt;3000,"Low",IF(Table1[[#This Row],[Total_Income]]&lt;7000,"Medium","High"))</f>
        <v>High</v>
      </c>
      <c r="P364" s="1" t="str">
        <f t="shared" si="15"/>
        <v>Approved</v>
      </c>
      <c r="Q364" s="1" t="str">
        <f t="shared" si="16"/>
        <v>Low Risk</v>
      </c>
      <c r="R364" s="2">
        <f t="shared" si="17"/>
        <v>6660.884930109095</v>
      </c>
    </row>
    <row r="365" spans="1:18" s="1" customFormat="1" ht="11.5" x14ac:dyDescent="0.25">
      <c r="A365" s="1" t="s">
        <v>396</v>
      </c>
      <c r="B365" s="1" t="s">
        <v>28</v>
      </c>
      <c r="C365" s="1" t="s">
        <v>22</v>
      </c>
      <c r="D365" s="1">
        <v>2</v>
      </c>
      <c r="E365" s="1" t="s">
        <v>17</v>
      </c>
      <c r="F365" s="1" t="s">
        <v>22</v>
      </c>
      <c r="G365" s="1">
        <v>8085</v>
      </c>
      <c r="H365" s="1">
        <v>1969</v>
      </c>
      <c r="I365" s="1">
        <v>422</v>
      </c>
      <c r="J365" s="1">
        <v>360</v>
      </c>
      <c r="K365" s="1">
        <v>0</v>
      </c>
      <c r="L365" s="1" t="s">
        <v>41</v>
      </c>
      <c r="M365" s="1">
        <f>Table1[[#This Row],[ApplicantIncome]]+Table1[[#This Row],[CoapplicantIncome]]</f>
        <v>10054</v>
      </c>
      <c r="N365" s="1" t="s">
        <v>26</v>
      </c>
      <c r="O365" s="1" t="str">
        <f>IF(Table1[[#This Row],[Total_Income]]&lt;3000,"Low",IF(Table1[[#This Row],[Total_Income]]&lt;7000,"Medium","High"))</f>
        <v>High</v>
      </c>
      <c r="P365" s="1" t="str">
        <f t="shared" si="15"/>
        <v>Rejected</v>
      </c>
      <c r="Q365" s="1" t="str">
        <f t="shared" si="16"/>
        <v>High Risk</v>
      </c>
      <c r="R365" s="2">
        <f t="shared" si="17"/>
        <v>3096.4865017709676</v>
      </c>
    </row>
    <row r="366" spans="1:18" s="1" customFormat="1" ht="11.5" x14ac:dyDescent="0.25">
      <c r="A366" s="1" t="s">
        <v>397</v>
      </c>
      <c r="B366" s="1" t="s">
        <v>52</v>
      </c>
      <c r="C366" s="1" t="s">
        <v>22</v>
      </c>
      <c r="D366" s="1" t="s">
        <v>16</v>
      </c>
      <c r="E366" s="1" t="s">
        <v>17</v>
      </c>
      <c r="F366" s="1" t="s">
        <v>22</v>
      </c>
      <c r="G366" s="1">
        <v>2093</v>
      </c>
      <c r="H366" s="1">
        <v>7536</v>
      </c>
      <c r="I366" s="1">
        <v>286</v>
      </c>
      <c r="J366" s="1">
        <v>180</v>
      </c>
      <c r="K366" s="1">
        <v>0</v>
      </c>
      <c r="L366" s="1" t="s">
        <v>30</v>
      </c>
      <c r="M366" s="1">
        <f>Table1[[#This Row],[ApplicantIncome]]+Table1[[#This Row],[CoapplicantIncome]]</f>
        <v>9629</v>
      </c>
      <c r="N366" s="1" t="s">
        <v>26</v>
      </c>
      <c r="O366" s="1" t="str">
        <f>IF(Table1[[#This Row],[Total_Income]]&lt;3000,"Low",IF(Table1[[#This Row],[Total_Income]]&lt;7000,"Medium","High"))</f>
        <v>High</v>
      </c>
      <c r="P366" s="1" t="str">
        <f t="shared" si="15"/>
        <v>Rejected</v>
      </c>
      <c r="Q366" s="1" t="str">
        <f t="shared" si="16"/>
        <v>High Risk</v>
      </c>
      <c r="R366" s="2">
        <f t="shared" si="17"/>
        <v>2733.1649611848052</v>
      </c>
    </row>
    <row r="367" spans="1:18" s="1" customFormat="1" ht="11.5" x14ac:dyDescent="0.25">
      <c r="A367" s="1" t="s">
        <v>398</v>
      </c>
      <c r="B367" s="1" t="s">
        <v>52</v>
      </c>
      <c r="C367" s="1" t="s">
        <v>22</v>
      </c>
      <c r="D367" s="1">
        <v>2</v>
      </c>
      <c r="E367" s="1" t="s">
        <v>17</v>
      </c>
      <c r="F367" s="1" t="s">
        <v>22</v>
      </c>
      <c r="G367" s="1">
        <v>9924</v>
      </c>
      <c r="H367" s="1">
        <v>7700</v>
      </c>
      <c r="I367" s="1">
        <v>632</v>
      </c>
      <c r="J367" s="1">
        <v>360</v>
      </c>
      <c r="K367" s="1">
        <v>1</v>
      </c>
      <c r="L367" s="1" t="s">
        <v>19</v>
      </c>
      <c r="M367" s="1">
        <f>Table1[[#This Row],[ApplicantIncome]]+Table1[[#This Row],[CoapplicantIncome]]</f>
        <v>17624</v>
      </c>
      <c r="N367" s="1" t="s">
        <v>20</v>
      </c>
      <c r="O367" s="1" t="str">
        <f>IF(Table1[[#This Row],[Total_Income]]&lt;3000,"Low",IF(Table1[[#This Row],[Total_Income]]&lt;7000,"Medium","High"))</f>
        <v>High</v>
      </c>
      <c r="P367" s="1" t="str">
        <f t="shared" si="15"/>
        <v>Approved</v>
      </c>
      <c r="Q367" s="1" t="str">
        <f t="shared" si="16"/>
        <v>Low Risk</v>
      </c>
      <c r="R367" s="2">
        <f t="shared" si="17"/>
        <v>4637.3921069176577</v>
      </c>
    </row>
    <row r="368" spans="1:18" s="1" customFormat="1" ht="11.5" x14ac:dyDescent="0.25">
      <c r="A368" s="1" t="s">
        <v>399</v>
      </c>
      <c r="B368" s="1" t="s">
        <v>1238</v>
      </c>
      <c r="C368" s="1" t="s">
        <v>22</v>
      </c>
      <c r="D368" s="1">
        <v>1</v>
      </c>
      <c r="E368" s="1" t="s">
        <v>17</v>
      </c>
      <c r="F368" s="1" t="s">
        <v>22</v>
      </c>
      <c r="G368" s="1">
        <v>15736</v>
      </c>
      <c r="H368" s="1">
        <v>121</v>
      </c>
      <c r="I368" s="1">
        <v>442</v>
      </c>
      <c r="J368" s="1">
        <v>360</v>
      </c>
      <c r="K368" s="1">
        <v>1</v>
      </c>
      <c r="L368" s="1" t="s">
        <v>30</v>
      </c>
      <c r="M368" s="1">
        <f>Table1[[#This Row],[ApplicantIncome]]+Table1[[#This Row],[CoapplicantIncome]]</f>
        <v>15857</v>
      </c>
      <c r="N368" s="1" t="s">
        <v>26</v>
      </c>
      <c r="O368" s="1" t="str">
        <f>IF(Table1[[#This Row],[Total_Income]]&lt;3000,"Low",IF(Table1[[#This Row],[Total_Income]]&lt;7000,"Medium","High"))</f>
        <v>High</v>
      </c>
      <c r="P368" s="1" t="str">
        <f t="shared" si="15"/>
        <v>Rejected</v>
      </c>
      <c r="Q368" s="1" t="str">
        <f t="shared" si="16"/>
        <v>Low Risk</v>
      </c>
      <c r="R368" s="2">
        <f t="shared" si="17"/>
        <v>3243.2394165468427</v>
      </c>
    </row>
    <row r="369" spans="1:18" s="1" customFormat="1" ht="11.5" x14ac:dyDescent="0.25">
      <c r="A369" s="1" t="s">
        <v>400</v>
      </c>
      <c r="B369" s="1" t="s">
        <v>28</v>
      </c>
      <c r="C369" s="1" t="s">
        <v>29</v>
      </c>
      <c r="D369" s="1">
        <v>2</v>
      </c>
      <c r="E369" s="1" t="s">
        <v>17</v>
      </c>
      <c r="F369" s="1" t="s">
        <v>29</v>
      </c>
      <c r="G369" s="1">
        <v>11488</v>
      </c>
      <c r="H369" s="1">
        <v>1091</v>
      </c>
      <c r="I369" s="1">
        <v>623</v>
      </c>
      <c r="J369" s="1">
        <v>180</v>
      </c>
      <c r="K369" s="1">
        <v>0</v>
      </c>
      <c r="L369" s="1" t="s">
        <v>30</v>
      </c>
      <c r="M369" s="1">
        <f>Table1[[#This Row],[ApplicantIncome]]+Table1[[#This Row],[CoapplicantIncome]]</f>
        <v>12579</v>
      </c>
      <c r="N369" s="1" t="s">
        <v>26</v>
      </c>
      <c r="O369" s="1" t="str">
        <f>IF(Table1[[#This Row],[Total_Income]]&lt;3000,"Low",IF(Table1[[#This Row],[Total_Income]]&lt;7000,"Medium","High"))</f>
        <v>High</v>
      </c>
      <c r="P369" s="1" t="str">
        <f t="shared" si="15"/>
        <v>Rejected</v>
      </c>
      <c r="Q369" s="1" t="str">
        <f t="shared" si="16"/>
        <v>High Risk</v>
      </c>
      <c r="R369" s="2">
        <f t="shared" si="17"/>
        <v>5953.7124853780897</v>
      </c>
    </row>
    <row r="370" spans="1:18" s="1" customFormat="1" ht="11.5" x14ac:dyDescent="0.25">
      <c r="A370" s="1" t="s">
        <v>401</v>
      </c>
      <c r="B370" s="1" t="s">
        <v>52</v>
      </c>
      <c r="C370" s="1" t="s">
        <v>22</v>
      </c>
      <c r="D370" s="1" t="s">
        <v>16</v>
      </c>
      <c r="E370" s="1" t="s">
        <v>17</v>
      </c>
      <c r="F370" s="1" t="s">
        <v>22</v>
      </c>
      <c r="G370" s="1">
        <v>6294</v>
      </c>
      <c r="H370" s="1">
        <v>2668</v>
      </c>
      <c r="I370" s="1">
        <v>628</v>
      </c>
      <c r="J370" s="1">
        <v>120</v>
      </c>
      <c r="K370" s="1">
        <v>0</v>
      </c>
      <c r="L370" s="1" t="s">
        <v>30</v>
      </c>
      <c r="M370" s="1">
        <f>Table1[[#This Row],[ApplicantIncome]]+Table1[[#This Row],[CoapplicantIncome]]</f>
        <v>8962</v>
      </c>
      <c r="N370" s="1" t="s">
        <v>26</v>
      </c>
      <c r="O370" s="1" t="str">
        <f>IF(Table1[[#This Row],[Total_Income]]&lt;3000,"Low",IF(Table1[[#This Row],[Total_Income]]&lt;7000,"Medium","High"))</f>
        <v>High</v>
      </c>
      <c r="P370" s="1" t="str">
        <f t="shared" si="15"/>
        <v>Rejected</v>
      </c>
      <c r="Q370" s="1" t="str">
        <f t="shared" si="16"/>
        <v>High Risk</v>
      </c>
      <c r="R370" s="2">
        <f t="shared" si="17"/>
        <v>7619.3729255164153</v>
      </c>
    </row>
    <row r="371" spans="1:18" s="1" customFormat="1" ht="11.5" x14ac:dyDescent="0.25">
      <c r="A371" s="1" t="s">
        <v>402</v>
      </c>
      <c r="B371" s="1" t="s">
        <v>52</v>
      </c>
      <c r="C371" s="1" t="s">
        <v>29</v>
      </c>
      <c r="D371" s="1">
        <v>2</v>
      </c>
      <c r="E371" s="1" t="s">
        <v>25</v>
      </c>
      <c r="F371" s="1" t="s">
        <v>22</v>
      </c>
      <c r="G371" s="1">
        <v>2339</v>
      </c>
      <c r="H371" s="1">
        <v>6686</v>
      </c>
      <c r="I371" s="1">
        <v>473</v>
      </c>
      <c r="J371" s="1">
        <v>120</v>
      </c>
      <c r="K371" s="1">
        <v>0</v>
      </c>
      <c r="L371" s="1" t="s">
        <v>30</v>
      </c>
      <c r="M371" s="1">
        <f>Table1[[#This Row],[ApplicantIncome]]+Table1[[#This Row],[CoapplicantIncome]]</f>
        <v>9025</v>
      </c>
      <c r="N371" s="1" t="s">
        <v>26</v>
      </c>
      <c r="O371" s="1" t="str">
        <f>IF(Table1[[#This Row],[Total_Income]]&lt;3000,"Low",IF(Table1[[#This Row],[Total_Income]]&lt;7000,"Medium","High"))</f>
        <v>High</v>
      </c>
      <c r="P371" s="1" t="str">
        <f t="shared" si="15"/>
        <v>Rejected</v>
      </c>
      <c r="Q371" s="1" t="str">
        <f t="shared" si="16"/>
        <v>High Risk</v>
      </c>
      <c r="R371" s="2">
        <f t="shared" si="17"/>
        <v>5738.7952130083831</v>
      </c>
    </row>
    <row r="372" spans="1:18" s="1" customFormat="1" ht="11.5" x14ac:dyDescent="0.25">
      <c r="A372" s="1" t="s">
        <v>403</v>
      </c>
      <c r="B372" s="1" t="s">
        <v>1238</v>
      </c>
      <c r="C372" s="1" t="s">
        <v>22</v>
      </c>
      <c r="D372" s="1" t="s">
        <v>16</v>
      </c>
      <c r="E372" s="1" t="s">
        <v>17</v>
      </c>
      <c r="F372" s="1" t="s">
        <v>29</v>
      </c>
      <c r="G372" s="1">
        <v>19956</v>
      </c>
      <c r="H372" s="1">
        <v>7830</v>
      </c>
      <c r="I372" s="1">
        <v>603</v>
      </c>
      <c r="J372" s="1">
        <v>360</v>
      </c>
      <c r="K372" s="1">
        <v>1</v>
      </c>
      <c r="L372" s="1" t="s">
        <v>30</v>
      </c>
      <c r="M372" s="1">
        <f>Table1[[#This Row],[ApplicantIncome]]+Table1[[#This Row],[CoapplicantIncome]]</f>
        <v>27786</v>
      </c>
      <c r="N372" s="1" t="s">
        <v>26</v>
      </c>
      <c r="O372" s="1" t="str">
        <f>IF(Table1[[#This Row],[Total_Income]]&lt;3000,"Low",IF(Table1[[#This Row],[Total_Income]]&lt;7000,"Medium","High"))</f>
        <v>High</v>
      </c>
      <c r="P372" s="1" t="str">
        <f t="shared" si="15"/>
        <v>Rejected</v>
      </c>
      <c r="Q372" s="1" t="str">
        <f t="shared" si="16"/>
        <v>Low Risk</v>
      </c>
      <c r="R372" s="2">
        <f t="shared" si="17"/>
        <v>4424.6003804926386</v>
      </c>
    </row>
    <row r="373" spans="1:18" s="1" customFormat="1" ht="11.5" x14ac:dyDescent="0.25">
      <c r="A373" s="1" t="s">
        <v>404</v>
      </c>
      <c r="B373" s="1" t="s">
        <v>52</v>
      </c>
      <c r="C373" s="1" t="s">
        <v>22</v>
      </c>
      <c r="D373" s="1">
        <v>0</v>
      </c>
      <c r="E373" s="1" t="s">
        <v>25</v>
      </c>
      <c r="F373" s="1" t="s">
        <v>29</v>
      </c>
      <c r="G373" s="1">
        <v>5605</v>
      </c>
      <c r="H373" s="1">
        <v>3613</v>
      </c>
      <c r="I373" s="1">
        <v>675</v>
      </c>
      <c r="J373" s="1">
        <v>360</v>
      </c>
      <c r="K373" s="1">
        <v>0</v>
      </c>
      <c r="L373" s="1" t="s">
        <v>19</v>
      </c>
      <c r="M373" s="1">
        <f>Table1[[#This Row],[ApplicantIncome]]+Table1[[#This Row],[CoapplicantIncome]]</f>
        <v>9218</v>
      </c>
      <c r="N373" s="1" t="s">
        <v>20</v>
      </c>
      <c r="O373" s="1" t="str">
        <f>IF(Table1[[#This Row],[Total_Income]]&lt;3000,"Low",IF(Table1[[#This Row],[Total_Income]]&lt;7000,"Medium","High"))</f>
        <v>High</v>
      </c>
      <c r="P373" s="1" t="str">
        <f t="shared" si="15"/>
        <v>Approved</v>
      </c>
      <c r="Q373" s="1" t="str">
        <f t="shared" si="16"/>
        <v>High Risk</v>
      </c>
      <c r="R373" s="2">
        <f t="shared" si="17"/>
        <v>4952.9108736857888</v>
      </c>
    </row>
    <row r="374" spans="1:18" s="1" customFormat="1" ht="11.5" x14ac:dyDescent="0.25">
      <c r="A374" s="1" t="s">
        <v>405</v>
      </c>
      <c r="B374" s="1" t="s">
        <v>52</v>
      </c>
      <c r="C374" s="1" t="s">
        <v>22</v>
      </c>
      <c r="D374" s="1">
        <v>0</v>
      </c>
      <c r="E374" s="1" t="s">
        <v>17</v>
      </c>
      <c r="F374" s="1" t="s">
        <v>29</v>
      </c>
      <c r="G374" s="1">
        <v>18435</v>
      </c>
      <c r="H374" s="1">
        <v>7247</v>
      </c>
      <c r="I374" s="1">
        <v>557</v>
      </c>
      <c r="J374" s="1">
        <v>120</v>
      </c>
      <c r="K374" s="1">
        <v>0</v>
      </c>
      <c r="L374" s="1" t="s">
        <v>19</v>
      </c>
      <c r="M374" s="1">
        <f>Table1[[#This Row],[ApplicantIncome]]+Table1[[#This Row],[CoapplicantIncome]]</f>
        <v>25682</v>
      </c>
      <c r="N374" s="1" t="s">
        <v>20</v>
      </c>
      <c r="O374" s="1" t="str">
        <f>IF(Table1[[#This Row],[Total_Income]]&lt;3000,"Low",IF(Table1[[#This Row],[Total_Income]]&lt;7000,"Medium","High"))</f>
        <v>High</v>
      </c>
      <c r="P374" s="1" t="str">
        <f t="shared" si="15"/>
        <v>Approved</v>
      </c>
      <c r="Q374" s="1" t="str">
        <f t="shared" si="16"/>
        <v>High Risk</v>
      </c>
      <c r="R374" s="2">
        <f t="shared" si="17"/>
        <v>6757.9470055933807</v>
      </c>
    </row>
    <row r="375" spans="1:18" s="1" customFormat="1" ht="11.5" x14ac:dyDescent="0.25">
      <c r="A375" s="1" t="s">
        <v>406</v>
      </c>
      <c r="B375" s="1" t="s">
        <v>1238</v>
      </c>
      <c r="C375" s="1" t="s">
        <v>29</v>
      </c>
      <c r="D375" s="1">
        <v>0</v>
      </c>
      <c r="E375" s="1" t="s">
        <v>25</v>
      </c>
      <c r="F375" s="1" t="s">
        <v>22</v>
      </c>
      <c r="G375" s="1">
        <v>5234</v>
      </c>
      <c r="H375" s="1">
        <v>9377</v>
      </c>
      <c r="I375" s="1">
        <v>307</v>
      </c>
      <c r="J375" s="1">
        <v>360</v>
      </c>
      <c r="K375" s="1">
        <v>0</v>
      </c>
      <c r="L375" s="1" t="s">
        <v>19</v>
      </c>
      <c r="M375" s="1">
        <f>Table1[[#This Row],[ApplicantIncome]]+Table1[[#This Row],[CoapplicantIncome]]</f>
        <v>14611</v>
      </c>
      <c r="N375" s="1" t="s">
        <v>20</v>
      </c>
      <c r="O375" s="1" t="str">
        <f>IF(Table1[[#This Row],[Total_Income]]&lt;3000,"Low",IF(Table1[[#This Row],[Total_Income]]&lt;7000,"Medium","High"))</f>
        <v>High</v>
      </c>
      <c r="P375" s="1" t="str">
        <f t="shared" si="15"/>
        <v>Approved</v>
      </c>
      <c r="Q375" s="1" t="str">
        <f t="shared" si="16"/>
        <v>High Risk</v>
      </c>
      <c r="R375" s="2">
        <f t="shared" si="17"/>
        <v>2252.6572418096848</v>
      </c>
    </row>
    <row r="376" spans="1:18" s="1" customFormat="1" ht="11.5" x14ac:dyDescent="0.25">
      <c r="A376" s="1" t="s">
        <v>407</v>
      </c>
      <c r="B376" s="1" t="s">
        <v>52</v>
      </c>
      <c r="C376" s="1" t="s">
        <v>22</v>
      </c>
      <c r="D376" s="1">
        <v>1</v>
      </c>
      <c r="E376" s="1" t="s">
        <v>17</v>
      </c>
      <c r="F376" s="1" t="s">
        <v>29</v>
      </c>
      <c r="G376" s="1">
        <v>17587</v>
      </c>
      <c r="H376" s="1">
        <v>1074</v>
      </c>
      <c r="I376" s="1">
        <v>367</v>
      </c>
      <c r="J376" s="1">
        <v>360</v>
      </c>
      <c r="K376" s="1">
        <v>0</v>
      </c>
      <c r="L376" s="1" t="s">
        <v>41</v>
      </c>
      <c r="M376" s="1">
        <f>Table1[[#This Row],[ApplicantIncome]]+Table1[[#This Row],[CoapplicantIncome]]</f>
        <v>18661</v>
      </c>
      <c r="N376" s="1" t="s">
        <v>20</v>
      </c>
      <c r="O376" s="1" t="str">
        <f>IF(Table1[[#This Row],[Total_Income]]&lt;3000,"Low",IF(Table1[[#This Row],[Total_Income]]&lt;7000,"Medium","High"))</f>
        <v>High</v>
      </c>
      <c r="P376" s="1" t="str">
        <f t="shared" si="15"/>
        <v>Approved</v>
      </c>
      <c r="Q376" s="1" t="str">
        <f t="shared" si="16"/>
        <v>High Risk</v>
      </c>
      <c r="R376" s="2">
        <f t="shared" si="17"/>
        <v>2692.9159861373109</v>
      </c>
    </row>
    <row r="377" spans="1:18" s="1" customFormat="1" ht="11.5" x14ac:dyDescent="0.25">
      <c r="A377" s="1" t="s">
        <v>408</v>
      </c>
      <c r="B377" s="1" t="s">
        <v>1238</v>
      </c>
      <c r="C377" s="1" t="s">
        <v>22</v>
      </c>
      <c r="D377" s="1">
        <v>0</v>
      </c>
      <c r="E377" s="1" t="s">
        <v>17</v>
      </c>
      <c r="F377" s="1" t="s">
        <v>22</v>
      </c>
      <c r="G377" s="1">
        <v>4295</v>
      </c>
      <c r="H377" s="1">
        <v>4295</v>
      </c>
      <c r="I377" s="1">
        <v>614</v>
      </c>
      <c r="J377" s="1">
        <v>360</v>
      </c>
      <c r="K377" s="1">
        <v>0</v>
      </c>
      <c r="L377" s="1" t="s">
        <v>19</v>
      </c>
      <c r="M377" s="1">
        <f>Table1[[#This Row],[ApplicantIncome]]+Table1[[#This Row],[CoapplicantIncome]]</f>
        <v>8590</v>
      </c>
      <c r="N377" s="1" t="s">
        <v>26</v>
      </c>
      <c r="O377" s="1" t="str">
        <f>IF(Table1[[#This Row],[Total_Income]]&lt;3000,"Low",IF(Table1[[#This Row],[Total_Income]]&lt;7000,"Medium","High"))</f>
        <v>High</v>
      </c>
      <c r="P377" s="1" t="str">
        <f t="shared" si="15"/>
        <v>Rejected</v>
      </c>
      <c r="Q377" s="1" t="str">
        <f t="shared" si="16"/>
        <v>High Risk</v>
      </c>
      <c r="R377" s="2">
        <f t="shared" si="17"/>
        <v>4505.3144836193696</v>
      </c>
    </row>
    <row r="378" spans="1:18" s="1" customFormat="1" ht="11.5" x14ac:dyDescent="0.25">
      <c r="A378" s="1" t="s">
        <v>409</v>
      </c>
      <c r="B378" s="1" t="s">
        <v>52</v>
      </c>
      <c r="C378" s="1" t="s">
        <v>29</v>
      </c>
      <c r="D378" s="1" t="s">
        <v>16</v>
      </c>
      <c r="E378" s="1" t="s">
        <v>17</v>
      </c>
      <c r="F378" s="1" t="s">
        <v>22</v>
      </c>
      <c r="G378" s="1">
        <v>2921</v>
      </c>
      <c r="H378" s="1">
        <v>9254</v>
      </c>
      <c r="I378" s="1">
        <v>570</v>
      </c>
      <c r="J378" s="1">
        <v>120</v>
      </c>
      <c r="K378" s="1">
        <v>0</v>
      </c>
      <c r="L378" s="1" t="s">
        <v>19</v>
      </c>
      <c r="M378" s="1">
        <f>Table1[[#This Row],[ApplicantIncome]]+Table1[[#This Row],[CoapplicantIncome]]</f>
        <v>12175</v>
      </c>
      <c r="N378" s="1" t="s">
        <v>20</v>
      </c>
      <c r="O378" s="1" t="str">
        <f>IF(Table1[[#This Row],[Total_Income]]&lt;3000,"Low",IF(Table1[[#This Row],[Total_Income]]&lt;7000,"Medium","High"))</f>
        <v>High</v>
      </c>
      <c r="P378" s="1" t="str">
        <f t="shared" si="15"/>
        <v>Approved</v>
      </c>
      <c r="Q378" s="1" t="str">
        <f t="shared" si="16"/>
        <v>High Risk</v>
      </c>
      <c r="R378" s="2">
        <f t="shared" si="17"/>
        <v>6915.6728782553446</v>
      </c>
    </row>
    <row r="379" spans="1:18" s="1" customFormat="1" ht="11.5" x14ac:dyDescent="0.25">
      <c r="A379" s="1" t="s">
        <v>410</v>
      </c>
      <c r="B379" s="1" t="s">
        <v>28</v>
      </c>
      <c r="C379" s="1" t="s">
        <v>29</v>
      </c>
      <c r="D379" s="1">
        <v>1</v>
      </c>
      <c r="E379" s="1" t="s">
        <v>17</v>
      </c>
      <c r="F379" s="1" t="s">
        <v>29</v>
      </c>
      <c r="G379" s="1">
        <v>13546</v>
      </c>
      <c r="H379" s="1">
        <v>535</v>
      </c>
      <c r="I379" s="1">
        <v>304</v>
      </c>
      <c r="J379" s="1">
        <v>360</v>
      </c>
      <c r="K379" s="1">
        <v>0</v>
      </c>
      <c r="L379" s="1" t="s">
        <v>41</v>
      </c>
      <c r="M379" s="1">
        <f>Table1[[#This Row],[ApplicantIncome]]+Table1[[#This Row],[CoapplicantIncome]]</f>
        <v>14081</v>
      </c>
      <c r="N379" s="1" t="s">
        <v>26</v>
      </c>
      <c r="O379" s="1" t="str">
        <f>IF(Table1[[#This Row],[Total_Income]]&lt;3000,"Low",IF(Table1[[#This Row],[Total_Income]]&lt;7000,"Medium","High"))</f>
        <v>High</v>
      </c>
      <c r="P379" s="1" t="str">
        <f t="shared" si="15"/>
        <v>Rejected</v>
      </c>
      <c r="Q379" s="1" t="str">
        <f t="shared" si="16"/>
        <v>High Risk</v>
      </c>
      <c r="R379" s="2">
        <f t="shared" si="17"/>
        <v>2230.6443045933038</v>
      </c>
    </row>
    <row r="380" spans="1:18" s="1" customFormat="1" ht="11.5" x14ac:dyDescent="0.25">
      <c r="A380" s="1" t="s">
        <v>411</v>
      </c>
      <c r="B380" s="1" t="s">
        <v>28</v>
      </c>
      <c r="C380" s="1" t="s">
        <v>22</v>
      </c>
      <c r="D380" s="1" t="s">
        <v>16</v>
      </c>
      <c r="E380" s="1" t="s">
        <v>25</v>
      </c>
      <c r="F380" s="1" t="s">
        <v>22</v>
      </c>
      <c r="G380" s="1">
        <v>17366</v>
      </c>
      <c r="H380" s="1">
        <v>4374</v>
      </c>
      <c r="I380" s="1">
        <v>205</v>
      </c>
      <c r="J380" s="1">
        <v>180</v>
      </c>
      <c r="K380" s="1">
        <v>1</v>
      </c>
      <c r="L380" s="1" t="s">
        <v>19</v>
      </c>
      <c r="M380" s="1">
        <f>Table1[[#This Row],[ApplicantIncome]]+Table1[[#This Row],[CoapplicantIncome]]</f>
        <v>21740</v>
      </c>
      <c r="N380" s="1" t="s">
        <v>20</v>
      </c>
      <c r="O380" s="1" t="str">
        <f>IF(Table1[[#This Row],[Total_Income]]&lt;3000,"Low",IF(Table1[[#This Row],[Total_Income]]&lt;7000,"Medium","High"))</f>
        <v>High</v>
      </c>
      <c r="P380" s="1" t="str">
        <f t="shared" si="15"/>
        <v>Approved</v>
      </c>
      <c r="Q380" s="1" t="str">
        <f t="shared" si="16"/>
        <v>Low Risk</v>
      </c>
      <c r="R380" s="2">
        <f t="shared" si="17"/>
        <v>1959.0867728772205</v>
      </c>
    </row>
    <row r="381" spans="1:18" s="1" customFormat="1" ht="11.5" x14ac:dyDescent="0.25">
      <c r="A381" s="1" t="s">
        <v>412</v>
      </c>
      <c r="B381" s="1" t="s">
        <v>1238</v>
      </c>
      <c r="C381" s="1" t="s">
        <v>29</v>
      </c>
      <c r="D381" s="1">
        <v>0</v>
      </c>
      <c r="E381" s="1" t="s">
        <v>17</v>
      </c>
      <c r="F381" s="1" t="s">
        <v>22</v>
      </c>
      <c r="G381" s="1">
        <v>2064</v>
      </c>
      <c r="H381" s="1">
        <v>3697</v>
      </c>
      <c r="I381" s="1">
        <v>148</v>
      </c>
      <c r="J381" s="1">
        <v>360</v>
      </c>
      <c r="K381" s="1">
        <v>0</v>
      </c>
      <c r="L381" s="1" t="s">
        <v>19</v>
      </c>
      <c r="M381" s="1">
        <f>Table1[[#This Row],[ApplicantIncome]]+Table1[[#This Row],[CoapplicantIncome]]</f>
        <v>5761</v>
      </c>
      <c r="N381" s="1" t="s">
        <v>26</v>
      </c>
      <c r="O381" s="1" t="str">
        <f>IF(Table1[[#This Row],[Total_Income]]&lt;3000,"Low",IF(Table1[[#This Row],[Total_Income]]&lt;7000,"Medium","High"))</f>
        <v>Medium</v>
      </c>
      <c r="P381" s="1" t="str">
        <f t="shared" si="15"/>
        <v>Rejected</v>
      </c>
      <c r="Q381" s="1" t="str">
        <f t="shared" si="16"/>
        <v>High Risk</v>
      </c>
      <c r="R381" s="2">
        <f t="shared" si="17"/>
        <v>1085.9715693414767</v>
      </c>
    </row>
    <row r="382" spans="1:18" s="1" customFormat="1" ht="11.5" x14ac:dyDescent="0.25">
      <c r="A382" s="1" t="s">
        <v>413</v>
      </c>
      <c r="B382" s="1" t="s">
        <v>52</v>
      </c>
      <c r="C382" s="1" t="s">
        <v>22</v>
      </c>
      <c r="D382" s="1">
        <v>2</v>
      </c>
      <c r="E382" s="1" t="s">
        <v>17</v>
      </c>
      <c r="F382" s="1" t="s">
        <v>29</v>
      </c>
      <c r="G382" s="1">
        <v>15786</v>
      </c>
      <c r="H382" s="1">
        <v>9963</v>
      </c>
      <c r="I382" s="1">
        <v>698</v>
      </c>
      <c r="J382" s="1">
        <v>120</v>
      </c>
      <c r="K382" s="1">
        <v>1</v>
      </c>
      <c r="L382" s="1" t="s">
        <v>19</v>
      </c>
      <c r="M382" s="1">
        <f>Table1[[#This Row],[ApplicantIncome]]+Table1[[#This Row],[CoapplicantIncome]]</f>
        <v>25749</v>
      </c>
      <c r="N382" s="1" t="s">
        <v>20</v>
      </c>
      <c r="O382" s="1" t="str">
        <f>IF(Table1[[#This Row],[Total_Income]]&lt;3000,"Low",IF(Table1[[#This Row],[Total_Income]]&lt;7000,"Medium","High"))</f>
        <v>High</v>
      </c>
      <c r="P382" s="1" t="str">
        <f t="shared" si="15"/>
        <v>Approved</v>
      </c>
      <c r="Q382" s="1" t="str">
        <f t="shared" si="16"/>
        <v>Low Risk</v>
      </c>
      <c r="R382" s="2">
        <f t="shared" si="17"/>
        <v>8468.6660860039137</v>
      </c>
    </row>
    <row r="383" spans="1:18" s="1" customFormat="1" ht="11.5" x14ac:dyDescent="0.25">
      <c r="A383" s="1" t="s">
        <v>414</v>
      </c>
      <c r="B383" s="1" t="s">
        <v>28</v>
      </c>
      <c r="C383" s="1" t="s">
        <v>29</v>
      </c>
      <c r="D383" s="1" t="s">
        <v>16</v>
      </c>
      <c r="E383" s="1" t="s">
        <v>17</v>
      </c>
      <c r="F383" s="1" t="s">
        <v>22</v>
      </c>
      <c r="G383" s="1">
        <v>3481</v>
      </c>
      <c r="H383" s="1">
        <v>2283</v>
      </c>
      <c r="I383" s="1">
        <v>169</v>
      </c>
      <c r="J383" s="1">
        <v>180</v>
      </c>
      <c r="K383" s="1">
        <v>0</v>
      </c>
      <c r="L383" s="1" t="s">
        <v>41</v>
      </c>
      <c r="M383" s="1">
        <f>Table1[[#This Row],[ApplicantIncome]]+Table1[[#This Row],[CoapplicantIncome]]</f>
        <v>5764</v>
      </c>
      <c r="N383" s="1" t="s">
        <v>26</v>
      </c>
      <c r="O383" s="1" t="str">
        <f>IF(Table1[[#This Row],[Total_Income]]&lt;3000,"Low",IF(Table1[[#This Row],[Total_Income]]&lt;7000,"Medium","High"))</f>
        <v>Medium</v>
      </c>
      <c r="P383" s="1" t="str">
        <f t="shared" si="15"/>
        <v>Rejected</v>
      </c>
      <c r="Q383" s="1" t="str">
        <f t="shared" si="16"/>
        <v>High Risk</v>
      </c>
      <c r="R383" s="2">
        <f t="shared" si="17"/>
        <v>1615.0520225182938</v>
      </c>
    </row>
    <row r="384" spans="1:18" s="1" customFormat="1" ht="11.5" x14ac:dyDescent="0.25">
      <c r="A384" s="1" t="s">
        <v>415</v>
      </c>
      <c r="B384" s="1" t="s">
        <v>28</v>
      </c>
      <c r="C384" s="1" t="s">
        <v>22</v>
      </c>
      <c r="D384" s="1">
        <v>2</v>
      </c>
      <c r="E384" s="1" t="s">
        <v>25</v>
      </c>
      <c r="F384" s="1" t="s">
        <v>22</v>
      </c>
      <c r="G384" s="1">
        <v>5332</v>
      </c>
      <c r="H384" s="1">
        <v>485</v>
      </c>
      <c r="I384" s="1">
        <v>426</v>
      </c>
      <c r="J384" s="1">
        <v>120</v>
      </c>
      <c r="K384" s="1">
        <v>0</v>
      </c>
      <c r="L384" s="1" t="s">
        <v>19</v>
      </c>
      <c r="M384" s="1">
        <f>Table1[[#This Row],[ApplicantIncome]]+Table1[[#This Row],[CoapplicantIncome]]</f>
        <v>5817</v>
      </c>
      <c r="N384" s="1" t="s">
        <v>20</v>
      </c>
      <c r="O384" s="1" t="str">
        <f>IF(Table1[[#This Row],[Total_Income]]&lt;3000,"Low",IF(Table1[[#This Row],[Total_Income]]&lt;7000,"Medium","High"))</f>
        <v>Medium</v>
      </c>
      <c r="P384" s="1" t="str">
        <f t="shared" si="15"/>
        <v>Approved</v>
      </c>
      <c r="Q384" s="1" t="str">
        <f t="shared" si="16"/>
        <v>High Risk</v>
      </c>
      <c r="R384" s="2">
        <f t="shared" si="17"/>
        <v>5168.5555195382049</v>
      </c>
    </row>
    <row r="385" spans="1:18" s="1" customFormat="1" ht="11.5" x14ac:dyDescent="0.25">
      <c r="A385" s="1" t="s">
        <v>416</v>
      </c>
      <c r="B385" s="1" t="s">
        <v>28</v>
      </c>
      <c r="C385" s="1" t="s">
        <v>29</v>
      </c>
      <c r="D385" s="1">
        <v>1</v>
      </c>
      <c r="E385" s="1" t="s">
        <v>25</v>
      </c>
      <c r="F385" s="1" t="s">
        <v>29</v>
      </c>
      <c r="G385" s="1">
        <v>11933</v>
      </c>
      <c r="H385" s="1">
        <v>5596</v>
      </c>
      <c r="I385" s="1">
        <v>600</v>
      </c>
      <c r="J385" s="1">
        <v>120</v>
      </c>
      <c r="K385" s="1">
        <v>0</v>
      </c>
      <c r="L385" s="1" t="s">
        <v>19</v>
      </c>
      <c r="M385" s="1">
        <f>Table1[[#This Row],[ApplicantIncome]]+Table1[[#This Row],[CoapplicantIncome]]</f>
        <v>17529</v>
      </c>
      <c r="N385" s="1" t="s">
        <v>26</v>
      </c>
      <c r="O385" s="1" t="str">
        <f>IF(Table1[[#This Row],[Total_Income]]&lt;3000,"Low",IF(Table1[[#This Row],[Total_Income]]&lt;7000,"Medium","High"))</f>
        <v>High</v>
      </c>
      <c r="P385" s="1" t="str">
        <f t="shared" si="15"/>
        <v>Rejected</v>
      </c>
      <c r="Q385" s="1" t="str">
        <f t="shared" si="16"/>
        <v>High Risk</v>
      </c>
      <c r="R385" s="2">
        <f t="shared" si="17"/>
        <v>7279.6556613214152</v>
      </c>
    </row>
    <row r="386" spans="1:18" s="1" customFormat="1" ht="11.5" x14ac:dyDescent="0.25">
      <c r="A386" s="1" t="s">
        <v>417</v>
      </c>
      <c r="B386" s="1" t="s">
        <v>52</v>
      </c>
      <c r="C386" s="1" t="s">
        <v>22</v>
      </c>
      <c r="D386" s="1">
        <v>2</v>
      </c>
      <c r="E386" s="1" t="s">
        <v>17</v>
      </c>
      <c r="F386" s="1" t="s">
        <v>22</v>
      </c>
      <c r="G386" s="1">
        <v>6383</v>
      </c>
      <c r="H386" s="1">
        <v>8523</v>
      </c>
      <c r="I386" s="1">
        <v>269</v>
      </c>
      <c r="J386" s="1">
        <v>180</v>
      </c>
      <c r="K386" s="1">
        <v>0</v>
      </c>
      <c r="L386" s="1" t="s">
        <v>30</v>
      </c>
      <c r="M386" s="1">
        <f>Table1[[#This Row],[ApplicantIncome]]+Table1[[#This Row],[CoapplicantIncome]]</f>
        <v>14906</v>
      </c>
      <c r="N386" s="1" t="s">
        <v>26</v>
      </c>
      <c r="O386" s="1" t="str">
        <f>IF(Table1[[#This Row],[Total_Income]]&lt;3000,"Low",IF(Table1[[#This Row],[Total_Income]]&lt;7000,"Medium","High"))</f>
        <v>High</v>
      </c>
      <c r="P386" s="1" t="str">
        <f t="shared" ref="P386:P449" si="18">IF(N386="Y","Approved","Rejected")</f>
        <v>Rejected</v>
      </c>
      <c r="Q386" s="1" t="str">
        <f t="shared" ref="Q386:Q449" si="19">IF(K386=1,"Low Risk","High Risk")</f>
        <v>High Risk</v>
      </c>
      <c r="R386" s="2">
        <f t="shared" ref="R386:R449" si="20">-PMT(8%/12,J386,I386*1000)</f>
        <v>2570.7041068486456</v>
      </c>
    </row>
    <row r="387" spans="1:18" s="1" customFormat="1" ht="11.5" x14ac:dyDescent="0.25">
      <c r="A387" s="1" t="s">
        <v>418</v>
      </c>
      <c r="B387" s="1" t="s">
        <v>52</v>
      </c>
      <c r="C387" s="1" t="s">
        <v>29</v>
      </c>
      <c r="D387" s="1">
        <v>1</v>
      </c>
      <c r="E387" s="1" t="s">
        <v>25</v>
      </c>
      <c r="F387" s="1" t="s">
        <v>22</v>
      </c>
      <c r="G387" s="1">
        <v>12687</v>
      </c>
      <c r="H387" s="1">
        <v>463</v>
      </c>
      <c r="I387" s="1">
        <v>452</v>
      </c>
      <c r="J387" s="1">
        <v>180</v>
      </c>
      <c r="K387" s="1">
        <v>0</v>
      </c>
      <c r="L387" s="1" t="s">
        <v>19</v>
      </c>
      <c r="M387" s="1">
        <f>Table1[[#This Row],[ApplicantIncome]]+Table1[[#This Row],[CoapplicantIncome]]</f>
        <v>13150</v>
      </c>
      <c r="N387" s="1" t="s">
        <v>26</v>
      </c>
      <c r="O387" s="1" t="str">
        <f>IF(Table1[[#This Row],[Total_Income]]&lt;3000,"Low",IF(Table1[[#This Row],[Total_Income]]&lt;7000,"Medium","High"))</f>
        <v>High</v>
      </c>
      <c r="P387" s="1" t="str">
        <f t="shared" si="18"/>
        <v>Rejected</v>
      </c>
      <c r="Q387" s="1" t="str">
        <f t="shared" si="19"/>
        <v>High Risk</v>
      </c>
      <c r="R387" s="2">
        <f t="shared" si="20"/>
        <v>4319.547421173188</v>
      </c>
    </row>
    <row r="388" spans="1:18" s="1" customFormat="1" ht="11.5" x14ac:dyDescent="0.25">
      <c r="A388" s="1" t="s">
        <v>419</v>
      </c>
      <c r="B388" s="1" t="s">
        <v>28</v>
      </c>
      <c r="C388" s="1" t="s">
        <v>22</v>
      </c>
      <c r="D388" s="1">
        <v>1</v>
      </c>
      <c r="E388" s="1" t="s">
        <v>17</v>
      </c>
      <c r="F388" s="1" t="s">
        <v>29</v>
      </c>
      <c r="G388" s="1">
        <v>7921</v>
      </c>
      <c r="H388" s="1">
        <v>2299</v>
      </c>
      <c r="I388" s="1">
        <v>177</v>
      </c>
      <c r="J388" s="1">
        <v>360</v>
      </c>
      <c r="K388" s="1">
        <v>0</v>
      </c>
      <c r="L388" s="1" t="s">
        <v>30</v>
      </c>
      <c r="M388" s="1">
        <f>Table1[[#This Row],[ApplicantIncome]]+Table1[[#This Row],[CoapplicantIncome]]</f>
        <v>10220</v>
      </c>
      <c r="N388" s="1" t="s">
        <v>26</v>
      </c>
      <c r="O388" s="1" t="str">
        <f>IF(Table1[[#This Row],[Total_Income]]&lt;3000,"Low",IF(Table1[[#This Row],[Total_Income]]&lt;7000,"Medium","High"))</f>
        <v>High</v>
      </c>
      <c r="P388" s="1" t="str">
        <f t="shared" si="18"/>
        <v>Rejected</v>
      </c>
      <c r="Q388" s="1" t="str">
        <f t="shared" si="19"/>
        <v>High Risk</v>
      </c>
      <c r="R388" s="2">
        <f t="shared" si="20"/>
        <v>1298.763295766496</v>
      </c>
    </row>
    <row r="389" spans="1:18" s="1" customFormat="1" ht="11.5" x14ac:dyDescent="0.25">
      <c r="A389" s="1" t="s">
        <v>420</v>
      </c>
      <c r="B389" s="1" t="s">
        <v>52</v>
      </c>
      <c r="C389" s="1" t="s">
        <v>22</v>
      </c>
      <c r="D389" s="1">
        <v>0</v>
      </c>
      <c r="E389" s="1" t="s">
        <v>17</v>
      </c>
      <c r="F389" s="1" t="s">
        <v>22</v>
      </c>
      <c r="G389" s="1">
        <v>10500</v>
      </c>
      <c r="H389" s="1">
        <v>6215</v>
      </c>
      <c r="I389" s="1">
        <v>611</v>
      </c>
      <c r="J389" s="1">
        <v>360</v>
      </c>
      <c r="K389" s="1">
        <v>0</v>
      </c>
      <c r="L389" s="1" t="s">
        <v>30</v>
      </c>
      <c r="M389" s="1">
        <f>Table1[[#This Row],[ApplicantIncome]]+Table1[[#This Row],[CoapplicantIncome]]</f>
        <v>16715</v>
      </c>
      <c r="N389" s="1" t="s">
        <v>26</v>
      </c>
      <c r="O389" s="1" t="str">
        <f>IF(Table1[[#This Row],[Total_Income]]&lt;3000,"Low",IF(Table1[[#This Row],[Total_Income]]&lt;7000,"Medium","High"))</f>
        <v>High</v>
      </c>
      <c r="P389" s="1" t="str">
        <f t="shared" si="18"/>
        <v>Rejected</v>
      </c>
      <c r="Q389" s="1" t="str">
        <f t="shared" si="19"/>
        <v>High Risk</v>
      </c>
      <c r="R389" s="2">
        <f t="shared" si="20"/>
        <v>4483.3015464029886</v>
      </c>
    </row>
    <row r="390" spans="1:18" s="1" customFormat="1" ht="11.5" x14ac:dyDescent="0.25">
      <c r="A390" s="1" t="s">
        <v>421</v>
      </c>
      <c r="B390" s="1" t="s">
        <v>28</v>
      </c>
      <c r="C390" s="1" t="s">
        <v>22</v>
      </c>
      <c r="D390" s="1">
        <v>0</v>
      </c>
      <c r="E390" s="1" t="s">
        <v>25</v>
      </c>
      <c r="F390" s="1" t="s">
        <v>29</v>
      </c>
      <c r="G390" s="1">
        <v>7274</v>
      </c>
      <c r="H390" s="1">
        <v>2053</v>
      </c>
      <c r="I390" s="1">
        <v>139</v>
      </c>
      <c r="J390" s="1">
        <v>360</v>
      </c>
      <c r="K390" s="1">
        <v>0</v>
      </c>
      <c r="L390" s="1" t="s">
        <v>30</v>
      </c>
      <c r="M390" s="1">
        <f>Table1[[#This Row],[ApplicantIncome]]+Table1[[#This Row],[CoapplicantIncome]]</f>
        <v>9327</v>
      </c>
      <c r="N390" s="1" t="s">
        <v>26</v>
      </c>
      <c r="O390" s="1" t="str">
        <f>IF(Table1[[#This Row],[Total_Income]]&lt;3000,"Low",IF(Table1[[#This Row],[Total_Income]]&lt;7000,"Medium","High"))</f>
        <v>High</v>
      </c>
      <c r="P390" s="1" t="str">
        <f t="shared" si="18"/>
        <v>Rejected</v>
      </c>
      <c r="Q390" s="1" t="str">
        <f t="shared" si="19"/>
        <v>High Risk</v>
      </c>
      <c r="R390" s="2">
        <f t="shared" si="20"/>
        <v>1019.9327576923329</v>
      </c>
    </row>
    <row r="391" spans="1:18" s="1" customFormat="1" ht="11.5" x14ac:dyDescent="0.25">
      <c r="A391" s="1" t="s">
        <v>422</v>
      </c>
      <c r="B391" s="1" t="s">
        <v>28</v>
      </c>
      <c r="C391" s="1" t="s">
        <v>22</v>
      </c>
      <c r="D391" s="1">
        <v>1</v>
      </c>
      <c r="E391" s="1" t="s">
        <v>25</v>
      </c>
      <c r="F391" s="1" t="s">
        <v>22</v>
      </c>
      <c r="G391" s="1">
        <v>11089</v>
      </c>
      <c r="H391" s="1">
        <v>1212</v>
      </c>
      <c r="I391" s="1">
        <v>408</v>
      </c>
      <c r="J391" s="1">
        <v>120</v>
      </c>
      <c r="K391" s="1">
        <v>0</v>
      </c>
      <c r="L391" s="1" t="s">
        <v>30</v>
      </c>
      <c r="M391" s="1">
        <f>Table1[[#This Row],[ApplicantIncome]]+Table1[[#This Row],[CoapplicantIncome]]</f>
        <v>12301</v>
      </c>
      <c r="N391" s="1" t="s">
        <v>26</v>
      </c>
      <c r="O391" s="1" t="str">
        <f>IF(Table1[[#This Row],[Total_Income]]&lt;3000,"Low",IF(Table1[[#This Row],[Total_Income]]&lt;7000,"Medium","High"))</f>
        <v>High</v>
      </c>
      <c r="P391" s="1" t="str">
        <f t="shared" si="18"/>
        <v>Rejected</v>
      </c>
      <c r="Q391" s="1" t="str">
        <f t="shared" si="19"/>
        <v>High Risk</v>
      </c>
      <c r="R391" s="2">
        <f t="shared" si="20"/>
        <v>4950.1658496985629</v>
      </c>
    </row>
    <row r="392" spans="1:18" s="1" customFormat="1" ht="11.5" x14ac:dyDescent="0.25">
      <c r="A392" s="1" t="s">
        <v>423</v>
      </c>
      <c r="B392" s="1" t="s">
        <v>1238</v>
      </c>
      <c r="C392" s="1" t="s">
        <v>29</v>
      </c>
      <c r="D392" s="1">
        <v>0</v>
      </c>
      <c r="E392" s="1" t="s">
        <v>17</v>
      </c>
      <c r="F392" s="1" t="s">
        <v>29</v>
      </c>
      <c r="G392" s="1">
        <v>18047</v>
      </c>
      <c r="H392" s="1">
        <v>5671</v>
      </c>
      <c r="I392" s="1">
        <v>422</v>
      </c>
      <c r="J392" s="1">
        <v>360</v>
      </c>
      <c r="K392" s="1">
        <v>0</v>
      </c>
      <c r="L392" s="1" t="s">
        <v>30</v>
      </c>
      <c r="M392" s="1">
        <f>Table1[[#This Row],[ApplicantIncome]]+Table1[[#This Row],[CoapplicantIncome]]</f>
        <v>23718</v>
      </c>
      <c r="N392" s="1" t="s">
        <v>20</v>
      </c>
      <c r="O392" s="1" t="str">
        <f>IF(Table1[[#This Row],[Total_Income]]&lt;3000,"Low",IF(Table1[[#This Row],[Total_Income]]&lt;7000,"Medium","High"))</f>
        <v>High</v>
      </c>
      <c r="P392" s="1" t="str">
        <f t="shared" si="18"/>
        <v>Approved</v>
      </c>
      <c r="Q392" s="1" t="str">
        <f t="shared" si="19"/>
        <v>High Risk</v>
      </c>
      <c r="R392" s="2">
        <f t="shared" si="20"/>
        <v>3096.4865017709676</v>
      </c>
    </row>
    <row r="393" spans="1:18" s="1" customFormat="1" ht="11.5" x14ac:dyDescent="0.25">
      <c r="A393" s="1" t="s">
        <v>424</v>
      </c>
      <c r="B393" s="1" t="s">
        <v>52</v>
      </c>
      <c r="C393" s="1" t="s">
        <v>22</v>
      </c>
      <c r="D393" s="1">
        <v>1</v>
      </c>
      <c r="E393" s="1" t="s">
        <v>25</v>
      </c>
      <c r="F393" s="1" t="s">
        <v>22</v>
      </c>
      <c r="G393" s="1">
        <v>2104</v>
      </c>
      <c r="H393" s="1">
        <v>417</v>
      </c>
      <c r="I393" s="1">
        <v>230</v>
      </c>
      <c r="J393" s="1">
        <v>360</v>
      </c>
      <c r="K393" s="1">
        <v>0</v>
      </c>
      <c r="L393" s="1" t="s">
        <v>30</v>
      </c>
      <c r="M393" s="1">
        <f>Table1[[#This Row],[ApplicantIncome]]+Table1[[#This Row],[CoapplicantIncome]]</f>
        <v>2521</v>
      </c>
      <c r="N393" s="1" t="s">
        <v>20</v>
      </c>
      <c r="O393" s="1" t="str">
        <f>IF(Table1[[#This Row],[Total_Income]]&lt;3000,"Low",IF(Table1[[#This Row],[Total_Income]]&lt;7000,"Medium","High"))</f>
        <v>Low</v>
      </c>
      <c r="P393" s="1" t="str">
        <f t="shared" si="18"/>
        <v>Approved</v>
      </c>
      <c r="Q393" s="1" t="str">
        <f t="shared" si="19"/>
        <v>High Risk</v>
      </c>
      <c r="R393" s="2">
        <f t="shared" si="20"/>
        <v>1687.6585199225653</v>
      </c>
    </row>
    <row r="394" spans="1:18" s="1" customFormat="1" ht="11.5" x14ac:dyDescent="0.25">
      <c r="A394" s="1" t="s">
        <v>425</v>
      </c>
      <c r="B394" s="1" t="s">
        <v>52</v>
      </c>
      <c r="C394" s="1" t="s">
        <v>29</v>
      </c>
      <c r="D394" s="1">
        <v>0</v>
      </c>
      <c r="E394" s="1" t="s">
        <v>25</v>
      </c>
      <c r="F394" s="1" t="s">
        <v>29</v>
      </c>
      <c r="G394" s="1">
        <v>17127</v>
      </c>
      <c r="H394" s="1">
        <v>6427</v>
      </c>
      <c r="I394" s="1">
        <v>689</v>
      </c>
      <c r="J394" s="1">
        <v>120</v>
      </c>
      <c r="K394" s="1">
        <v>0</v>
      </c>
      <c r="L394" s="1" t="s">
        <v>30</v>
      </c>
      <c r="M394" s="1">
        <f>Table1[[#This Row],[ApplicantIncome]]+Table1[[#This Row],[CoapplicantIncome]]</f>
        <v>23554</v>
      </c>
      <c r="N394" s="1" t="s">
        <v>20</v>
      </c>
      <c r="O394" s="1" t="str">
        <f>IF(Table1[[#This Row],[Total_Income]]&lt;3000,"Low",IF(Table1[[#This Row],[Total_Income]]&lt;7000,"Medium","High"))</f>
        <v>High</v>
      </c>
      <c r="P394" s="1" t="str">
        <f t="shared" si="18"/>
        <v>Approved</v>
      </c>
      <c r="Q394" s="1" t="str">
        <f t="shared" si="19"/>
        <v>High Risk</v>
      </c>
      <c r="R394" s="2">
        <f t="shared" si="20"/>
        <v>8359.4712510840927</v>
      </c>
    </row>
    <row r="395" spans="1:18" s="1" customFormat="1" ht="11.5" x14ac:dyDescent="0.25">
      <c r="A395" s="1" t="s">
        <v>426</v>
      </c>
      <c r="B395" s="1" t="s">
        <v>1238</v>
      </c>
      <c r="C395" s="1" t="s">
        <v>22</v>
      </c>
      <c r="D395" s="1" t="s">
        <v>16</v>
      </c>
      <c r="E395" s="1" t="s">
        <v>25</v>
      </c>
      <c r="F395" s="1" t="s">
        <v>29</v>
      </c>
      <c r="G395" s="1">
        <v>16987</v>
      </c>
      <c r="H395" s="1">
        <v>9516</v>
      </c>
      <c r="I395" s="1">
        <v>482</v>
      </c>
      <c r="J395" s="1">
        <v>360</v>
      </c>
      <c r="K395" s="1">
        <v>0</v>
      </c>
      <c r="L395" s="1" t="s">
        <v>41</v>
      </c>
      <c r="M395" s="1">
        <f>Table1[[#This Row],[ApplicantIncome]]+Table1[[#This Row],[CoapplicantIncome]]</f>
        <v>26503</v>
      </c>
      <c r="N395" s="1" t="s">
        <v>20</v>
      </c>
      <c r="O395" s="1" t="str">
        <f>IF(Table1[[#This Row],[Total_Income]]&lt;3000,"Low",IF(Table1[[#This Row],[Total_Income]]&lt;7000,"Medium","High"))</f>
        <v>High</v>
      </c>
      <c r="P395" s="1" t="str">
        <f t="shared" si="18"/>
        <v>Approved</v>
      </c>
      <c r="Q395" s="1" t="str">
        <f t="shared" si="19"/>
        <v>High Risk</v>
      </c>
      <c r="R395" s="2">
        <f t="shared" si="20"/>
        <v>3536.7452460985937</v>
      </c>
    </row>
    <row r="396" spans="1:18" s="1" customFormat="1" ht="11.5" x14ac:dyDescent="0.25">
      <c r="A396" s="1" t="s">
        <v>427</v>
      </c>
      <c r="B396" s="1" t="s">
        <v>52</v>
      </c>
      <c r="C396" s="1" t="s">
        <v>22</v>
      </c>
      <c r="D396" s="1" t="s">
        <v>16</v>
      </c>
      <c r="E396" s="1" t="s">
        <v>17</v>
      </c>
      <c r="F396" s="1" t="s">
        <v>22</v>
      </c>
      <c r="G396" s="1">
        <v>11010</v>
      </c>
      <c r="H396" s="1">
        <v>9279</v>
      </c>
      <c r="I396" s="1">
        <v>502</v>
      </c>
      <c r="J396" s="1">
        <v>360</v>
      </c>
      <c r="K396" s="1">
        <v>0</v>
      </c>
      <c r="L396" s="1" t="s">
        <v>19</v>
      </c>
      <c r="M396" s="1">
        <f>Table1[[#This Row],[ApplicantIncome]]+Table1[[#This Row],[CoapplicantIncome]]</f>
        <v>20289</v>
      </c>
      <c r="N396" s="1" t="s">
        <v>26</v>
      </c>
      <c r="O396" s="1" t="str">
        <f>IF(Table1[[#This Row],[Total_Income]]&lt;3000,"Low",IF(Table1[[#This Row],[Total_Income]]&lt;7000,"Medium","High"))</f>
        <v>High</v>
      </c>
      <c r="P396" s="1" t="str">
        <f t="shared" si="18"/>
        <v>Rejected</v>
      </c>
      <c r="Q396" s="1" t="str">
        <f t="shared" si="19"/>
        <v>High Risk</v>
      </c>
      <c r="R396" s="2">
        <f t="shared" si="20"/>
        <v>3683.4981608744683</v>
      </c>
    </row>
    <row r="397" spans="1:18" s="1" customFormat="1" ht="11.5" x14ac:dyDescent="0.25">
      <c r="A397" s="1" t="s">
        <v>428</v>
      </c>
      <c r="B397" s="1" t="s">
        <v>52</v>
      </c>
      <c r="C397" s="1" t="s">
        <v>29</v>
      </c>
      <c r="D397" s="1" t="s">
        <v>16</v>
      </c>
      <c r="E397" s="1" t="s">
        <v>17</v>
      </c>
      <c r="F397" s="1" t="s">
        <v>22</v>
      </c>
      <c r="G397" s="1">
        <v>10161</v>
      </c>
      <c r="H397" s="1">
        <v>9014</v>
      </c>
      <c r="I397" s="1">
        <v>147</v>
      </c>
      <c r="J397" s="1">
        <v>180</v>
      </c>
      <c r="K397" s="1">
        <v>0</v>
      </c>
      <c r="L397" s="1" t="s">
        <v>19</v>
      </c>
      <c r="M397" s="1">
        <f>Table1[[#This Row],[ApplicantIncome]]+Table1[[#This Row],[CoapplicantIncome]]</f>
        <v>19175</v>
      </c>
      <c r="N397" s="1" t="s">
        <v>26</v>
      </c>
      <c r="O397" s="1" t="str">
        <f>IF(Table1[[#This Row],[Total_Income]]&lt;3000,"Low",IF(Table1[[#This Row],[Total_Income]]&lt;7000,"Medium","High"))</f>
        <v>High</v>
      </c>
      <c r="P397" s="1" t="str">
        <f t="shared" si="18"/>
        <v>Rejected</v>
      </c>
      <c r="Q397" s="1" t="str">
        <f t="shared" si="19"/>
        <v>High Risk</v>
      </c>
      <c r="R397" s="2">
        <f t="shared" si="20"/>
        <v>1404.8085639656167</v>
      </c>
    </row>
    <row r="398" spans="1:18" s="1" customFormat="1" ht="11.5" x14ac:dyDescent="0.25">
      <c r="A398" s="1" t="s">
        <v>429</v>
      </c>
      <c r="B398" s="1" t="s">
        <v>28</v>
      </c>
      <c r="C398" s="1" t="s">
        <v>22</v>
      </c>
      <c r="D398" s="1">
        <v>2</v>
      </c>
      <c r="E398" s="1" t="s">
        <v>25</v>
      </c>
      <c r="F398" s="1" t="s">
        <v>29</v>
      </c>
      <c r="G398" s="1">
        <v>16037</v>
      </c>
      <c r="H398" s="1">
        <v>4942</v>
      </c>
      <c r="I398" s="1">
        <v>563</v>
      </c>
      <c r="J398" s="1">
        <v>360</v>
      </c>
      <c r="K398" s="1">
        <v>0</v>
      </c>
      <c r="L398" s="1" t="s">
        <v>19</v>
      </c>
      <c r="M398" s="1">
        <f>Table1[[#This Row],[ApplicantIncome]]+Table1[[#This Row],[CoapplicantIncome]]</f>
        <v>20979</v>
      </c>
      <c r="N398" s="1" t="s">
        <v>20</v>
      </c>
      <c r="O398" s="1" t="str">
        <f>IF(Table1[[#This Row],[Total_Income]]&lt;3000,"Low",IF(Table1[[#This Row],[Total_Income]]&lt;7000,"Medium","High"))</f>
        <v>High</v>
      </c>
      <c r="P398" s="1" t="str">
        <f t="shared" si="18"/>
        <v>Approved</v>
      </c>
      <c r="Q398" s="1" t="str">
        <f t="shared" si="19"/>
        <v>High Risk</v>
      </c>
      <c r="R398" s="2">
        <f t="shared" si="20"/>
        <v>4131.0945509408884</v>
      </c>
    </row>
    <row r="399" spans="1:18" s="1" customFormat="1" ht="11.5" x14ac:dyDescent="0.25">
      <c r="A399" s="1" t="s">
        <v>430</v>
      </c>
      <c r="B399" s="1" t="s">
        <v>1238</v>
      </c>
      <c r="C399" s="1" t="s">
        <v>22</v>
      </c>
      <c r="D399" s="1">
        <v>1</v>
      </c>
      <c r="E399" s="1" t="s">
        <v>25</v>
      </c>
      <c r="F399" s="1" t="s">
        <v>29</v>
      </c>
      <c r="G399" s="1">
        <v>3280</v>
      </c>
      <c r="H399" s="1">
        <v>9954</v>
      </c>
      <c r="I399" s="1">
        <v>552</v>
      </c>
      <c r="J399" s="1">
        <v>120</v>
      </c>
      <c r="K399" s="1">
        <v>0</v>
      </c>
      <c r="L399" s="1" t="s">
        <v>41</v>
      </c>
      <c r="M399" s="1">
        <f>Table1[[#This Row],[ApplicantIncome]]+Table1[[#This Row],[CoapplicantIncome]]</f>
        <v>13234</v>
      </c>
      <c r="N399" s="1" t="s">
        <v>20</v>
      </c>
      <c r="O399" s="1" t="str">
        <f>IF(Table1[[#This Row],[Total_Income]]&lt;3000,"Low",IF(Table1[[#This Row],[Total_Income]]&lt;7000,"Medium","High"))</f>
        <v>High</v>
      </c>
      <c r="P399" s="1" t="str">
        <f t="shared" si="18"/>
        <v>Approved</v>
      </c>
      <c r="Q399" s="1" t="str">
        <f t="shared" si="19"/>
        <v>High Risk</v>
      </c>
      <c r="R399" s="2">
        <f t="shared" si="20"/>
        <v>6697.2832084157017</v>
      </c>
    </row>
    <row r="400" spans="1:18" s="1" customFormat="1" ht="11.5" x14ac:dyDescent="0.25">
      <c r="A400" s="1" t="s">
        <v>431</v>
      </c>
      <c r="B400" s="1" t="s">
        <v>52</v>
      </c>
      <c r="C400" s="1" t="s">
        <v>29</v>
      </c>
      <c r="D400" s="1" t="s">
        <v>16</v>
      </c>
      <c r="E400" s="1" t="s">
        <v>17</v>
      </c>
      <c r="F400" s="1" t="s">
        <v>29</v>
      </c>
      <c r="G400" s="1">
        <v>9320</v>
      </c>
      <c r="H400" s="1">
        <v>9269</v>
      </c>
      <c r="I400" s="1">
        <v>323</v>
      </c>
      <c r="J400" s="1">
        <v>360</v>
      </c>
      <c r="K400" s="1">
        <v>1</v>
      </c>
      <c r="L400" s="1" t="s">
        <v>30</v>
      </c>
      <c r="M400" s="1">
        <f>Table1[[#This Row],[ApplicantIncome]]+Table1[[#This Row],[CoapplicantIncome]]</f>
        <v>18589</v>
      </c>
      <c r="N400" s="1" t="s">
        <v>20</v>
      </c>
      <c r="O400" s="1" t="str">
        <f>IF(Table1[[#This Row],[Total_Income]]&lt;3000,"Low",IF(Table1[[#This Row],[Total_Income]]&lt;7000,"Medium","High"))</f>
        <v>High</v>
      </c>
      <c r="P400" s="1" t="str">
        <f t="shared" si="18"/>
        <v>Approved</v>
      </c>
      <c r="Q400" s="1" t="str">
        <f t="shared" si="19"/>
        <v>Low Risk</v>
      </c>
      <c r="R400" s="2">
        <f t="shared" si="20"/>
        <v>2370.0595736303849</v>
      </c>
    </row>
    <row r="401" spans="1:18" s="1" customFormat="1" ht="11.5" x14ac:dyDescent="0.25">
      <c r="A401" s="1" t="s">
        <v>432</v>
      </c>
      <c r="B401" s="1" t="s">
        <v>1238</v>
      </c>
      <c r="C401" s="1" t="s">
        <v>29</v>
      </c>
      <c r="D401" s="1">
        <v>1</v>
      </c>
      <c r="E401" s="1" t="s">
        <v>17</v>
      </c>
      <c r="F401" s="1" t="s">
        <v>22</v>
      </c>
      <c r="G401" s="1">
        <v>18012</v>
      </c>
      <c r="H401" s="1">
        <v>1740</v>
      </c>
      <c r="I401" s="1">
        <v>590</v>
      </c>
      <c r="J401" s="1">
        <v>120</v>
      </c>
      <c r="K401" s="1">
        <v>0</v>
      </c>
      <c r="L401" s="1" t="s">
        <v>19</v>
      </c>
      <c r="M401" s="1">
        <f>Table1[[#This Row],[ApplicantIncome]]+Table1[[#This Row],[CoapplicantIncome]]</f>
        <v>19752</v>
      </c>
      <c r="N401" s="1" t="s">
        <v>20</v>
      </c>
      <c r="O401" s="1" t="str">
        <f>IF(Table1[[#This Row],[Total_Income]]&lt;3000,"Low",IF(Table1[[#This Row],[Total_Income]]&lt;7000,"Medium","High"))</f>
        <v>High</v>
      </c>
      <c r="P401" s="1" t="str">
        <f t="shared" si="18"/>
        <v>Approved</v>
      </c>
      <c r="Q401" s="1" t="str">
        <f t="shared" si="19"/>
        <v>High Risk</v>
      </c>
      <c r="R401" s="2">
        <f t="shared" si="20"/>
        <v>7158.3280669660589</v>
      </c>
    </row>
    <row r="402" spans="1:18" s="1" customFormat="1" ht="11.5" x14ac:dyDescent="0.25">
      <c r="A402" s="1" t="s">
        <v>433</v>
      </c>
      <c r="B402" s="1" t="s">
        <v>52</v>
      </c>
      <c r="C402" s="1" t="s">
        <v>22</v>
      </c>
      <c r="D402" s="1" t="s">
        <v>16</v>
      </c>
      <c r="E402" s="1" t="s">
        <v>17</v>
      </c>
      <c r="F402" s="1" t="s">
        <v>29</v>
      </c>
      <c r="G402" s="1">
        <v>19166</v>
      </c>
      <c r="H402" s="1">
        <v>2877</v>
      </c>
      <c r="I402" s="1">
        <v>625</v>
      </c>
      <c r="J402" s="1">
        <v>360</v>
      </c>
      <c r="K402" s="1">
        <v>1</v>
      </c>
      <c r="L402" s="1" t="s">
        <v>41</v>
      </c>
      <c r="M402" s="1">
        <f>Table1[[#This Row],[ApplicantIncome]]+Table1[[#This Row],[CoapplicantIncome]]</f>
        <v>22043</v>
      </c>
      <c r="N402" s="1" t="s">
        <v>26</v>
      </c>
      <c r="O402" s="1" t="str">
        <f>IF(Table1[[#This Row],[Total_Income]]&lt;3000,"Low",IF(Table1[[#This Row],[Total_Income]]&lt;7000,"Medium","High"))</f>
        <v>High</v>
      </c>
      <c r="P402" s="1" t="str">
        <f t="shared" si="18"/>
        <v>Rejected</v>
      </c>
      <c r="Q402" s="1" t="str">
        <f t="shared" si="19"/>
        <v>Low Risk</v>
      </c>
      <c r="R402" s="2">
        <f t="shared" si="20"/>
        <v>4586.0285867461016</v>
      </c>
    </row>
    <row r="403" spans="1:18" s="1" customFormat="1" ht="11.5" x14ac:dyDescent="0.25">
      <c r="A403" s="1" t="s">
        <v>434</v>
      </c>
      <c r="B403" s="1" t="s">
        <v>1238</v>
      </c>
      <c r="C403" s="1" t="s">
        <v>22</v>
      </c>
      <c r="D403" s="1">
        <v>0</v>
      </c>
      <c r="E403" s="1" t="s">
        <v>25</v>
      </c>
      <c r="F403" s="1" t="s">
        <v>29</v>
      </c>
      <c r="G403" s="1">
        <v>19423</v>
      </c>
      <c r="H403" s="1">
        <v>9934</v>
      </c>
      <c r="I403" s="1">
        <v>179</v>
      </c>
      <c r="J403" s="1">
        <v>180</v>
      </c>
      <c r="K403" s="1">
        <v>0</v>
      </c>
      <c r="L403" s="1" t="s">
        <v>30</v>
      </c>
      <c r="M403" s="1">
        <f>Table1[[#This Row],[ApplicantIncome]]+Table1[[#This Row],[CoapplicantIncome]]</f>
        <v>29357</v>
      </c>
      <c r="N403" s="1" t="s">
        <v>20</v>
      </c>
      <c r="O403" s="1" t="str">
        <f>IF(Table1[[#This Row],[Total_Income]]&lt;3000,"Low",IF(Table1[[#This Row],[Total_Income]]&lt;7000,"Medium","High"))</f>
        <v>High</v>
      </c>
      <c r="P403" s="1" t="str">
        <f t="shared" si="18"/>
        <v>Approved</v>
      </c>
      <c r="Q403" s="1" t="str">
        <f t="shared" si="19"/>
        <v>High Risk</v>
      </c>
      <c r="R403" s="2">
        <f t="shared" si="20"/>
        <v>1710.617230951329</v>
      </c>
    </row>
    <row r="404" spans="1:18" s="1" customFormat="1" ht="11.5" x14ac:dyDescent="0.25">
      <c r="A404" s="1" t="s">
        <v>435</v>
      </c>
      <c r="B404" s="1" t="s">
        <v>52</v>
      </c>
      <c r="C404" s="1" t="s">
        <v>29</v>
      </c>
      <c r="D404" s="1" t="s">
        <v>16</v>
      </c>
      <c r="E404" s="1" t="s">
        <v>25</v>
      </c>
      <c r="F404" s="1" t="s">
        <v>29</v>
      </c>
      <c r="G404" s="1">
        <v>11997</v>
      </c>
      <c r="H404" s="1">
        <v>8712</v>
      </c>
      <c r="I404" s="1">
        <v>442</v>
      </c>
      <c r="J404" s="1">
        <v>180</v>
      </c>
      <c r="K404" s="1">
        <v>0</v>
      </c>
      <c r="L404" s="1" t="s">
        <v>19</v>
      </c>
      <c r="M404" s="1">
        <f>Table1[[#This Row],[ApplicantIncome]]+Table1[[#This Row],[CoapplicantIncome]]</f>
        <v>20709</v>
      </c>
      <c r="N404" s="1" t="s">
        <v>20</v>
      </c>
      <c r="O404" s="1" t="str">
        <f>IF(Table1[[#This Row],[Total_Income]]&lt;3000,"Low",IF(Table1[[#This Row],[Total_Income]]&lt;7000,"Medium","High"))</f>
        <v>High</v>
      </c>
      <c r="P404" s="1" t="str">
        <f t="shared" si="18"/>
        <v>Approved</v>
      </c>
      <c r="Q404" s="1" t="str">
        <f t="shared" si="19"/>
        <v>High Risk</v>
      </c>
      <c r="R404" s="2">
        <f t="shared" si="20"/>
        <v>4223.982212740154</v>
      </c>
    </row>
    <row r="405" spans="1:18" s="1" customFormat="1" ht="11.5" x14ac:dyDescent="0.25">
      <c r="A405" s="1" t="s">
        <v>436</v>
      </c>
      <c r="B405" s="1" t="s">
        <v>1238</v>
      </c>
      <c r="C405" s="1" t="s">
        <v>22</v>
      </c>
      <c r="D405" s="1">
        <v>1</v>
      </c>
      <c r="E405" s="1" t="s">
        <v>17</v>
      </c>
      <c r="F405" s="1" t="s">
        <v>29</v>
      </c>
      <c r="G405" s="1">
        <v>12600</v>
      </c>
      <c r="H405" s="1">
        <v>7535</v>
      </c>
      <c r="I405" s="1">
        <v>296</v>
      </c>
      <c r="J405" s="1">
        <v>360</v>
      </c>
      <c r="K405" s="1">
        <v>0</v>
      </c>
      <c r="L405" s="1" t="s">
        <v>41</v>
      </c>
      <c r="M405" s="1">
        <f>Table1[[#This Row],[ApplicantIncome]]+Table1[[#This Row],[CoapplicantIncome]]</f>
        <v>20135</v>
      </c>
      <c r="N405" s="1" t="s">
        <v>20</v>
      </c>
      <c r="O405" s="1" t="str">
        <f>IF(Table1[[#This Row],[Total_Income]]&lt;3000,"Low",IF(Table1[[#This Row],[Total_Income]]&lt;7000,"Medium","High"))</f>
        <v>High</v>
      </c>
      <c r="P405" s="1" t="str">
        <f t="shared" si="18"/>
        <v>Approved</v>
      </c>
      <c r="Q405" s="1" t="str">
        <f t="shared" si="19"/>
        <v>High Risk</v>
      </c>
      <c r="R405" s="2">
        <f t="shared" si="20"/>
        <v>2171.9431386829533</v>
      </c>
    </row>
    <row r="406" spans="1:18" s="1" customFormat="1" ht="11.5" x14ac:dyDescent="0.25">
      <c r="A406" s="1" t="s">
        <v>437</v>
      </c>
      <c r="B406" s="1" t="s">
        <v>1238</v>
      </c>
      <c r="C406" s="1" t="s">
        <v>29</v>
      </c>
      <c r="D406" s="1">
        <v>0</v>
      </c>
      <c r="E406" s="1" t="s">
        <v>25</v>
      </c>
      <c r="F406" s="1" t="s">
        <v>22</v>
      </c>
      <c r="G406" s="1">
        <v>16889</v>
      </c>
      <c r="H406" s="1">
        <v>3592</v>
      </c>
      <c r="I406" s="1">
        <v>625</v>
      </c>
      <c r="J406" s="1">
        <v>360</v>
      </c>
      <c r="K406" s="1">
        <v>1</v>
      </c>
      <c r="L406" s="1" t="s">
        <v>19</v>
      </c>
      <c r="M406" s="1">
        <f>Table1[[#This Row],[ApplicantIncome]]+Table1[[#This Row],[CoapplicantIncome]]</f>
        <v>20481</v>
      </c>
      <c r="N406" s="1" t="s">
        <v>20</v>
      </c>
      <c r="O406" s="1" t="str">
        <f>IF(Table1[[#This Row],[Total_Income]]&lt;3000,"Low",IF(Table1[[#This Row],[Total_Income]]&lt;7000,"Medium","High"))</f>
        <v>High</v>
      </c>
      <c r="P406" s="1" t="str">
        <f t="shared" si="18"/>
        <v>Approved</v>
      </c>
      <c r="Q406" s="1" t="str">
        <f t="shared" si="19"/>
        <v>Low Risk</v>
      </c>
      <c r="R406" s="2">
        <f t="shared" si="20"/>
        <v>4586.0285867461016</v>
      </c>
    </row>
    <row r="407" spans="1:18" s="1" customFormat="1" ht="11.5" x14ac:dyDescent="0.25">
      <c r="A407" s="1" t="s">
        <v>438</v>
      </c>
      <c r="B407" s="1" t="s">
        <v>28</v>
      </c>
      <c r="C407" s="1" t="s">
        <v>29</v>
      </c>
      <c r="D407" s="1">
        <v>0</v>
      </c>
      <c r="E407" s="1" t="s">
        <v>17</v>
      </c>
      <c r="F407" s="1" t="s">
        <v>22</v>
      </c>
      <c r="G407" s="1">
        <v>17019</v>
      </c>
      <c r="H407" s="1">
        <v>5515</v>
      </c>
      <c r="I407" s="1">
        <v>86</v>
      </c>
      <c r="J407" s="1">
        <v>180</v>
      </c>
      <c r="K407" s="1">
        <v>0</v>
      </c>
      <c r="L407" s="1" t="s">
        <v>19</v>
      </c>
      <c r="M407" s="1">
        <f>Table1[[#This Row],[ApplicantIncome]]+Table1[[#This Row],[CoapplicantIncome]]</f>
        <v>22534</v>
      </c>
      <c r="N407" s="1" t="s">
        <v>20</v>
      </c>
      <c r="O407" s="1" t="str">
        <f>IF(Table1[[#This Row],[Total_Income]]&lt;3000,"Low",IF(Table1[[#This Row],[Total_Income]]&lt;7000,"Medium","High"))</f>
        <v>High</v>
      </c>
      <c r="P407" s="1" t="str">
        <f t="shared" si="18"/>
        <v>Approved</v>
      </c>
      <c r="Q407" s="1" t="str">
        <f t="shared" si="19"/>
        <v>High Risk</v>
      </c>
      <c r="R407" s="2">
        <f t="shared" si="20"/>
        <v>821.86079252410218</v>
      </c>
    </row>
    <row r="408" spans="1:18" s="1" customFormat="1" ht="11.5" x14ac:dyDescent="0.25">
      <c r="A408" s="1" t="s">
        <v>439</v>
      </c>
      <c r="B408" s="1" t="s">
        <v>28</v>
      </c>
      <c r="C408" s="1" t="s">
        <v>29</v>
      </c>
      <c r="D408" s="1">
        <v>2</v>
      </c>
      <c r="E408" s="1" t="s">
        <v>25</v>
      </c>
      <c r="F408" s="1" t="s">
        <v>22</v>
      </c>
      <c r="G408" s="1">
        <v>15016</v>
      </c>
      <c r="H408" s="1">
        <v>7783</v>
      </c>
      <c r="I408" s="1">
        <v>664</v>
      </c>
      <c r="J408" s="1">
        <v>360</v>
      </c>
      <c r="K408" s="1">
        <v>1</v>
      </c>
      <c r="L408" s="1" t="s">
        <v>30</v>
      </c>
      <c r="M408" s="1">
        <f>Table1[[#This Row],[ApplicantIncome]]+Table1[[#This Row],[CoapplicantIncome]]</f>
        <v>22799</v>
      </c>
      <c r="N408" s="1" t="s">
        <v>26</v>
      </c>
      <c r="O408" s="1" t="str">
        <f>IF(Table1[[#This Row],[Total_Income]]&lt;3000,"Low",IF(Table1[[#This Row],[Total_Income]]&lt;7000,"Medium","High"))</f>
        <v>High</v>
      </c>
      <c r="P408" s="1" t="str">
        <f t="shared" si="18"/>
        <v>Rejected</v>
      </c>
      <c r="Q408" s="1" t="str">
        <f t="shared" si="19"/>
        <v>Low Risk</v>
      </c>
      <c r="R408" s="2">
        <f t="shared" si="20"/>
        <v>4872.1967705590578</v>
      </c>
    </row>
    <row r="409" spans="1:18" s="1" customFormat="1" ht="11.5" x14ac:dyDescent="0.25">
      <c r="A409" s="1" t="s">
        <v>440</v>
      </c>
      <c r="B409" s="1" t="s">
        <v>52</v>
      </c>
      <c r="C409" s="1" t="s">
        <v>22</v>
      </c>
      <c r="D409" s="1">
        <v>0</v>
      </c>
      <c r="E409" s="1" t="s">
        <v>25</v>
      </c>
      <c r="F409" s="1" t="s">
        <v>22</v>
      </c>
      <c r="G409" s="1">
        <v>5585</v>
      </c>
      <c r="H409" s="1">
        <v>9967</v>
      </c>
      <c r="I409" s="1">
        <v>194</v>
      </c>
      <c r="J409" s="1">
        <v>360</v>
      </c>
      <c r="K409" s="1">
        <v>0</v>
      </c>
      <c r="L409" s="1" t="s">
        <v>41</v>
      </c>
      <c r="M409" s="1">
        <f>Table1[[#This Row],[ApplicantIncome]]+Table1[[#This Row],[CoapplicantIncome]]</f>
        <v>15552</v>
      </c>
      <c r="N409" s="1" t="s">
        <v>26</v>
      </c>
      <c r="O409" s="1" t="str">
        <f>IF(Table1[[#This Row],[Total_Income]]&lt;3000,"Low",IF(Table1[[#This Row],[Total_Income]]&lt;7000,"Medium","High"))</f>
        <v>High</v>
      </c>
      <c r="P409" s="1" t="str">
        <f t="shared" si="18"/>
        <v>Rejected</v>
      </c>
      <c r="Q409" s="1" t="str">
        <f t="shared" si="19"/>
        <v>High Risk</v>
      </c>
      <c r="R409" s="2">
        <f t="shared" si="20"/>
        <v>1423.5032733259898</v>
      </c>
    </row>
    <row r="410" spans="1:18" s="1" customFormat="1" ht="11.5" x14ac:dyDescent="0.25">
      <c r="A410" s="1" t="s">
        <v>441</v>
      </c>
      <c r="B410" s="1" t="s">
        <v>1238</v>
      </c>
      <c r="C410" s="1" t="s">
        <v>22</v>
      </c>
      <c r="D410" s="1">
        <v>2</v>
      </c>
      <c r="E410" s="1" t="s">
        <v>25</v>
      </c>
      <c r="F410" s="1" t="s">
        <v>29</v>
      </c>
      <c r="G410" s="1">
        <v>9838</v>
      </c>
      <c r="H410" s="1">
        <v>6996</v>
      </c>
      <c r="I410" s="1">
        <v>562</v>
      </c>
      <c r="J410" s="1">
        <v>360</v>
      </c>
      <c r="K410" s="1">
        <v>1</v>
      </c>
      <c r="L410" s="1" t="s">
        <v>41</v>
      </c>
      <c r="M410" s="1">
        <f>Table1[[#This Row],[ApplicantIncome]]+Table1[[#This Row],[CoapplicantIncome]]</f>
        <v>16834</v>
      </c>
      <c r="N410" s="1" t="s">
        <v>20</v>
      </c>
      <c r="O410" s="1" t="str">
        <f>IF(Table1[[#This Row],[Total_Income]]&lt;3000,"Low",IF(Table1[[#This Row],[Total_Income]]&lt;7000,"Medium","High"))</f>
        <v>High</v>
      </c>
      <c r="P410" s="1" t="str">
        <f t="shared" si="18"/>
        <v>Approved</v>
      </c>
      <c r="Q410" s="1" t="str">
        <f t="shared" si="19"/>
        <v>Low Risk</v>
      </c>
      <c r="R410" s="2">
        <f t="shared" si="20"/>
        <v>4123.7569052020945</v>
      </c>
    </row>
    <row r="411" spans="1:18" s="1" customFormat="1" ht="11.5" x14ac:dyDescent="0.25">
      <c r="A411" s="1" t="s">
        <v>442</v>
      </c>
      <c r="B411" s="1" t="s">
        <v>1238</v>
      </c>
      <c r="C411" s="1" t="s">
        <v>29</v>
      </c>
      <c r="D411" s="1" t="s">
        <v>16</v>
      </c>
      <c r="E411" s="1" t="s">
        <v>17</v>
      </c>
      <c r="F411" s="1" t="s">
        <v>22</v>
      </c>
      <c r="G411" s="1">
        <v>19480</v>
      </c>
      <c r="H411" s="1">
        <v>1190</v>
      </c>
      <c r="I411" s="1">
        <v>573</v>
      </c>
      <c r="J411" s="1">
        <v>120</v>
      </c>
      <c r="K411" s="1">
        <v>0</v>
      </c>
      <c r="L411" s="1" t="s">
        <v>30</v>
      </c>
      <c r="M411" s="1">
        <f>Table1[[#This Row],[ApplicantIncome]]+Table1[[#This Row],[CoapplicantIncome]]</f>
        <v>20670</v>
      </c>
      <c r="N411" s="1" t="s">
        <v>20</v>
      </c>
      <c r="O411" s="1" t="str">
        <f>IF(Table1[[#This Row],[Total_Income]]&lt;3000,"Low",IF(Table1[[#This Row],[Total_Income]]&lt;7000,"Medium","High"))</f>
        <v>High</v>
      </c>
      <c r="P411" s="1" t="str">
        <f t="shared" si="18"/>
        <v>Approved</v>
      </c>
      <c r="Q411" s="1" t="str">
        <f t="shared" si="19"/>
        <v>High Risk</v>
      </c>
      <c r="R411" s="2">
        <f t="shared" si="20"/>
        <v>6952.0711565619522</v>
      </c>
    </row>
    <row r="412" spans="1:18" s="1" customFormat="1" ht="11.5" x14ac:dyDescent="0.25">
      <c r="A412" s="1" t="s">
        <v>443</v>
      </c>
      <c r="B412" s="1" t="s">
        <v>28</v>
      </c>
      <c r="C412" s="1" t="s">
        <v>29</v>
      </c>
      <c r="D412" s="1">
        <v>2</v>
      </c>
      <c r="E412" s="1" t="s">
        <v>25</v>
      </c>
      <c r="F412" s="1" t="s">
        <v>29</v>
      </c>
      <c r="G412" s="1">
        <v>9918</v>
      </c>
      <c r="H412" s="1">
        <v>57</v>
      </c>
      <c r="I412" s="1">
        <v>93</v>
      </c>
      <c r="J412" s="1">
        <v>360</v>
      </c>
      <c r="K412" s="1">
        <v>0</v>
      </c>
      <c r="L412" s="1" t="s">
        <v>30</v>
      </c>
      <c r="M412" s="1">
        <f>Table1[[#This Row],[ApplicantIncome]]+Table1[[#This Row],[CoapplicantIncome]]</f>
        <v>9975</v>
      </c>
      <c r="N412" s="1" t="s">
        <v>20</v>
      </c>
      <c r="O412" s="1" t="str">
        <f>IF(Table1[[#This Row],[Total_Income]]&lt;3000,"Low",IF(Table1[[#This Row],[Total_Income]]&lt;7000,"Medium","High"))</f>
        <v>High</v>
      </c>
      <c r="P412" s="1" t="str">
        <f t="shared" si="18"/>
        <v>Approved</v>
      </c>
      <c r="Q412" s="1" t="str">
        <f t="shared" si="19"/>
        <v>High Risk</v>
      </c>
      <c r="R412" s="2">
        <f t="shared" si="20"/>
        <v>682.40105370781987</v>
      </c>
    </row>
    <row r="413" spans="1:18" s="1" customFormat="1" ht="11.5" x14ac:dyDescent="0.25">
      <c r="A413" s="1" t="s">
        <v>444</v>
      </c>
      <c r="B413" s="1" t="s">
        <v>28</v>
      </c>
      <c r="C413" s="1" t="s">
        <v>29</v>
      </c>
      <c r="D413" s="1" t="s">
        <v>16</v>
      </c>
      <c r="E413" s="1" t="s">
        <v>17</v>
      </c>
      <c r="F413" s="1" t="s">
        <v>22</v>
      </c>
      <c r="G413" s="1">
        <v>8393</v>
      </c>
      <c r="H413" s="1">
        <v>7236</v>
      </c>
      <c r="I413" s="1">
        <v>124</v>
      </c>
      <c r="J413" s="1">
        <v>360</v>
      </c>
      <c r="K413" s="1">
        <v>0</v>
      </c>
      <c r="L413" s="1" t="s">
        <v>41</v>
      </c>
      <c r="M413" s="1">
        <f>Table1[[#This Row],[ApplicantIncome]]+Table1[[#This Row],[CoapplicantIncome]]</f>
        <v>15629</v>
      </c>
      <c r="N413" s="1" t="s">
        <v>20</v>
      </c>
      <c r="O413" s="1" t="str">
        <f>IF(Table1[[#This Row],[Total_Income]]&lt;3000,"Low",IF(Table1[[#This Row],[Total_Income]]&lt;7000,"Medium","High"))</f>
        <v>High</v>
      </c>
      <c r="P413" s="1" t="str">
        <f t="shared" si="18"/>
        <v>Approved</v>
      </c>
      <c r="Q413" s="1" t="str">
        <f t="shared" si="19"/>
        <v>High Risk</v>
      </c>
      <c r="R413" s="2">
        <f t="shared" si="20"/>
        <v>909.86807161042645</v>
      </c>
    </row>
    <row r="414" spans="1:18" s="1" customFormat="1" ht="11.5" x14ac:dyDescent="0.25">
      <c r="A414" s="1" t="s">
        <v>445</v>
      </c>
      <c r="B414" s="1" t="s">
        <v>1238</v>
      </c>
      <c r="C414" s="1" t="s">
        <v>29</v>
      </c>
      <c r="D414" s="1">
        <v>0</v>
      </c>
      <c r="E414" s="1" t="s">
        <v>17</v>
      </c>
      <c r="F414" s="1" t="s">
        <v>29</v>
      </c>
      <c r="G414" s="1">
        <v>7069</v>
      </c>
      <c r="H414" s="1">
        <v>7378</v>
      </c>
      <c r="I414" s="1">
        <v>255</v>
      </c>
      <c r="J414" s="1">
        <v>180</v>
      </c>
      <c r="K414" s="1">
        <v>1</v>
      </c>
      <c r="L414" s="1" t="s">
        <v>41</v>
      </c>
      <c r="M414" s="1">
        <f>Table1[[#This Row],[ApplicantIncome]]+Table1[[#This Row],[CoapplicantIncome]]</f>
        <v>14447</v>
      </c>
      <c r="N414" s="1" t="s">
        <v>26</v>
      </c>
      <c r="O414" s="1" t="str">
        <f>IF(Table1[[#This Row],[Total_Income]]&lt;3000,"Low",IF(Table1[[#This Row],[Total_Income]]&lt;7000,"Medium","High"))</f>
        <v>High</v>
      </c>
      <c r="P414" s="1" t="str">
        <f t="shared" si="18"/>
        <v>Rejected</v>
      </c>
      <c r="Q414" s="1" t="str">
        <f t="shared" si="19"/>
        <v>Low Risk</v>
      </c>
      <c r="R414" s="2">
        <f t="shared" si="20"/>
        <v>2436.9128150423962</v>
      </c>
    </row>
    <row r="415" spans="1:18" s="1" customFormat="1" ht="11.5" x14ac:dyDescent="0.25">
      <c r="A415" s="1" t="s">
        <v>446</v>
      </c>
      <c r="B415" s="1" t="s">
        <v>1238</v>
      </c>
      <c r="C415" s="1" t="s">
        <v>22</v>
      </c>
      <c r="D415" s="1">
        <v>1</v>
      </c>
      <c r="E415" s="1" t="s">
        <v>25</v>
      </c>
      <c r="F415" s="1" t="s">
        <v>22</v>
      </c>
      <c r="G415" s="1">
        <v>19561</v>
      </c>
      <c r="H415" s="1">
        <v>3368</v>
      </c>
      <c r="I415" s="1">
        <v>275</v>
      </c>
      <c r="J415" s="1">
        <v>180</v>
      </c>
      <c r="K415" s="1">
        <v>0</v>
      </c>
      <c r="L415" s="1" t="s">
        <v>19</v>
      </c>
      <c r="M415" s="1">
        <f>Table1[[#This Row],[ApplicantIncome]]+Table1[[#This Row],[CoapplicantIncome]]</f>
        <v>22929</v>
      </c>
      <c r="N415" s="1" t="s">
        <v>26</v>
      </c>
      <c r="O415" s="1" t="str">
        <f>IF(Table1[[#This Row],[Total_Income]]&lt;3000,"Low",IF(Table1[[#This Row],[Total_Income]]&lt;7000,"Medium","High"))</f>
        <v>High</v>
      </c>
      <c r="P415" s="1" t="str">
        <f t="shared" si="18"/>
        <v>Rejected</v>
      </c>
      <c r="Q415" s="1" t="str">
        <f t="shared" si="19"/>
        <v>High Risk</v>
      </c>
      <c r="R415" s="2">
        <f t="shared" si="20"/>
        <v>2628.0432319084666</v>
      </c>
    </row>
    <row r="416" spans="1:18" s="1" customFormat="1" ht="11.5" x14ac:dyDescent="0.25">
      <c r="A416" s="1" t="s">
        <v>447</v>
      </c>
      <c r="B416" s="1" t="s">
        <v>52</v>
      </c>
      <c r="C416" s="1" t="s">
        <v>22</v>
      </c>
      <c r="D416" s="1">
        <v>2</v>
      </c>
      <c r="E416" s="1" t="s">
        <v>25</v>
      </c>
      <c r="F416" s="1" t="s">
        <v>22</v>
      </c>
      <c r="G416" s="1">
        <v>17812</v>
      </c>
      <c r="H416" s="1">
        <v>2194</v>
      </c>
      <c r="I416" s="1">
        <v>83</v>
      </c>
      <c r="J416" s="1">
        <v>360</v>
      </c>
      <c r="K416" s="1">
        <v>0</v>
      </c>
      <c r="L416" s="1" t="s">
        <v>30</v>
      </c>
      <c r="M416" s="1">
        <f>Table1[[#This Row],[ApplicantIncome]]+Table1[[#This Row],[CoapplicantIncome]]</f>
        <v>20006</v>
      </c>
      <c r="N416" s="1" t="s">
        <v>20</v>
      </c>
      <c r="O416" s="1" t="str">
        <f>IF(Table1[[#This Row],[Total_Income]]&lt;3000,"Low",IF(Table1[[#This Row],[Total_Income]]&lt;7000,"Medium","High"))</f>
        <v>High</v>
      </c>
      <c r="P416" s="1" t="str">
        <f t="shared" si="18"/>
        <v>Approved</v>
      </c>
      <c r="Q416" s="1" t="str">
        <f t="shared" si="19"/>
        <v>High Risk</v>
      </c>
      <c r="R416" s="2">
        <f t="shared" si="20"/>
        <v>609.02459631988222</v>
      </c>
    </row>
    <row r="417" spans="1:18" s="1" customFormat="1" ht="11.5" x14ac:dyDescent="0.25">
      <c r="A417" s="1" t="s">
        <v>448</v>
      </c>
      <c r="B417" s="1" t="s">
        <v>1238</v>
      </c>
      <c r="C417" s="1" t="s">
        <v>22</v>
      </c>
      <c r="D417" s="1" t="s">
        <v>16</v>
      </c>
      <c r="E417" s="1" t="s">
        <v>25</v>
      </c>
      <c r="F417" s="1" t="s">
        <v>22</v>
      </c>
      <c r="G417" s="1">
        <v>9498</v>
      </c>
      <c r="H417" s="1">
        <v>7399</v>
      </c>
      <c r="I417" s="1">
        <v>411</v>
      </c>
      <c r="J417" s="1">
        <v>120</v>
      </c>
      <c r="K417" s="1">
        <v>1</v>
      </c>
      <c r="L417" s="1" t="s">
        <v>30</v>
      </c>
      <c r="M417" s="1">
        <f>Table1[[#This Row],[ApplicantIncome]]+Table1[[#This Row],[CoapplicantIncome]]</f>
        <v>16897</v>
      </c>
      <c r="N417" s="1" t="s">
        <v>26</v>
      </c>
      <c r="O417" s="1" t="str">
        <f>IF(Table1[[#This Row],[Total_Income]]&lt;3000,"Low",IF(Table1[[#This Row],[Total_Income]]&lt;7000,"Medium","High"))</f>
        <v>High</v>
      </c>
      <c r="P417" s="1" t="str">
        <f t="shared" si="18"/>
        <v>Rejected</v>
      </c>
      <c r="Q417" s="1" t="str">
        <f t="shared" si="19"/>
        <v>Low Risk</v>
      </c>
      <c r="R417" s="2">
        <f t="shared" si="20"/>
        <v>4986.5641280051696</v>
      </c>
    </row>
    <row r="418" spans="1:18" s="1" customFormat="1" ht="11.5" x14ac:dyDescent="0.25">
      <c r="A418" s="1" t="s">
        <v>449</v>
      </c>
      <c r="B418" s="1" t="s">
        <v>1238</v>
      </c>
      <c r="C418" s="1" t="s">
        <v>29</v>
      </c>
      <c r="D418" s="1">
        <v>1</v>
      </c>
      <c r="E418" s="1" t="s">
        <v>25</v>
      </c>
      <c r="F418" s="1" t="s">
        <v>22</v>
      </c>
      <c r="G418" s="1">
        <v>3274</v>
      </c>
      <c r="H418" s="1">
        <v>760</v>
      </c>
      <c r="I418" s="1">
        <v>408</v>
      </c>
      <c r="J418" s="1">
        <v>360</v>
      </c>
      <c r="K418" s="1">
        <v>0</v>
      </c>
      <c r="L418" s="1" t="s">
        <v>30</v>
      </c>
      <c r="M418" s="1">
        <f>Table1[[#This Row],[ApplicantIncome]]+Table1[[#This Row],[CoapplicantIncome]]</f>
        <v>4034</v>
      </c>
      <c r="N418" s="1" t="s">
        <v>26</v>
      </c>
      <c r="O418" s="1" t="str">
        <f>IF(Table1[[#This Row],[Total_Income]]&lt;3000,"Low",IF(Table1[[#This Row],[Total_Income]]&lt;7000,"Medium","High"))</f>
        <v>Medium</v>
      </c>
      <c r="P418" s="1" t="str">
        <f t="shared" si="18"/>
        <v>Rejected</v>
      </c>
      <c r="Q418" s="1" t="str">
        <f t="shared" si="19"/>
        <v>High Risk</v>
      </c>
      <c r="R418" s="2">
        <f t="shared" si="20"/>
        <v>2993.7594614278551</v>
      </c>
    </row>
    <row r="419" spans="1:18" s="1" customFormat="1" ht="11.5" x14ac:dyDescent="0.25">
      <c r="A419" s="1" t="s">
        <v>450</v>
      </c>
      <c r="B419" s="1" t="s">
        <v>1238</v>
      </c>
      <c r="C419" s="1" t="s">
        <v>22</v>
      </c>
      <c r="D419" s="1">
        <v>0</v>
      </c>
      <c r="E419" s="1" t="s">
        <v>25</v>
      </c>
      <c r="F419" s="1" t="s">
        <v>22</v>
      </c>
      <c r="G419" s="1">
        <v>11055</v>
      </c>
      <c r="H419" s="1">
        <v>8204</v>
      </c>
      <c r="I419" s="1">
        <v>322</v>
      </c>
      <c r="J419" s="1">
        <v>120</v>
      </c>
      <c r="K419" s="1">
        <v>0</v>
      </c>
      <c r="L419" s="1" t="s">
        <v>19</v>
      </c>
      <c r="M419" s="1">
        <f>Table1[[#This Row],[ApplicantIncome]]+Table1[[#This Row],[CoapplicantIncome]]</f>
        <v>19259</v>
      </c>
      <c r="N419" s="1" t="s">
        <v>26</v>
      </c>
      <c r="O419" s="1" t="str">
        <f>IF(Table1[[#This Row],[Total_Income]]&lt;3000,"Low",IF(Table1[[#This Row],[Total_Income]]&lt;7000,"Medium","High"))</f>
        <v>High</v>
      </c>
      <c r="P419" s="1" t="str">
        <f t="shared" si="18"/>
        <v>Rejected</v>
      </c>
      <c r="Q419" s="1" t="str">
        <f t="shared" si="19"/>
        <v>High Risk</v>
      </c>
      <c r="R419" s="2">
        <f t="shared" si="20"/>
        <v>3906.7485382424934</v>
      </c>
    </row>
    <row r="420" spans="1:18" s="1" customFormat="1" ht="11.5" x14ac:dyDescent="0.25">
      <c r="A420" s="1" t="s">
        <v>451</v>
      </c>
      <c r="B420" s="1" t="s">
        <v>52</v>
      </c>
      <c r="C420" s="1" t="s">
        <v>22</v>
      </c>
      <c r="D420" s="1">
        <v>0</v>
      </c>
      <c r="E420" s="1" t="s">
        <v>25</v>
      </c>
      <c r="F420" s="1" t="s">
        <v>22</v>
      </c>
      <c r="G420" s="1">
        <v>16638</v>
      </c>
      <c r="H420" s="1">
        <v>8442</v>
      </c>
      <c r="I420" s="1">
        <v>616</v>
      </c>
      <c r="J420" s="1">
        <v>360</v>
      </c>
      <c r="K420" s="1">
        <v>0</v>
      </c>
      <c r="L420" s="1" t="s">
        <v>30</v>
      </c>
      <c r="M420" s="1">
        <f>Table1[[#This Row],[ApplicantIncome]]+Table1[[#This Row],[CoapplicantIncome]]</f>
        <v>25080</v>
      </c>
      <c r="N420" s="1" t="s">
        <v>26</v>
      </c>
      <c r="O420" s="1" t="str">
        <f>IF(Table1[[#This Row],[Total_Income]]&lt;3000,"Low",IF(Table1[[#This Row],[Total_Income]]&lt;7000,"Medium","High"))</f>
        <v>High</v>
      </c>
      <c r="P420" s="1" t="str">
        <f t="shared" si="18"/>
        <v>Rejected</v>
      </c>
      <c r="Q420" s="1" t="str">
        <f t="shared" si="19"/>
        <v>High Risk</v>
      </c>
      <c r="R420" s="2">
        <f t="shared" si="20"/>
        <v>4519.9897750969576</v>
      </c>
    </row>
    <row r="421" spans="1:18" s="1" customFormat="1" ht="11.5" x14ac:dyDescent="0.25">
      <c r="A421" s="1" t="s">
        <v>452</v>
      </c>
      <c r="B421" s="1" t="s">
        <v>28</v>
      </c>
      <c r="C421" s="1" t="s">
        <v>22</v>
      </c>
      <c r="D421" s="1">
        <v>0</v>
      </c>
      <c r="E421" s="1" t="s">
        <v>17</v>
      </c>
      <c r="F421" s="1" t="s">
        <v>22</v>
      </c>
      <c r="G421" s="1">
        <v>6678</v>
      </c>
      <c r="H421" s="1">
        <v>2961</v>
      </c>
      <c r="I421" s="1">
        <v>145</v>
      </c>
      <c r="J421" s="1">
        <v>360</v>
      </c>
      <c r="K421" s="1">
        <v>0</v>
      </c>
      <c r="L421" s="1" t="s">
        <v>41</v>
      </c>
      <c r="M421" s="1">
        <f>Table1[[#This Row],[ApplicantIncome]]+Table1[[#This Row],[CoapplicantIncome]]</f>
        <v>9639</v>
      </c>
      <c r="N421" s="1" t="s">
        <v>26</v>
      </c>
      <c r="O421" s="1" t="str">
        <f>IF(Table1[[#This Row],[Total_Income]]&lt;3000,"Low",IF(Table1[[#This Row],[Total_Income]]&lt;7000,"Medium","High"))</f>
        <v>High</v>
      </c>
      <c r="P421" s="1" t="str">
        <f t="shared" si="18"/>
        <v>Rejected</v>
      </c>
      <c r="Q421" s="1" t="str">
        <f t="shared" si="19"/>
        <v>High Risk</v>
      </c>
      <c r="R421" s="2">
        <f t="shared" si="20"/>
        <v>1063.9586321250956</v>
      </c>
    </row>
    <row r="422" spans="1:18" s="1" customFormat="1" ht="11.5" x14ac:dyDescent="0.25">
      <c r="A422" s="1" t="s">
        <v>453</v>
      </c>
      <c r="B422" s="1" t="s">
        <v>1238</v>
      </c>
      <c r="C422" s="1" t="s">
        <v>22</v>
      </c>
      <c r="D422" s="1">
        <v>0</v>
      </c>
      <c r="E422" s="1" t="s">
        <v>17</v>
      </c>
      <c r="F422" s="1" t="s">
        <v>22</v>
      </c>
      <c r="G422" s="1">
        <v>3325</v>
      </c>
      <c r="H422" s="1">
        <v>5113</v>
      </c>
      <c r="I422" s="1">
        <v>533</v>
      </c>
      <c r="J422" s="1">
        <v>120</v>
      </c>
      <c r="K422" s="1">
        <v>1</v>
      </c>
      <c r="L422" s="1" t="s">
        <v>19</v>
      </c>
      <c r="M422" s="1">
        <f>Table1[[#This Row],[ApplicantIncome]]+Table1[[#This Row],[CoapplicantIncome]]</f>
        <v>8438</v>
      </c>
      <c r="N422" s="1" t="s">
        <v>20</v>
      </c>
      <c r="O422" s="1" t="str">
        <f>IF(Table1[[#This Row],[Total_Income]]&lt;3000,"Low",IF(Table1[[#This Row],[Total_Income]]&lt;7000,"Medium","High"))</f>
        <v>High</v>
      </c>
      <c r="P422" s="1" t="str">
        <f t="shared" si="18"/>
        <v>Approved</v>
      </c>
      <c r="Q422" s="1" t="str">
        <f t="shared" si="19"/>
        <v>Low Risk</v>
      </c>
      <c r="R422" s="2">
        <f t="shared" si="20"/>
        <v>6466.7607791405244</v>
      </c>
    </row>
    <row r="423" spans="1:18" s="1" customFormat="1" ht="11.5" x14ac:dyDescent="0.25">
      <c r="A423" s="1" t="s">
        <v>454</v>
      </c>
      <c r="B423" s="1" t="s">
        <v>1238</v>
      </c>
      <c r="C423" s="1" t="s">
        <v>29</v>
      </c>
      <c r="D423" s="1" t="s">
        <v>16</v>
      </c>
      <c r="E423" s="1" t="s">
        <v>17</v>
      </c>
      <c r="F423" s="1" t="s">
        <v>22</v>
      </c>
      <c r="G423" s="1">
        <v>14219</v>
      </c>
      <c r="H423" s="1">
        <v>8918</v>
      </c>
      <c r="I423" s="1">
        <v>240</v>
      </c>
      <c r="J423" s="1">
        <v>120</v>
      </c>
      <c r="K423" s="1">
        <v>0</v>
      </c>
      <c r="L423" s="1" t="s">
        <v>30</v>
      </c>
      <c r="M423" s="1">
        <f>Table1[[#This Row],[ApplicantIncome]]+Table1[[#This Row],[CoapplicantIncome]]</f>
        <v>23137</v>
      </c>
      <c r="N423" s="1" t="s">
        <v>20</v>
      </c>
      <c r="O423" s="1" t="str">
        <f>IF(Table1[[#This Row],[Total_Income]]&lt;3000,"Low",IF(Table1[[#This Row],[Total_Income]]&lt;7000,"Medium","High"))</f>
        <v>High</v>
      </c>
      <c r="P423" s="1" t="str">
        <f t="shared" si="18"/>
        <v>Approved</v>
      </c>
      <c r="Q423" s="1" t="str">
        <f t="shared" si="19"/>
        <v>High Risk</v>
      </c>
      <c r="R423" s="2">
        <f t="shared" si="20"/>
        <v>2911.8622645285664</v>
      </c>
    </row>
    <row r="424" spans="1:18" s="1" customFormat="1" ht="11.5" x14ac:dyDescent="0.25">
      <c r="A424" s="1" t="s">
        <v>455</v>
      </c>
      <c r="B424" s="1" t="s">
        <v>52</v>
      </c>
      <c r="C424" s="1" t="s">
        <v>29</v>
      </c>
      <c r="D424" s="1">
        <v>1</v>
      </c>
      <c r="E424" s="1" t="s">
        <v>17</v>
      </c>
      <c r="F424" s="1" t="s">
        <v>22</v>
      </c>
      <c r="G424" s="1">
        <v>11910</v>
      </c>
      <c r="H424" s="1">
        <v>3779</v>
      </c>
      <c r="I424" s="1">
        <v>538</v>
      </c>
      <c r="J424" s="1">
        <v>180</v>
      </c>
      <c r="K424" s="1">
        <v>0</v>
      </c>
      <c r="L424" s="1" t="s">
        <v>30</v>
      </c>
      <c r="M424" s="1">
        <f>Table1[[#This Row],[ApplicantIncome]]+Table1[[#This Row],[CoapplicantIncome]]</f>
        <v>15689</v>
      </c>
      <c r="N424" s="1" t="s">
        <v>20</v>
      </c>
      <c r="O424" s="1" t="str">
        <f>IF(Table1[[#This Row],[Total_Income]]&lt;3000,"Low",IF(Table1[[#This Row],[Total_Income]]&lt;7000,"Medium","High"))</f>
        <v>High</v>
      </c>
      <c r="P424" s="1" t="str">
        <f t="shared" si="18"/>
        <v>Approved</v>
      </c>
      <c r="Q424" s="1" t="str">
        <f t="shared" si="19"/>
        <v>High Risk</v>
      </c>
      <c r="R424" s="2">
        <f t="shared" si="20"/>
        <v>5141.4082136972911</v>
      </c>
    </row>
    <row r="425" spans="1:18" s="1" customFormat="1" ht="11.5" x14ac:dyDescent="0.25">
      <c r="A425" s="1" t="s">
        <v>456</v>
      </c>
      <c r="B425" s="1" t="s">
        <v>1238</v>
      </c>
      <c r="C425" s="1" t="s">
        <v>22</v>
      </c>
      <c r="D425" s="1">
        <v>1</v>
      </c>
      <c r="E425" s="1" t="s">
        <v>25</v>
      </c>
      <c r="F425" s="1" t="s">
        <v>29</v>
      </c>
      <c r="G425" s="1">
        <v>13192</v>
      </c>
      <c r="H425" s="1">
        <v>3081</v>
      </c>
      <c r="I425" s="1">
        <v>317</v>
      </c>
      <c r="J425" s="1">
        <v>360</v>
      </c>
      <c r="K425" s="1">
        <v>0</v>
      </c>
      <c r="L425" s="1" t="s">
        <v>41</v>
      </c>
      <c r="M425" s="1">
        <f>Table1[[#This Row],[ApplicantIncome]]+Table1[[#This Row],[CoapplicantIncome]]</f>
        <v>16273</v>
      </c>
      <c r="N425" s="1" t="s">
        <v>26</v>
      </c>
      <c r="O425" s="1" t="str">
        <f>IF(Table1[[#This Row],[Total_Income]]&lt;3000,"Low",IF(Table1[[#This Row],[Total_Income]]&lt;7000,"Medium","High"))</f>
        <v>High</v>
      </c>
      <c r="P425" s="1" t="str">
        <f t="shared" si="18"/>
        <v>Rejected</v>
      </c>
      <c r="Q425" s="1" t="str">
        <f t="shared" si="19"/>
        <v>High Risk</v>
      </c>
      <c r="R425" s="2">
        <f t="shared" si="20"/>
        <v>2326.0336991976228</v>
      </c>
    </row>
    <row r="426" spans="1:18" s="1" customFormat="1" ht="11.5" x14ac:dyDescent="0.25">
      <c r="A426" s="1" t="s">
        <v>457</v>
      </c>
      <c r="B426" s="1" t="s">
        <v>52</v>
      </c>
      <c r="C426" s="1" t="s">
        <v>22</v>
      </c>
      <c r="D426" s="1" t="s">
        <v>16</v>
      </c>
      <c r="E426" s="1" t="s">
        <v>17</v>
      </c>
      <c r="F426" s="1" t="s">
        <v>22</v>
      </c>
      <c r="G426" s="1">
        <v>3583</v>
      </c>
      <c r="H426" s="1">
        <v>3659</v>
      </c>
      <c r="I426" s="1">
        <v>85</v>
      </c>
      <c r="J426" s="1">
        <v>180</v>
      </c>
      <c r="K426" s="1">
        <v>1</v>
      </c>
      <c r="L426" s="1" t="s">
        <v>30</v>
      </c>
      <c r="M426" s="1">
        <f>Table1[[#This Row],[ApplicantIncome]]+Table1[[#This Row],[CoapplicantIncome]]</f>
        <v>7242</v>
      </c>
      <c r="N426" s="1" t="s">
        <v>26</v>
      </c>
      <c r="O426" s="1" t="str">
        <f>IF(Table1[[#This Row],[Total_Income]]&lt;3000,"Low",IF(Table1[[#This Row],[Total_Income]]&lt;7000,"Medium","High"))</f>
        <v>High</v>
      </c>
      <c r="P426" s="1" t="str">
        <f t="shared" si="18"/>
        <v>Rejected</v>
      </c>
      <c r="Q426" s="1" t="str">
        <f t="shared" si="19"/>
        <v>Low Risk</v>
      </c>
      <c r="R426" s="2">
        <f t="shared" si="20"/>
        <v>812.30427168079871</v>
      </c>
    </row>
    <row r="427" spans="1:18" s="1" customFormat="1" ht="11.5" x14ac:dyDescent="0.25">
      <c r="A427" s="1" t="s">
        <v>458</v>
      </c>
      <c r="B427" s="1" t="s">
        <v>52</v>
      </c>
      <c r="C427" s="1" t="s">
        <v>22</v>
      </c>
      <c r="D427" s="1">
        <v>2</v>
      </c>
      <c r="E427" s="1" t="s">
        <v>25</v>
      </c>
      <c r="F427" s="1" t="s">
        <v>29</v>
      </c>
      <c r="G427" s="1">
        <v>14746</v>
      </c>
      <c r="H427" s="1">
        <v>6743</v>
      </c>
      <c r="I427" s="1">
        <v>227</v>
      </c>
      <c r="J427" s="1">
        <v>180</v>
      </c>
      <c r="K427" s="1">
        <v>1</v>
      </c>
      <c r="L427" s="1" t="s">
        <v>19</v>
      </c>
      <c r="M427" s="1">
        <f>Table1[[#This Row],[ApplicantIncome]]+Table1[[#This Row],[CoapplicantIncome]]</f>
        <v>21489</v>
      </c>
      <c r="N427" s="1" t="s">
        <v>20</v>
      </c>
      <c r="O427" s="1" t="str">
        <f>IF(Table1[[#This Row],[Total_Income]]&lt;3000,"Low",IF(Table1[[#This Row],[Total_Income]]&lt;7000,"Medium","High"))</f>
        <v>High</v>
      </c>
      <c r="P427" s="1" t="str">
        <f t="shared" si="18"/>
        <v>Approved</v>
      </c>
      <c r="Q427" s="1" t="str">
        <f t="shared" si="19"/>
        <v>Low Risk</v>
      </c>
      <c r="R427" s="2">
        <f t="shared" si="20"/>
        <v>2169.3302314298976</v>
      </c>
    </row>
    <row r="428" spans="1:18" s="1" customFormat="1" ht="11.5" x14ac:dyDescent="0.25">
      <c r="A428" s="1" t="s">
        <v>459</v>
      </c>
      <c r="B428" s="1" t="s">
        <v>52</v>
      </c>
      <c r="C428" s="1" t="s">
        <v>22</v>
      </c>
      <c r="D428" s="1">
        <v>0</v>
      </c>
      <c r="E428" s="1" t="s">
        <v>25</v>
      </c>
      <c r="F428" s="1" t="s">
        <v>29</v>
      </c>
      <c r="G428" s="1">
        <v>11387</v>
      </c>
      <c r="H428" s="1">
        <v>7711</v>
      </c>
      <c r="I428" s="1">
        <v>493</v>
      </c>
      <c r="J428" s="1">
        <v>360</v>
      </c>
      <c r="K428" s="1">
        <v>1</v>
      </c>
      <c r="L428" s="1" t="s">
        <v>30</v>
      </c>
      <c r="M428" s="1">
        <f>Table1[[#This Row],[ApplicantIncome]]+Table1[[#This Row],[CoapplicantIncome]]</f>
        <v>19098</v>
      </c>
      <c r="N428" s="1" t="s">
        <v>20</v>
      </c>
      <c r="O428" s="1" t="str">
        <f>IF(Table1[[#This Row],[Total_Income]]&lt;3000,"Low",IF(Table1[[#This Row],[Total_Income]]&lt;7000,"Medium","High"))</f>
        <v>High</v>
      </c>
      <c r="P428" s="1" t="str">
        <f t="shared" si="18"/>
        <v>Approved</v>
      </c>
      <c r="Q428" s="1" t="str">
        <f t="shared" si="19"/>
        <v>Low Risk</v>
      </c>
      <c r="R428" s="2">
        <f t="shared" si="20"/>
        <v>3617.4593492253243</v>
      </c>
    </row>
    <row r="429" spans="1:18" s="1" customFormat="1" ht="11.5" x14ac:dyDescent="0.25">
      <c r="A429" s="1" t="s">
        <v>460</v>
      </c>
      <c r="B429" s="1" t="s">
        <v>52</v>
      </c>
      <c r="C429" s="1" t="s">
        <v>22</v>
      </c>
      <c r="D429" s="1">
        <v>1</v>
      </c>
      <c r="E429" s="1" t="s">
        <v>17</v>
      </c>
      <c r="F429" s="1" t="s">
        <v>22</v>
      </c>
      <c r="G429" s="1">
        <v>4305</v>
      </c>
      <c r="H429" s="1">
        <v>9095</v>
      </c>
      <c r="I429" s="1">
        <v>250</v>
      </c>
      <c r="J429" s="1">
        <v>120</v>
      </c>
      <c r="K429" s="1">
        <v>1</v>
      </c>
      <c r="L429" s="1" t="s">
        <v>30</v>
      </c>
      <c r="M429" s="1">
        <f>Table1[[#This Row],[ApplicantIncome]]+Table1[[#This Row],[CoapplicantIncome]]</f>
        <v>13400</v>
      </c>
      <c r="N429" s="1" t="s">
        <v>20</v>
      </c>
      <c r="O429" s="1" t="str">
        <f>IF(Table1[[#This Row],[Total_Income]]&lt;3000,"Low",IF(Table1[[#This Row],[Total_Income]]&lt;7000,"Medium","High"))</f>
        <v>High</v>
      </c>
      <c r="P429" s="1" t="str">
        <f t="shared" si="18"/>
        <v>Approved</v>
      </c>
      <c r="Q429" s="1" t="str">
        <f t="shared" si="19"/>
        <v>Low Risk</v>
      </c>
      <c r="R429" s="2">
        <f t="shared" si="20"/>
        <v>3033.1898588839231</v>
      </c>
    </row>
    <row r="430" spans="1:18" s="1" customFormat="1" ht="11.5" x14ac:dyDescent="0.25">
      <c r="A430" s="1" t="s">
        <v>461</v>
      </c>
      <c r="B430" s="1" t="s">
        <v>52</v>
      </c>
      <c r="C430" s="1" t="s">
        <v>22</v>
      </c>
      <c r="D430" s="1">
        <v>1</v>
      </c>
      <c r="E430" s="1" t="s">
        <v>25</v>
      </c>
      <c r="F430" s="1" t="s">
        <v>22</v>
      </c>
      <c r="G430" s="1">
        <v>10307</v>
      </c>
      <c r="H430" s="1">
        <v>5884</v>
      </c>
      <c r="I430" s="1">
        <v>191</v>
      </c>
      <c r="J430" s="1">
        <v>360</v>
      </c>
      <c r="K430" s="1">
        <v>0</v>
      </c>
      <c r="L430" s="1" t="s">
        <v>30</v>
      </c>
      <c r="M430" s="1">
        <f>Table1[[#This Row],[ApplicantIncome]]+Table1[[#This Row],[CoapplicantIncome]]</f>
        <v>16191</v>
      </c>
      <c r="N430" s="1" t="s">
        <v>26</v>
      </c>
      <c r="O430" s="1" t="str">
        <f>IF(Table1[[#This Row],[Total_Income]]&lt;3000,"Low",IF(Table1[[#This Row],[Total_Income]]&lt;7000,"Medium","High"))</f>
        <v>High</v>
      </c>
      <c r="P430" s="1" t="str">
        <f t="shared" si="18"/>
        <v>Rejected</v>
      </c>
      <c r="Q430" s="1" t="str">
        <f t="shared" si="19"/>
        <v>High Risk</v>
      </c>
      <c r="R430" s="2">
        <f t="shared" si="20"/>
        <v>1401.4903361096085</v>
      </c>
    </row>
    <row r="431" spans="1:18" s="1" customFormat="1" ht="11.5" x14ac:dyDescent="0.25">
      <c r="A431" s="1" t="s">
        <v>462</v>
      </c>
      <c r="B431" s="1" t="s">
        <v>1238</v>
      </c>
      <c r="C431" s="1" t="s">
        <v>22</v>
      </c>
      <c r="D431" s="1" t="s">
        <v>16</v>
      </c>
      <c r="E431" s="1" t="s">
        <v>17</v>
      </c>
      <c r="F431" s="1" t="s">
        <v>29</v>
      </c>
      <c r="G431" s="1">
        <v>17280</v>
      </c>
      <c r="H431" s="1">
        <v>7448</v>
      </c>
      <c r="I431" s="1">
        <v>634</v>
      </c>
      <c r="J431" s="1">
        <v>120</v>
      </c>
      <c r="K431" s="1">
        <v>0</v>
      </c>
      <c r="L431" s="1" t="s">
        <v>19</v>
      </c>
      <c r="M431" s="1">
        <f>Table1[[#This Row],[ApplicantIncome]]+Table1[[#This Row],[CoapplicantIncome]]</f>
        <v>24728</v>
      </c>
      <c r="N431" s="1" t="s">
        <v>20</v>
      </c>
      <c r="O431" s="1" t="str">
        <f>IF(Table1[[#This Row],[Total_Income]]&lt;3000,"Low",IF(Table1[[#This Row],[Total_Income]]&lt;7000,"Medium","High"))</f>
        <v>High</v>
      </c>
      <c r="P431" s="1" t="str">
        <f t="shared" si="18"/>
        <v>Approved</v>
      </c>
      <c r="Q431" s="1" t="str">
        <f t="shared" si="19"/>
        <v>High Risk</v>
      </c>
      <c r="R431" s="2">
        <f t="shared" si="20"/>
        <v>7692.1694821296296</v>
      </c>
    </row>
    <row r="432" spans="1:18" s="1" customFormat="1" ht="11.5" x14ac:dyDescent="0.25">
      <c r="A432" s="1" t="s">
        <v>463</v>
      </c>
      <c r="B432" s="1" t="s">
        <v>52</v>
      </c>
      <c r="C432" s="1" t="s">
        <v>22</v>
      </c>
      <c r="D432" s="1">
        <v>0</v>
      </c>
      <c r="E432" s="1" t="s">
        <v>25</v>
      </c>
      <c r="F432" s="1" t="s">
        <v>29</v>
      </c>
      <c r="G432" s="1">
        <v>19886</v>
      </c>
      <c r="H432" s="1">
        <v>184</v>
      </c>
      <c r="I432" s="1">
        <v>204</v>
      </c>
      <c r="J432" s="1">
        <v>120</v>
      </c>
      <c r="K432" s="1">
        <v>0</v>
      </c>
      <c r="L432" s="1" t="s">
        <v>30</v>
      </c>
      <c r="M432" s="1">
        <f>Table1[[#This Row],[ApplicantIncome]]+Table1[[#This Row],[CoapplicantIncome]]</f>
        <v>20070</v>
      </c>
      <c r="N432" s="1" t="s">
        <v>26</v>
      </c>
      <c r="O432" s="1" t="str">
        <f>IF(Table1[[#This Row],[Total_Income]]&lt;3000,"Low",IF(Table1[[#This Row],[Total_Income]]&lt;7000,"Medium","High"))</f>
        <v>High</v>
      </c>
      <c r="P432" s="1" t="str">
        <f t="shared" si="18"/>
        <v>Rejected</v>
      </c>
      <c r="Q432" s="1" t="str">
        <f t="shared" si="19"/>
        <v>High Risk</v>
      </c>
      <c r="R432" s="2">
        <f t="shared" si="20"/>
        <v>2475.0829248492814</v>
      </c>
    </row>
    <row r="433" spans="1:18" s="1" customFormat="1" ht="11.5" x14ac:dyDescent="0.25">
      <c r="A433" s="1" t="s">
        <v>464</v>
      </c>
      <c r="B433" s="1" t="s">
        <v>28</v>
      </c>
      <c r="C433" s="1" t="s">
        <v>22</v>
      </c>
      <c r="D433" s="1">
        <v>0</v>
      </c>
      <c r="E433" s="1" t="s">
        <v>25</v>
      </c>
      <c r="F433" s="1" t="s">
        <v>22</v>
      </c>
      <c r="G433" s="1">
        <v>16129</v>
      </c>
      <c r="H433" s="1">
        <v>4582</v>
      </c>
      <c r="I433" s="1">
        <v>256</v>
      </c>
      <c r="J433" s="1">
        <v>360</v>
      </c>
      <c r="K433" s="1">
        <v>0</v>
      </c>
      <c r="L433" s="1" t="s">
        <v>19</v>
      </c>
      <c r="M433" s="1">
        <f>Table1[[#This Row],[ApplicantIncome]]+Table1[[#This Row],[CoapplicantIncome]]</f>
        <v>20711</v>
      </c>
      <c r="N433" s="1" t="s">
        <v>26</v>
      </c>
      <c r="O433" s="1" t="str">
        <f>IF(Table1[[#This Row],[Total_Income]]&lt;3000,"Low",IF(Table1[[#This Row],[Total_Income]]&lt;7000,"Medium","High"))</f>
        <v>High</v>
      </c>
      <c r="P433" s="1" t="str">
        <f t="shared" si="18"/>
        <v>Rejected</v>
      </c>
      <c r="Q433" s="1" t="str">
        <f t="shared" si="19"/>
        <v>High Risk</v>
      </c>
      <c r="R433" s="2">
        <f t="shared" si="20"/>
        <v>1878.4373091312029</v>
      </c>
    </row>
    <row r="434" spans="1:18" s="1" customFormat="1" ht="11.5" x14ac:dyDescent="0.25">
      <c r="A434" s="1" t="s">
        <v>465</v>
      </c>
      <c r="B434" s="1" t="s">
        <v>52</v>
      </c>
      <c r="C434" s="1" t="s">
        <v>22</v>
      </c>
      <c r="D434" s="1">
        <v>1</v>
      </c>
      <c r="E434" s="1" t="s">
        <v>17</v>
      </c>
      <c r="F434" s="1" t="s">
        <v>22</v>
      </c>
      <c r="G434" s="1">
        <v>9160</v>
      </c>
      <c r="H434" s="1">
        <v>7097</v>
      </c>
      <c r="I434" s="1">
        <v>602</v>
      </c>
      <c r="J434" s="1">
        <v>360</v>
      </c>
      <c r="K434" s="1">
        <v>1</v>
      </c>
      <c r="L434" s="1" t="s">
        <v>30</v>
      </c>
      <c r="M434" s="1">
        <f>Table1[[#This Row],[ApplicantIncome]]+Table1[[#This Row],[CoapplicantIncome]]</f>
        <v>16257</v>
      </c>
      <c r="N434" s="1" t="s">
        <v>20</v>
      </c>
      <c r="O434" s="1" t="str">
        <f>IF(Table1[[#This Row],[Total_Income]]&lt;3000,"Low",IF(Table1[[#This Row],[Total_Income]]&lt;7000,"Medium","High"))</f>
        <v>High</v>
      </c>
      <c r="P434" s="1" t="str">
        <f t="shared" si="18"/>
        <v>Approved</v>
      </c>
      <c r="Q434" s="1" t="str">
        <f t="shared" si="19"/>
        <v>Low Risk</v>
      </c>
      <c r="R434" s="2">
        <f t="shared" si="20"/>
        <v>4417.2627347538446</v>
      </c>
    </row>
    <row r="435" spans="1:18" s="1" customFormat="1" ht="11.5" x14ac:dyDescent="0.25">
      <c r="A435" s="1" t="s">
        <v>466</v>
      </c>
      <c r="B435" s="1" t="s">
        <v>28</v>
      </c>
      <c r="C435" s="1" t="s">
        <v>22</v>
      </c>
      <c r="D435" s="1">
        <v>1</v>
      </c>
      <c r="E435" s="1" t="s">
        <v>25</v>
      </c>
      <c r="F435" s="1" t="s">
        <v>29</v>
      </c>
      <c r="G435" s="1">
        <v>8777</v>
      </c>
      <c r="H435" s="1">
        <v>7857</v>
      </c>
      <c r="I435" s="1">
        <v>333</v>
      </c>
      <c r="J435" s="1">
        <v>360</v>
      </c>
      <c r="K435" s="1">
        <v>0</v>
      </c>
      <c r="L435" s="1" t="s">
        <v>19</v>
      </c>
      <c r="M435" s="1">
        <f>Table1[[#This Row],[ApplicantIncome]]+Table1[[#This Row],[CoapplicantIncome]]</f>
        <v>16634</v>
      </c>
      <c r="N435" s="1" t="s">
        <v>26</v>
      </c>
      <c r="O435" s="1" t="str">
        <f>IF(Table1[[#This Row],[Total_Income]]&lt;3000,"Low",IF(Table1[[#This Row],[Total_Income]]&lt;7000,"Medium","High"))</f>
        <v>High</v>
      </c>
      <c r="P435" s="1" t="str">
        <f t="shared" si="18"/>
        <v>Rejected</v>
      </c>
      <c r="Q435" s="1" t="str">
        <f t="shared" si="19"/>
        <v>High Risk</v>
      </c>
      <c r="R435" s="2">
        <f t="shared" si="20"/>
        <v>2443.4360310183229</v>
      </c>
    </row>
    <row r="436" spans="1:18" s="1" customFormat="1" ht="11.5" x14ac:dyDescent="0.25">
      <c r="A436" s="1" t="s">
        <v>467</v>
      </c>
      <c r="B436" s="1" t="s">
        <v>52</v>
      </c>
      <c r="C436" s="1" t="s">
        <v>22</v>
      </c>
      <c r="D436" s="1">
        <v>1</v>
      </c>
      <c r="E436" s="1" t="s">
        <v>17</v>
      </c>
      <c r="F436" s="1" t="s">
        <v>22</v>
      </c>
      <c r="G436" s="1">
        <v>9819</v>
      </c>
      <c r="H436" s="1">
        <v>3470</v>
      </c>
      <c r="I436" s="1">
        <v>85</v>
      </c>
      <c r="J436" s="1">
        <v>360</v>
      </c>
      <c r="K436" s="1">
        <v>0</v>
      </c>
      <c r="L436" s="1" t="s">
        <v>19</v>
      </c>
      <c r="M436" s="1">
        <f>Table1[[#This Row],[ApplicantIncome]]+Table1[[#This Row],[CoapplicantIncome]]</f>
        <v>13289</v>
      </c>
      <c r="N436" s="1" t="s">
        <v>26</v>
      </c>
      <c r="O436" s="1" t="str">
        <f>IF(Table1[[#This Row],[Total_Income]]&lt;3000,"Low",IF(Table1[[#This Row],[Total_Income]]&lt;7000,"Medium","High"))</f>
        <v>High</v>
      </c>
      <c r="P436" s="1" t="str">
        <f t="shared" si="18"/>
        <v>Rejected</v>
      </c>
      <c r="Q436" s="1" t="str">
        <f t="shared" si="19"/>
        <v>High Risk</v>
      </c>
      <c r="R436" s="2">
        <f t="shared" si="20"/>
        <v>623.69988779746984</v>
      </c>
    </row>
    <row r="437" spans="1:18" s="1" customFormat="1" ht="11.5" x14ac:dyDescent="0.25">
      <c r="A437" s="1" t="s">
        <v>468</v>
      </c>
      <c r="B437" s="1" t="s">
        <v>28</v>
      </c>
      <c r="C437" s="1" t="s">
        <v>22</v>
      </c>
      <c r="D437" s="1">
        <v>1</v>
      </c>
      <c r="E437" s="1" t="s">
        <v>25</v>
      </c>
      <c r="F437" s="1" t="s">
        <v>22</v>
      </c>
      <c r="G437" s="1">
        <v>7431</v>
      </c>
      <c r="H437" s="1">
        <v>9770</v>
      </c>
      <c r="I437" s="1">
        <v>175</v>
      </c>
      <c r="J437" s="1">
        <v>360</v>
      </c>
      <c r="K437" s="1">
        <v>0</v>
      </c>
      <c r="L437" s="1" t="s">
        <v>41</v>
      </c>
      <c r="M437" s="1">
        <f>Table1[[#This Row],[ApplicantIncome]]+Table1[[#This Row],[CoapplicantIncome]]</f>
        <v>17201</v>
      </c>
      <c r="N437" s="1" t="s">
        <v>26</v>
      </c>
      <c r="O437" s="1" t="str">
        <f>IF(Table1[[#This Row],[Total_Income]]&lt;3000,"Low",IF(Table1[[#This Row],[Total_Income]]&lt;7000,"Medium","High"))</f>
        <v>High</v>
      </c>
      <c r="P437" s="1" t="str">
        <f t="shared" si="18"/>
        <v>Rejected</v>
      </c>
      <c r="Q437" s="1" t="str">
        <f t="shared" si="19"/>
        <v>High Risk</v>
      </c>
      <c r="R437" s="2">
        <f t="shared" si="20"/>
        <v>1284.0880042889082</v>
      </c>
    </row>
    <row r="438" spans="1:18" s="1" customFormat="1" ht="11.5" x14ac:dyDescent="0.25">
      <c r="A438" s="1" t="s">
        <v>469</v>
      </c>
      <c r="B438" s="1" t="s">
        <v>1238</v>
      </c>
      <c r="C438" s="1" t="s">
        <v>22</v>
      </c>
      <c r="D438" s="1">
        <v>2</v>
      </c>
      <c r="E438" s="1" t="s">
        <v>25</v>
      </c>
      <c r="F438" s="1" t="s">
        <v>22</v>
      </c>
      <c r="G438" s="1">
        <v>10040</v>
      </c>
      <c r="H438" s="1">
        <v>6439</v>
      </c>
      <c r="I438" s="1">
        <v>460</v>
      </c>
      <c r="J438" s="1">
        <v>180</v>
      </c>
      <c r="K438" s="1">
        <v>0</v>
      </c>
      <c r="L438" s="1" t="s">
        <v>30</v>
      </c>
      <c r="M438" s="1">
        <f>Table1[[#This Row],[ApplicantIncome]]+Table1[[#This Row],[CoapplicantIncome]]</f>
        <v>16479</v>
      </c>
      <c r="N438" s="1" t="s">
        <v>26</v>
      </c>
      <c r="O438" s="1" t="str">
        <f>IF(Table1[[#This Row],[Total_Income]]&lt;3000,"Low",IF(Table1[[#This Row],[Total_Income]]&lt;7000,"Medium","High"))</f>
        <v>High</v>
      </c>
      <c r="P438" s="1" t="str">
        <f t="shared" si="18"/>
        <v>Rejected</v>
      </c>
      <c r="Q438" s="1" t="str">
        <f t="shared" si="19"/>
        <v>High Risk</v>
      </c>
      <c r="R438" s="2">
        <f t="shared" si="20"/>
        <v>4395.9995879196167</v>
      </c>
    </row>
    <row r="439" spans="1:18" s="1" customFormat="1" ht="11.5" x14ac:dyDescent="0.25">
      <c r="A439" s="1" t="s">
        <v>470</v>
      </c>
      <c r="B439" s="1" t="s">
        <v>1238</v>
      </c>
      <c r="C439" s="1" t="s">
        <v>22</v>
      </c>
      <c r="D439" s="1" t="s">
        <v>16</v>
      </c>
      <c r="E439" s="1" t="s">
        <v>17</v>
      </c>
      <c r="F439" s="1" t="s">
        <v>22</v>
      </c>
      <c r="G439" s="1">
        <v>9550</v>
      </c>
      <c r="H439" s="1">
        <v>5106</v>
      </c>
      <c r="I439" s="1">
        <v>244</v>
      </c>
      <c r="J439" s="1">
        <v>120</v>
      </c>
      <c r="K439" s="1">
        <v>0</v>
      </c>
      <c r="L439" s="1" t="s">
        <v>41</v>
      </c>
      <c r="M439" s="1">
        <f>Table1[[#This Row],[ApplicantIncome]]+Table1[[#This Row],[CoapplicantIncome]]</f>
        <v>14656</v>
      </c>
      <c r="N439" s="1" t="s">
        <v>20</v>
      </c>
      <c r="O439" s="1" t="str">
        <f>IF(Table1[[#This Row],[Total_Income]]&lt;3000,"Low",IF(Table1[[#This Row],[Total_Income]]&lt;7000,"Medium","High"))</f>
        <v>High</v>
      </c>
      <c r="P439" s="1" t="str">
        <f t="shared" si="18"/>
        <v>Approved</v>
      </c>
      <c r="Q439" s="1" t="str">
        <f t="shared" si="19"/>
        <v>High Risk</v>
      </c>
      <c r="R439" s="2">
        <f t="shared" si="20"/>
        <v>2960.3933022707088</v>
      </c>
    </row>
    <row r="440" spans="1:18" s="1" customFormat="1" ht="11.5" x14ac:dyDescent="0.25">
      <c r="A440" s="1" t="s">
        <v>471</v>
      </c>
      <c r="B440" s="1" t="s">
        <v>1238</v>
      </c>
      <c r="C440" s="1" t="s">
        <v>22</v>
      </c>
      <c r="D440" s="1">
        <v>0</v>
      </c>
      <c r="E440" s="1" t="s">
        <v>25</v>
      </c>
      <c r="F440" s="1" t="s">
        <v>22</v>
      </c>
      <c r="G440" s="1">
        <v>6255</v>
      </c>
      <c r="H440" s="1">
        <v>2258</v>
      </c>
      <c r="I440" s="1">
        <v>87</v>
      </c>
      <c r="J440" s="1">
        <v>360</v>
      </c>
      <c r="K440" s="1">
        <v>0</v>
      </c>
      <c r="L440" s="1" t="s">
        <v>41</v>
      </c>
      <c r="M440" s="1">
        <f>Table1[[#This Row],[ApplicantIncome]]+Table1[[#This Row],[CoapplicantIncome]]</f>
        <v>8513</v>
      </c>
      <c r="N440" s="1" t="s">
        <v>20</v>
      </c>
      <c r="O440" s="1" t="str">
        <f>IF(Table1[[#This Row],[Total_Income]]&lt;3000,"Low",IF(Table1[[#This Row],[Total_Income]]&lt;7000,"Medium","High"))</f>
        <v>High</v>
      </c>
      <c r="P440" s="1" t="str">
        <f t="shared" si="18"/>
        <v>Approved</v>
      </c>
      <c r="Q440" s="1" t="str">
        <f t="shared" si="19"/>
        <v>High Risk</v>
      </c>
      <c r="R440" s="2">
        <f t="shared" si="20"/>
        <v>638.37517927505735</v>
      </c>
    </row>
    <row r="441" spans="1:18" s="1" customFormat="1" ht="11.5" x14ac:dyDescent="0.25">
      <c r="A441" s="1" t="s">
        <v>472</v>
      </c>
      <c r="B441" s="1" t="s">
        <v>1238</v>
      </c>
      <c r="C441" s="1" t="s">
        <v>29</v>
      </c>
      <c r="D441" s="1">
        <v>1</v>
      </c>
      <c r="E441" s="1" t="s">
        <v>25</v>
      </c>
      <c r="F441" s="1" t="s">
        <v>22</v>
      </c>
      <c r="G441" s="1">
        <v>11223</v>
      </c>
      <c r="H441" s="1">
        <v>9144</v>
      </c>
      <c r="I441" s="1">
        <v>436</v>
      </c>
      <c r="J441" s="1">
        <v>120</v>
      </c>
      <c r="K441" s="1">
        <v>1</v>
      </c>
      <c r="L441" s="1" t="s">
        <v>30</v>
      </c>
      <c r="M441" s="1">
        <f>Table1[[#This Row],[ApplicantIncome]]+Table1[[#This Row],[CoapplicantIncome]]</f>
        <v>20367</v>
      </c>
      <c r="N441" s="1" t="s">
        <v>26</v>
      </c>
      <c r="O441" s="1" t="str">
        <f>IF(Table1[[#This Row],[Total_Income]]&lt;3000,"Low",IF(Table1[[#This Row],[Total_Income]]&lt;7000,"Medium","High"))</f>
        <v>High</v>
      </c>
      <c r="P441" s="1" t="str">
        <f t="shared" si="18"/>
        <v>Rejected</v>
      </c>
      <c r="Q441" s="1" t="str">
        <f t="shared" si="19"/>
        <v>Low Risk</v>
      </c>
      <c r="R441" s="2">
        <f t="shared" si="20"/>
        <v>5289.883113893562</v>
      </c>
    </row>
    <row r="442" spans="1:18" s="1" customFormat="1" ht="11.5" x14ac:dyDescent="0.25">
      <c r="A442" s="1" t="s">
        <v>473</v>
      </c>
      <c r="B442" s="1" t="s">
        <v>28</v>
      </c>
      <c r="C442" s="1" t="s">
        <v>22</v>
      </c>
      <c r="D442" s="1" t="s">
        <v>16</v>
      </c>
      <c r="E442" s="1" t="s">
        <v>25</v>
      </c>
      <c r="F442" s="1" t="s">
        <v>22</v>
      </c>
      <c r="G442" s="1">
        <v>8610</v>
      </c>
      <c r="H442" s="1">
        <v>4690</v>
      </c>
      <c r="I442" s="1">
        <v>238</v>
      </c>
      <c r="J442" s="1">
        <v>360</v>
      </c>
      <c r="K442" s="1">
        <v>0</v>
      </c>
      <c r="L442" s="1" t="s">
        <v>30</v>
      </c>
      <c r="M442" s="1">
        <f>Table1[[#This Row],[ApplicantIncome]]+Table1[[#This Row],[CoapplicantIncome]]</f>
        <v>13300</v>
      </c>
      <c r="N442" s="1" t="s">
        <v>26</v>
      </c>
      <c r="O442" s="1" t="str">
        <f>IF(Table1[[#This Row],[Total_Income]]&lt;3000,"Low",IF(Table1[[#This Row],[Total_Income]]&lt;7000,"Medium","High"))</f>
        <v>High</v>
      </c>
      <c r="P442" s="1" t="str">
        <f t="shared" si="18"/>
        <v>Rejected</v>
      </c>
      <c r="Q442" s="1" t="str">
        <f t="shared" si="19"/>
        <v>High Risk</v>
      </c>
      <c r="R442" s="2">
        <f t="shared" si="20"/>
        <v>1746.3596858329154</v>
      </c>
    </row>
    <row r="443" spans="1:18" s="1" customFormat="1" ht="11.5" x14ac:dyDescent="0.25">
      <c r="A443" s="1" t="s">
        <v>474</v>
      </c>
      <c r="B443" s="1" t="s">
        <v>28</v>
      </c>
      <c r="C443" s="1" t="s">
        <v>22</v>
      </c>
      <c r="D443" s="1" t="s">
        <v>16</v>
      </c>
      <c r="E443" s="1" t="s">
        <v>17</v>
      </c>
      <c r="F443" s="1" t="s">
        <v>22</v>
      </c>
      <c r="G443" s="1">
        <v>14806</v>
      </c>
      <c r="H443" s="1">
        <v>3589</v>
      </c>
      <c r="I443" s="1">
        <v>318</v>
      </c>
      <c r="J443" s="1">
        <v>120</v>
      </c>
      <c r="K443" s="1">
        <v>1</v>
      </c>
      <c r="L443" s="1" t="s">
        <v>30</v>
      </c>
      <c r="M443" s="1">
        <f>Table1[[#This Row],[ApplicantIncome]]+Table1[[#This Row],[CoapplicantIncome]]</f>
        <v>18395</v>
      </c>
      <c r="N443" s="1" t="s">
        <v>26</v>
      </c>
      <c r="O443" s="1" t="str">
        <f>IF(Table1[[#This Row],[Total_Income]]&lt;3000,"Low",IF(Table1[[#This Row],[Total_Income]]&lt;7000,"Medium","High"))</f>
        <v>High</v>
      </c>
      <c r="P443" s="1" t="str">
        <f t="shared" si="18"/>
        <v>Rejected</v>
      </c>
      <c r="Q443" s="1" t="str">
        <f t="shared" si="19"/>
        <v>Low Risk</v>
      </c>
      <c r="R443" s="2">
        <f t="shared" si="20"/>
        <v>3858.2175005003501</v>
      </c>
    </row>
    <row r="444" spans="1:18" s="1" customFormat="1" ht="11.5" x14ac:dyDescent="0.25">
      <c r="A444" s="1" t="s">
        <v>475</v>
      </c>
      <c r="B444" s="1" t="s">
        <v>52</v>
      </c>
      <c r="C444" s="1" t="s">
        <v>29</v>
      </c>
      <c r="D444" s="1">
        <v>1</v>
      </c>
      <c r="E444" s="1" t="s">
        <v>25</v>
      </c>
      <c r="F444" s="1" t="s">
        <v>29</v>
      </c>
      <c r="G444" s="1">
        <v>10218</v>
      </c>
      <c r="H444" s="1">
        <v>7090</v>
      </c>
      <c r="I444" s="1">
        <v>93</v>
      </c>
      <c r="J444" s="1">
        <v>120</v>
      </c>
      <c r="K444" s="1">
        <v>0</v>
      </c>
      <c r="L444" s="1" t="s">
        <v>41</v>
      </c>
      <c r="M444" s="1">
        <f>Table1[[#This Row],[ApplicantIncome]]+Table1[[#This Row],[CoapplicantIncome]]</f>
        <v>17308</v>
      </c>
      <c r="N444" s="1" t="s">
        <v>26</v>
      </c>
      <c r="O444" s="1" t="str">
        <f>IF(Table1[[#This Row],[Total_Income]]&lt;3000,"Low",IF(Table1[[#This Row],[Total_Income]]&lt;7000,"Medium","High"))</f>
        <v>High</v>
      </c>
      <c r="P444" s="1" t="str">
        <f t="shared" si="18"/>
        <v>Rejected</v>
      </c>
      <c r="Q444" s="1" t="str">
        <f t="shared" si="19"/>
        <v>High Risk</v>
      </c>
      <c r="R444" s="2">
        <f t="shared" si="20"/>
        <v>1128.3466275048195</v>
      </c>
    </row>
    <row r="445" spans="1:18" s="1" customFormat="1" ht="11.5" x14ac:dyDescent="0.25">
      <c r="A445" s="1" t="s">
        <v>476</v>
      </c>
      <c r="B445" s="1" t="s">
        <v>52</v>
      </c>
      <c r="C445" s="1" t="s">
        <v>22</v>
      </c>
      <c r="D445" s="1">
        <v>2</v>
      </c>
      <c r="E445" s="1" t="s">
        <v>25</v>
      </c>
      <c r="F445" s="1" t="s">
        <v>22</v>
      </c>
      <c r="G445" s="1">
        <v>16211</v>
      </c>
      <c r="H445" s="1">
        <v>6065</v>
      </c>
      <c r="I445" s="1">
        <v>252</v>
      </c>
      <c r="J445" s="1">
        <v>120</v>
      </c>
      <c r="K445" s="1">
        <v>0</v>
      </c>
      <c r="L445" s="1" t="s">
        <v>30</v>
      </c>
      <c r="M445" s="1">
        <f>Table1[[#This Row],[ApplicantIncome]]+Table1[[#This Row],[CoapplicantIncome]]</f>
        <v>22276</v>
      </c>
      <c r="N445" s="1" t="s">
        <v>20</v>
      </c>
      <c r="O445" s="1" t="str">
        <f>IF(Table1[[#This Row],[Total_Income]]&lt;3000,"Low",IF(Table1[[#This Row],[Total_Income]]&lt;7000,"Medium","High"))</f>
        <v>High</v>
      </c>
      <c r="P445" s="1" t="str">
        <f t="shared" si="18"/>
        <v>Approved</v>
      </c>
      <c r="Q445" s="1" t="str">
        <f t="shared" si="19"/>
        <v>High Risk</v>
      </c>
      <c r="R445" s="2">
        <f t="shared" si="20"/>
        <v>3057.4553777549945</v>
      </c>
    </row>
    <row r="446" spans="1:18" s="1" customFormat="1" ht="11.5" x14ac:dyDescent="0.25">
      <c r="A446" s="1" t="s">
        <v>477</v>
      </c>
      <c r="B446" s="1" t="s">
        <v>1238</v>
      </c>
      <c r="C446" s="1" t="s">
        <v>22</v>
      </c>
      <c r="D446" s="1">
        <v>1</v>
      </c>
      <c r="E446" s="1" t="s">
        <v>25</v>
      </c>
      <c r="F446" s="1" t="s">
        <v>22</v>
      </c>
      <c r="G446" s="1">
        <v>17524</v>
      </c>
      <c r="H446" s="1">
        <v>1724</v>
      </c>
      <c r="I446" s="1">
        <v>267</v>
      </c>
      <c r="J446" s="1">
        <v>360</v>
      </c>
      <c r="K446" s="1">
        <v>0</v>
      </c>
      <c r="L446" s="1" t="s">
        <v>19</v>
      </c>
      <c r="M446" s="1">
        <f>Table1[[#This Row],[ApplicantIncome]]+Table1[[#This Row],[CoapplicantIncome]]</f>
        <v>19248</v>
      </c>
      <c r="N446" s="1" t="s">
        <v>26</v>
      </c>
      <c r="O446" s="1" t="str">
        <f>IF(Table1[[#This Row],[Total_Income]]&lt;3000,"Low",IF(Table1[[#This Row],[Total_Income]]&lt;7000,"Medium","High"))</f>
        <v>High</v>
      </c>
      <c r="P446" s="1" t="str">
        <f t="shared" si="18"/>
        <v>Rejected</v>
      </c>
      <c r="Q446" s="1" t="str">
        <f t="shared" si="19"/>
        <v>High Risk</v>
      </c>
      <c r="R446" s="2">
        <f t="shared" si="20"/>
        <v>1959.1514122579345</v>
      </c>
    </row>
    <row r="447" spans="1:18" s="1" customFormat="1" ht="11.5" x14ac:dyDescent="0.25">
      <c r="A447" s="1" t="s">
        <v>478</v>
      </c>
      <c r="B447" s="1" t="s">
        <v>52</v>
      </c>
      <c r="C447" s="1" t="s">
        <v>29</v>
      </c>
      <c r="D447" s="1">
        <v>2</v>
      </c>
      <c r="E447" s="1" t="s">
        <v>25</v>
      </c>
      <c r="F447" s="1" t="s">
        <v>22</v>
      </c>
      <c r="G447" s="1">
        <v>10584</v>
      </c>
      <c r="H447" s="1">
        <v>8381</v>
      </c>
      <c r="I447" s="1">
        <v>176</v>
      </c>
      <c r="J447" s="1">
        <v>180</v>
      </c>
      <c r="K447" s="1">
        <v>0</v>
      </c>
      <c r="L447" s="1" t="s">
        <v>30</v>
      </c>
      <c r="M447" s="1">
        <f>Table1[[#This Row],[ApplicantIncome]]+Table1[[#This Row],[CoapplicantIncome]]</f>
        <v>18965</v>
      </c>
      <c r="N447" s="1" t="s">
        <v>26</v>
      </c>
      <c r="O447" s="1" t="str">
        <f>IF(Table1[[#This Row],[Total_Income]]&lt;3000,"Low",IF(Table1[[#This Row],[Total_Income]]&lt;7000,"Medium","High"))</f>
        <v>High</v>
      </c>
      <c r="P447" s="1" t="str">
        <f t="shared" si="18"/>
        <v>Rejected</v>
      </c>
      <c r="Q447" s="1" t="str">
        <f t="shared" si="19"/>
        <v>High Risk</v>
      </c>
      <c r="R447" s="2">
        <f t="shared" si="20"/>
        <v>1681.9476684214185</v>
      </c>
    </row>
    <row r="448" spans="1:18" s="1" customFormat="1" ht="11.5" x14ac:dyDescent="0.25">
      <c r="A448" s="1" t="s">
        <v>479</v>
      </c>
      <c r="B448" s="1" t="s">
        <v>1238</v>
      </c>
      <c r="C448" s="1" t="s">
        <v>29</v>
      </c>
      <c r="D448" s="1">
        <v>2</v>
      </c>
      <c r="E448" s="1" t="s">
        <v>25</v>
      </c>
      <c r="F448" s="1" t="s">
        <v>29</v>
      </c>
      <c r="G448" s="1">
        <v>6997</v>
      </c>
      <c r="H448" s="1">
        <v>5823</v>
      </c>
      <c r="I448" s="1">
        <v>58</v>
      </c>
      <c r="J448" s="1">
        <v>120</v>
      </c>
      <c r="K448" s="1">
        <v>0</v>
      </c>
      <c r="L448" s="1" t="s">
        <v>41</v>
      </c>
      <c r="M448" s="1">
        <f>Table1[[#This Row],[ApplicantIncome]]+Table1[[#This Row],[CoapplicantIncome]]</f>
        <v>12820</v>
      </c>
      <c r="N448" s="1" t="s">
        <v>20</v>
      </c>
      <c r="O448" s="1" t="str">
        <f>IF(Table1[[#This Row],[Total_Income]]&lt;3000,"Low",IF(Table1[[#This Row],[Total_Income]]&lt;7000,"Medium","High"))</f>
        <v>High</v>
      </c>
      <c r="P448" s="1" t="str">
        <f t="shared" si="18"/>
        <v>Approved</v>
      </c>
      <c r="Q448" s="1" t="str">
        <f t="shared" si="19"/>
        <v>High Risk</v>
      </c>
      <c r="R448" s="2">
        <f t="shared" si="20"/>
        <v>703.70004726107015</v>
      </c>
    </row>
    <row r="449" spans="1:18" s="1" customFormat="1" ht="11.5" x14ac:dyDescent="0.25">
      <c r="A449" s="1" t="s">
        <v>480</v>
      </c>
      <c r="B449" s="1" t="s">
        <v>1238</v>
      </c>
      <c r="C449" s="1" t="s">
        <v>22</v>
      </c>
      <c r="D449" s="1" t="s">
        <v>16</v>
      </c>
      <c r="E449" s="1" t="s">
        <v>17</v>
      </c>
      <c r="F449" s="1" t="s">
        <v>22</v>
      </c>
      <c r="G449" s="1">
        <v>18941</v>
      </c>
      <c r="H449" s="1">
        <v>2589</v>
      </c>
      <c r="I449" s="1">
        <v>523</v>
      </c>
      <c r="J449" s="1">
        <v>120</v>
      </c>
      <c r="K449" s="1">
        <v>0</v>
      </c>
      <c r="L449" s="1" t="s">
        <v>19</v>
      </c>
      <c r="M449" s="1">
        <f>Table1[[#This Row],[ApplicantIncome]]+Table1[[#This Row],[CoapplicantIncome]]</f>
        <v>21530</v>
      </c>
      <c r="N449" s="1" t="s">
        <v>26</v>
      </c>
      <c r="O449" s="1" t="str">
        <f>IF(Table1[[#This Row],[Total_Income]]&lt;3000,"Low",IF(Table1[[#This Row],[Total_Income]]&lt;7000,"Medium","High"))</f>
        <v>High</v>
      </c>
      <c r="P449" s="1" t="str">
        <f t="shared" si="18"/>
        <v>Rejected</v>
      </c>
      <c r="Q449" s="1" t="str">
        <f t="shared" si="19"/>
        <v>High Risk</v>
      </c>
      <c r="R449" s="2">
        <f t="shared" si="20"/>
        <v>6345.4331847851672</v>
      </c>
    </row>
    <row r="450" spans="1:18" s="1" customFormat="1" ht="11.5" x14ac:dyDescent="0.25">
      <c r="A450" s="1" t="s">
        <v>481</v>
      </c>
      <c r="B450" s="1" t="s">
        <v>1238</v>
      </c>
      <c r="C450" s="1" t="s">
        <v>29</v>
      </c>
      <c r="D450" s="1">
        <v>0</v>
      </c>
      <c r="E450" s="1" t="s">
        <v>17</v>
      </c>
      <c r="F450" s="1" t="s">
        <v>22</v>
      </c>
      <c r="G450" s="1">
        <v>13701</v>
      </c>
      <c r="H450" s="1">
        <v>205</v>
      </c>
      <c r="I450" s="1">
        <v>457</v>
      </c>
      <c r="J450" s="1">
        <v>360</v>
      </c>
      <c r="K450" s="1">
        <v>1</v>
      </c>
      <c r="L450" s="1" t="s">
        <v>19</v>
      </c>
      <c r="M450" s="1">
        <f>Table1[[#This Row],[ApplicantIncome]]+Table1[[#This Row],[CoapplicantIncome]]</f>
        <v>13906</v>
      </c>
      <c r="N450" s="1" t="s">
        <v>20</v>
      </c>
      <c r="O450" s="1" t="str">
        <f>IF(Table1[[#This Row],[Total_Income]]&lt;3000,"Low",IF(Table1[[#This Row],[Total_Income]]&lt;7000,"Medium","High"))</f>
        <v>High</v>
      </c>
      <c r="P450" s="1" t="str">
        <f t="shared" ref="P450:P513" si="21">IF(N450="Y","Approved","Rejected")</f>
        <v>Approved</v>
      </c>
      <c r="Q450" s="1" t="str">
        <f t="shared" ref="Q450:Q513" si="22">IF(K450=1,"Low Risk","High Risk")</f>
        <v>Low Risk</v>
      </c>
      <c r="R450" s="2">
        <f t="shared" ref="R450:R513" si="23">-PMT(8%/12,J450,I450*1000)</f>
        <v>3353.3041026287492</v>
      </c>
    </row>
    <row r="451" spans="1:18" s="1" customFormat="1" ht="11.5" x14ac:dyDescent="0.25">
      <c r="A451" s="1" t="s">
        <v>482</v>
      </c>
      <c r="B451" s="1" t="s">
        <v>1238</v>
      </c>
      <c r="C451" s="1" t="s">
        <v>22</v>
      </c>
      <c r="D451" s="1" t="s">
        <v>16</v>
      </c>
      <c r="E451" s="1" t="s">
        <v>25</v>
      </c>
      <c r="F451" s="1" t="s">
        <v>22</v>
      </c>
      <c r="G451" s="1">
        <v>9550</v>
      </c>
      <c r="H451" s="1">
        <v>3407</v>
      </c>
      <c r="I451" s="1">
        <v>337</v>
      </c>
      <c r="J451" s="1">
        <v>180</v>
      </c>
      <c r="K451" s="1">
        <v>0</v>
      </c>
      <c r="L451" s="1" t="s">
        <v>41</v>
      </c>
      <c r="M451" s="1">
        <f>Table1[[#This Row],[ApplicantIncome]]+Table1[[#This Row],[CoapplicantIncome]]</f>
        <v>12957</v>
      </c>
      <c r="N451" s="1" t="s">
        <v>20</v>
      </c>
      <c r="O451" s="1" t="str">
        <f>IF(Table1[[#This Row],[Total_Income]]&lt;3000,"Low",IF(Table1[[#This Row],[Total_Income]]&lt;7000,"Medium","High"))</f>
        <v>High</v>
      </c>
      <c r="P451" s="1" t="str">
        <f t="shared" si="21"/>
        <v>Approved</v>
      </c>
      <c r="Q451" s="1" t="str">
        <f t="shared" si="22"/>
        <v>High Risk</v>
      </c>
      <c r="R451" s="2">
        <f t="shared" si="23"/>
        <v>3220.5475241932845</v>
      </c>
    </row>
    <row r="452" spans="1:18" s="1" customFormat="1" ht="11.5" x14ac:dyDescent="0.25">
      <c r="A452" s="1" t="s">
        <v>483</v>
      </c>
      <c r="B452" s="1" t="s">
        <v>1238</v>
      </c>
      <c r="C452" s="1" t="s">
        <v>22</v>
      </c>
      <c r="D452" s="1">
        <v>0</v>
      </c>
      <c r="E452" s="1" t="s">
        <v>25</v>
      </c>
      <c r="F452" s="1" t="s">
        <v>22</v>
      </c>
      <c r="G452" s="1">
        <v>2762</v>
      </c>
      <c r="H452" s="1">
        <v>1577</v>
      </c>
      <c r="I452" s="1">
        <v>566</v>
      </c>
      <c r="J452" s="1">
        <v>180</v>
      </c>
      <c r="K452" s="1">
        <v>0</v>
      </c>
      <c r="L452" s="1" t="s">
        <v>41</v>
      </c>
      <c r="M452" s="1">
        <f>Table1[[#This Row],[ApplicantIncome]]+Table1[[#This Row],[CoapplicantIncome]]</f>
        <v>4339</v>
      </c>
      <c r="N452" s="1" t="s">
        <v>20</v>
      </c>
      <c r="O452" s="1" t="str">
        <f>IF(Table1[[#This Row],[Total_Income]]&lt;3000,"Low",IF(Table1[[#This Row],[Total_Income]]&lt;7000,"Medium","High"))</f>
        <v>Medium</v>
      </c>
      <c r="P452" s="1" t="str">
        <f t="shared" si="21"/>
        <v>Approved</v>
      </c>
      <c r="Q452" s="1" t="str">
        <f t="shared" si="22"/>
        <v>High Risk</v>
      </c>
      <c r="R452" s="2">
        <f t="shared" si="23"/>
        <v>5408.9907973097888</v>
      </c>
    </row>
    <row r="453" spans="1:18" s="1" customFormat="1" ht="11.5" x14ac:dyDescent="0.25">
      <c r="A453" s="1" t="s">
        <v>484</v>
      </c>
      <c r="B453" s="1" t="s">
        <v>52</v>
      </c>
      <c r="C453" s="1" t="s">
        <v>22</v>
      </c>
      <c r="D453" s="1">
        <v>2</v>
      </c>
      <c r="E453" s="1" t="s">
        <v>17</v>
      </c>
      <c r="F453" s="1" t="s">
        <v>22</v>
      </c>
      <c r="G453" s="1">
        <v>2850</v>
      </c>
      <c r="H453" s="1">
        <v>6969</v>
      </c>
      <c r="I453" s="1">
        <v>256</v>
      </c>
      <c r="J453" s="1">
        <v>360</v>
      </c>
      <c r="K453" s="1">
        <v>0</v>
      </c>
      <c r="L453" s="1" t="s">
        <v>19</v>
      </c>
      <c r="M453" s="1">
        <f>Table1[[#This Row],[ApplicantIncome]]+Table1[[#This Row],[CoapplicantIncome]]</f>
        <v>9819</v>
      </c>
      <c r="N453" s="1" t="s">
        <v>26</v>
      </c>
      <c r="O453" s="1" t="str">
        <f>IF(Table1[[#This Row],[Total_Income]]&lt;3000,"Low",IF(Table1[[#This Row],[Total_Income]]&lt;7000,"Medium","High"))</f>
        <v>High</v>
      </c>
      <c r="P453" s="1" t="str">
        <f t="shared" si="21"/>
        <v>Rejected</v>
      </c>
      <c r="Q453" s="1" t="str">
        <f t="shared" si="22"/>
        <v>High Risk</v>
      </c>
      <c r="R453" s="2">
        <f t="shared" si="23"/>
        <v>1878.4373091312029</v>
      </c>
    </row>
    <row r="454" spans="1:18" s="1" customFormat="1" ht="11.5" x14ac:dyDescent="0.25">
      <c r="A454" s="1" t="s">
        <v>485</v>
      </c>
      <c r="B454" s="1" t="s">
        <v>1238</v>
      </c>
      <c r="C454" s="1" t="s">
        <v>22</v>
      </c>
      <c r="D454" s="1">
        <v>2</v>
      </c>
      <c r="E454" s="1" t="s">
        <v>17</v>
      </c>
      <c r="F454" s="1" t="s">
        <v>22</v>
      </c>
      <c r="G454" s="1">
        <v>18826</v>
      </c>
      <c r="H454" s="1">
        <v>3259</v>
      </c>
      <c r="I454" s="1">
        <v>145</v>
      </c>
      <c r="J454" s="1">
        <v>360</v>
      </c>
      <c r="K454" s="1">
        <v>0</v>
      </c>
      <c r="L454" s="1" t="s">
        <v>19</v>
      </c>
      <c r="M454" s="1">
        <f>Table1[[#This Row],[ApplicantIncome]]+Table1[[#This Row],[CoapplicantIncome]]</f>
        <v>22085</v>
      </c>
      <c r="N454" s="1" t="s">
        <v>26</v>
      </c>
      <c r="O454" s="1" t="str">
        <f>IF(Table1[[#This Row],[Total_Income]]&lt;3000,"Low",IF(Table1[[#This Row],[Total_Income]]&lt;7000,"Medium","High"))</f>
        <v>High</v>
      </c>
      <c r="P454" s="1" t="str">
        <f t="shared" si="21"/>
        <v>Rejected</v>
      </c>
      <c r="Q454" s="1" t="str">
        <f t="shared" si="22"/>
        <v>High Risk</v>
      </c>
      <c r="R454" s="2">
        <f t="shared" si="23"/>
        <v>1063.9586321250956</v>
      </c>
    </row>
    <row r="455" spans="1:18" s="1" customFormat="1" ht="11.5" x14ac:dyDescent="0.25">
      <c r="A455" s="1" t="s">
        <v>486</v>
      </c>
      <c r="B455" s="1" t="s">
        <v>1238</v>
      </c>
      <c r="C455" s="1" t="s">
        <v>29</v>
      </c>
      <c r="D455" s="1">
        <v>0</v>
      </c>
      <c r="E455" s="1" t="s">
        <v>17</v>
      </c>
      <c r="F455" s="1" t="s">
        <v>29</v>
      </c>
      <c r="G455" s="1">
        <v>11908</v>
      </c>
      <c r="H455" s="1">
        <v>6779</v>
      </c>
      <c r="I455" s="1">
        <v>230</v>
      </c>
      <c r="J455" s="1">
        <v>360</v>
      </c>
      <c r="K455" s="1">
        <v>1</v>
      </c>
      <c r="L455" s="1" t="s">
        <v>41</v>
      </c>
      <c r="M455" s="1">
        <f>Table1[[#This Row],[ApplicantIncome]]+Table1[[#This Row],[CoapplicantIncome]]</f>
        <v>18687</v>
      </c>
      <c r="N455" s="1" t="s">
        <v>20</v>
      </c>
      <c r="O455" s="1" t="str">
        <f>IF(Table1[[#This Row],[Total_Income]]&lt;3000,"Low",IF(Table1[[#This Row],[Total_Income]]&lt;7000,"Medium","High"))</f>
        <v>High</v>
      </c>
      <c r="P455" s="1" t="str">
        <f t="shared" si="21"/>
        <v>Approved</v>
      </c>
      <c r="Q455" s="1" t="str">
        <f t="shared" si="22"/>
        <v>Low Risk</v>
      </c>
      <c r="R455" s="2">
        <f t="shared" si="23"/>
        <v>1687.6585199225653</v>
      </c>
    </row>
    <row r="456" spans="1:18" s="1" customFormat="1" ht="11.5" x14ac:dyDescent="0.25">
      <c r="A456" s="1" t="s">
        <v>487</v>
      </c>
      <c r="B456" s="1" t="s">
        <v>1238</v>
      </c>
      <c r="C456" s="1" t="s">
        <v>29</v>
      </c>
      <c r="D456" s="1">
        <v>1</v>
      </c>
      <c r="E456" s="1" t="s">
        <v>17</v>
      </c>
      <c r="F456" s="1" t="s">
        <v>22</v>
      </c>
      <c r="G456" s="1">
        <v>16491</v>
      </c>
      <c r="H456" s="1">
        <v>1561</v>
      </c>
      <c r="I456" s="1">
        <v>312</v>
      </c>
      <c r="J456" s="1">
        <v>180</v>
      </c>
      <c r="K456" s="1">
        <v>0</v>
      </c>
      <c r="L456" s="1" t="s">
        <v>19</v>
      </c>
      <c r="M456" s="1">
        <f>Table1[[#This Row],[ApplicantIncome]]+Table1[[#This Row],[CoapplicantIncome]]</f>
        <v>18052</v>
      </c>
      <c r="N456" s="1" t="s">
        <v>20</v>
      </c>
      <c r="O456" s="1" t="str">
        <f>IF(Table1[[#This Row],[Total_Income]]&lt;3000,"Low",IF(Table1[[#This Row],[Total_Income]]&lt;7000,"Medium","High"))</f>
        <v>High</v>
      </c>
      <c r="P456" s="1" t="str">
        <f t="shared" si="21"/>
        <v>Approved</v>
      </c>
      <c r="Q456" s="1" t="str">
        <f t="shared" si="22"/>
        <v>High Risk</v>
      </c>
      <c r="R456" s="2">
        <f t="shared" si="23"/>
        <v>2981.6345031106966</v>
      </c>
    </row>
    <row r="457" spans="1:18" s="1" customFormat="1" ht="11.5" x14ac:dyDescent="0.25">
      <c r="A457" s="1" t="s">
        <v>488</v>
      </c>
      <c r="B457" s="1" t="s">
        <v>52</v>
      </c>
      <c r="C457" s="1" t="s">
        <v>22</v>
      </c>
      <c r="D457" s="1">
        <v>1</v>
      </c>
      <c r="E457" s="1" t="s">
        <v>25</v>
      </c>
      <c r="F457" s="1" t="s">
        <v>22</v>
      </c>
      <c r="G457" s="1">
        <v>7177</v>
      </c>
      <c r="H457" s="1">
        <v>9310</v>
      </c>
      <c r="I457" s="1">
        <v>632</v>
      </c>
      <c r="J457" s="1">
        <v>360</v>
      </c>
      <c r="K457" s="1">
        <v>0</v>
      </c>
      <c r="L457" s="1" t="s">
        <v>19</v>
      </c>
      <c r="M457" s="1">
        <f>Table1[[#This Row],[ApplicantIncome]]+Table1[[#This Row],[CoapplicantIncome]]</f>
        <v>16487</v>
      </c>
      <c r="N457" s="1" t="s">
        <v>26</v>
      </c>
      <c r="O457" s="1" t="str">
        <f>IF(Table1[[#This Row],[Total_Income]]&lt;3000,"Low",IF(Table1[[#This Row],[Total_Income]]&lt;7000,"Medium","High"))</f>
        <v>High</v>
      </c>
      <c r="P457" s="1" t="str">
        <f t="shared" si="21"/>
        <v>Rejected</v>
      </c>
      <c r="Q457" s="1" t="str">
        <f t="shared" si="22"/>
        <v>High Risk</v>
      </c>
      <c r="R457" s="2">
        <f t="shared" si="23"/>
        <v>4637.3921069176577</v>
      </c>
    </row>
    <row r="458" spans="1:18" s="1" customFormat="1" ht="11.5" x14ac:dyDescent="0.25">
      <c r="A458" s="1" t="s">
        <v>489</v>
      </c>
      <c r="B458" s="1" t="s">
        <v>52</v>
      </c>
      <c r="C458" s="1" t="s">
        <v>22</v>
      </c>
      <c r="D458" s="1">
        <v>2</v>
      </c>
      <c r="E458" s="1" t="s">
        <v>17</v>
      </c>
      <c r="F458" s="1" t="s">
        <v>29</v>
      </c>
      <c r="G458" s="1">
        <v>6304</v>
      </c>
      <c r="H458" s="1">
        <v>5662</v>
      </c>
      <c r="I458" s="1">
        <v>637</v>
      </c>
      <c r="J458" s="1">
        <v>360</v>
      </c>
      <c r="K458" s="1">
        <v>1</v>
      </c>
      <c r="L458" s="1" t="s">
        <v>41</v>
      </c>
      <c r="M458" s="1">
        <f>Table1[[#This Row],[ApplicantIncome]]+Table1[[#This Row],[CoapplicantIncome]]</f>
        <v>11966</v>
      </c>
      <c r="N458" s="1" t="s">
        <v>20</v>
      </c>
      <c r="O458" s="1" t="str">
        <f>IF(Table1[[#This Row],[Total_Income]]&lt;3000,"Low",IF(Table1[[#This Row],[Total_Income]]&lt;7000,"Medium","High"))</f>
        <v>High</v>
      </c>
      <c r="P458" s="1" t="str">
        <f t="shared" si="21"/>
        <v>Approved</v>
      </c>
      <c r="Q458" s="1" t="str">
        <f t="shared" si="22"/>
        <v>Low Risk</v>
      </c>
      <c r="R458" s="2">
        <f t="shared" si="23"/>
        <v>4674.0803356116257</v>
      </c>
    </row>
    <row r="459" spans="1:18" s="1" customFormat="1" ht="11.5" x14ac:dyDescent="0.25">
      <c r="A459" s="1" t="s">
        <v>490</v>
      </c>
      <c r="B459" s="1" t="s">
        <v>1238</v>
      </c>
      <c r="C459" s="1" t="s">
        <v>22</v>
      </c>
      <c r="D459" s="1" t="s">
        <v>16</v>
      </c>
      <c r="E459" s="1" t="s">
        <v>25</v>
      </c>
      <c r="F459" s="1" t="s">
        <v>22</v>
      </c>
      <c r="G459" s="1">
        <v>13242</v>
      </c>
      <c r="H459" s="1">
        <v>4649</v>
      </c>
      <c r="I459" s="1">
        <v>164</v>
      </c>
      <c r="J459" s="1">
        <v>360</v>
      </c>
      <c r="K459" s="1">
        <v>1</v>
      </c>
      <c r="L459" s="1" t="s">
        <v>30</v>
      </c>
      <c r="M459" s="1">
        <f>Table1[[#This Row],[ApplicantIncome]]+Table1[[#This Row],[CoapplicantIncome]]</f>
        <v>17891</v>
      </c>
      <c r="N459" s="1" t="s">
        <v>26</v>
      </c>
      <c r="O459" s="1" t="str">
        <f>IF(Table1[[#This Row],[Total_Income]]&lt;3000,"Low",IF(Table1[[#This Row],[Total_Income]]&lt;7000,"Medium","High"))</f>
        <v>High</v>
      </c>
      <c r="P459" s="1" t="str">
        <f t="shared" si="21"/>
        <v>Rejected</v>
      </c>
      <c r="Q459" s="1" t="str">
        <f t="shared" si="22"/>
        <v>Low Risk</v>
      </c>
      <c r="R459" s="2">
        <f t="shared" si="23"/>
        <v>1203.3739011621769</v>
      </c>
    </row>
    <row r="460" spans="1:18" s="1" customFormat="1" ht="11.5" x14ac:dyDescent="0.25">
      <c r="A460" s="1" t="s">
        <v>491</v>
      </c>
      <c r="B460" s="1" t="s">
        <v>52</v>
      </c>
      <c r="C460" s="1" t="s">
        <v>22</v>
      </c>
      <c r="D460" s="1">
        <v>0</v>
      </c>
      <c r="E460" s="1" t="s">
        <v>25</v>
      </c>
      <c r="F460" s="1" t="s">
        <v>22</v>
      </c>
      <c r="G460" s="1">
        <v>5191</v>
      </c>
      <c r="H460" s="1">
        <v>9412</v>
      </c>
      <c r="I460" s="1">
        <v>181</v>
      </c>
      <c r="J460" s="1">
        <v>180</v>
      </c>
      <c r="K460" s="1">
        <v>0</v>
      </c>
      <c r="L460" s="1" t="s">
        <v>19</v>
      </c>
      <c r="M460" s="1">
        <f>Table1[[#This Row],[ApplicantIncome]]+Table1[[#This Row],[CoapplicantIncome]]</f>
        <v>14603</v>
      </c>
      <c r="N460" s="1" t="s">
        <v>26</v>
      </c>
      <c r="O460" s="1" t="str">
        <f>IF(Table1[[#This Row],[Total_Income]]&lt;3000,"Low",IF(Table1[[#This Row],[Total_Income]]&lt;7000,"Medium","High"))</f>
        <v>High</v>
      </c>
      <c r="P460" s="1" t="str">
        <f t="shared" si="21"/>
        <v>Rejected</v>
      </c>
      <c r="Q460" s="1" t="str">
        <f t="shared" si="22"/>
        <v>High Risk</v>
      </c>
      <c r="R460" s="2">
        <f t="shared" si="23"/>
        <v>1729.7302726379362</v>
      </c>
    </row>
    <row r="461" spans="1:18" s="1" customFormat="1" ht="11.5" x14ac:dyDescent="0.25">
      <c r="A461" s="1" t="s">
        <v>492</v>
      </c>
      <c r="B461" s="1" t="s">
        <v>1238</v>
      </c>
      <c r="C461" s="1" t="s">
        <v>22</v>
      </c>
      <c r="D461" s="1">
        <v>1</v>
      </c>
      <c r="E461" s="1" t="s">
        <v>17</v>
      </c>
      <c r="F461" s="1" t="s">
        <v>22</v>
      </c>
      <c r="G461" s="1">
        <v>5564</v>
      </c>
      <c r="H461" s="1">
        <v>4812</v>
      </c>
      <c r="I461" s="1">
        <v>69</v>
      </c>
      <c r="J461" s="1">
        <v>180</v>
      </c>
      <c r="K461" s="1">
        <v>1</v>
      </c>
      <c r="L461" s="1" t="s">
        <v>19</v>
      </c>
      <c r="M461" s="1">
        <f>Table1[[#This Row],[ApplicantIncome]]+Table1[[#This Row],[CoapplicantIncome]]</f>
        <v>10376</v>
      </c>
      <c r="N461" s="1" t="s">
        <v>20</v>
      </c>
      <c r="O461" s="1" t="str">
        <f>IF(Table1[[#This Row],[Total_Income]]&lt;3000,"Low",IF(Table1[[#This Row],[Total_Income]]&lt;7000,"Medium","High"))</f>
        <v>High</v>
      </c>
      <c r="P461" s="1" t="str">
        <f t="shared" si="21"/>
        <v>Approved</v>
      </c>
      <c r="Q461" s="1" t="str">
        <f t="shared" si="22"/>
        <v>Low Risk</v>
      </c>
      <c r="R461" s="2">
        <f t="shared" si="23"/>
        <v>659.39993818794244</v>
      </c>
    </row>
    <row r="462" spans="1:18" s="1" customFormat="1" ht="11.5" x14ac:dyDescent="0.25">
      <c r="A462" s="1" t="s">
        <v>493</v>
      </c>
      <c r="B462" s="1" t="s">
        <v>1238</v>
      </c>
      <c r="C462" s="1" t="s">
        <v>29</v>
      </c>
      <c r="D462" s="1">
        <v>1</v>
      </c>
      <c r="E462" s="1" t="s">
        <v>25</v>
      </c>
      <c r="F462" s="1" t="s">
        <v>29</v>
      </c>
      <c r="G462" s="1">
        <v>11845</v>
      </c>
      <c r="H462" s="1">
        <v>8624</v>
      </c>
      <c r="I462" s="1">
        <v>472</v>
      </c>
      <c r="J462" s="1">
        <v>180</v>
      </c>
      <c r="K462" s="1">
        <v>1</v>
      </c>
      <c r="L462" s="1" t="s">
        <v>41</v>
      </c>
      <c r="M462" s="1">
        <f>Table1[[#This Row],[ApplicantIncome]]+Table1[[#This Row],[CoapplicantIncome]]</f>
        <v>20469</v>
      </c>
      <c r="N462" s="1" t="s">
        <v>26</v>
      </c>
      <c r="O462" s="1" t="str">
        <f>IF(Table1[[#This Row],[Total_Income]]&lt;3000,"Low",IF(Table1[[#This Row],[Total_Income]]&lt;7000,"Medium","High"))</f>
        <v>High</v>
      </c>
      <c r="P462" s="1" t="str">
        <f t="shared" si="21"/>
        <v>Rejected</v>
      </c>
      <c r="Q462" s="1" t="str">
        <f t="shared" si="22"/>
        <v>Low Risk</v>
      </c>
      <c r="R462" s="2">
        <f t="shared" si="23"/>
        <v>4510.6778380392589</v>
      </c>
    </row>
    <row r="463" spans="1:18" s="1" customFormat="1" ht="11.5" x14ac:dyDescent="0.25">
      <c r="A463" s="1" t="s">
        <v>494</v>
      </c>
      <c r="B463" s="1" t="s">
        <v>28</v>
      </c>
      <c r="C463" s="1" t="s">
        <v>22</v>
      </c>
      <c r="D463" s="1">
        <v>1</v>
      </c>
      <c r="E463" s="1" t="s">
        <v>25</v>
      </c>
      <c r="F463" s="1" t="s">
        <v>22</v>
      </c>
      <c r="G463" s="1">
        <v>18374</v>
      </c>
      <c r="H463" s="1">
        <v>9759</v>
      </c>
      <c r="I463" s="1">
        <v>557</v>
      </c>
      <c r="J463" s="1">
        <v>180</v>
      </c>
      <c r="K463" s="1">
        <v>0</v>
      </c>
      <c r="L463" s="1" t="s">
        <v>19</v>
      </c>
      <c r="M463" s="1">
        <f>Table1[[#This Row],[ApplicantIncome]]+Table1[[#This Row],[CoapplicantIncome]]</f>
        <v>28133</v>
      </c>
      <c r="N463" s="1" t="s">
        <v>26</v>
      </c>
      <c r="O463" s="1" t="str">
        <f>IF(Table1[[#This Row],[Total_Income]]&lt;3000,"Low",IF(Table1[[#This Row],[Total_Income]]&lt;7000,"Medium","High"))</f>
        <v>High</v>
      </c>
      <c r="P463" s="1" t="str">
        <f t="shared" si="21"/>
        <v>Rejected</v>
      </c>
      <c r="Q463" s="1" t="str">
        <f t="shared" si="22"/>
        <v>High Risk</v>
      </c>
      <c r="R463" s="2">
        <f t="shared" si="23"/>
        <v>5322.9821097200575</v>
      </c>
    </row>
    <row r="464" spans="1:18" s="1" customFormat="1" ht="11.5" x14ac:dyDescent="0.25">
      <c r="A464" s="1" t="s">
        <v>495</v>
      </c>
      <c r="B464" s="1" t="s">
        <v>1238</v>
      </c>
      <c r="C464" s="1" t="s">
        <v>22</v>
      </c>
      <c r="D464" s="1">
        <v>2</v>
      </c>
      <c r="E464" s="1" t="s">
        <v>17</v>
      </c>
      <c r="F464" s="1" t="s">
        <v>22</v>
      </c>
      <c r="G464" s="1">
        <v>12480</v>
      </c>
      <c r="H464" s="1">
        <v>6916</v>
      </c>
      <c r="I464" s="1">
        <v>638</v>
      </c>
      <c r="J464" s="1">
        <v>360</v>
      </c>
      <c r="K464" s="1">
        <v>1</v>
      </c>
      <c r="L464" s="1" t="s">
        <v>19</v>
      </c>
      <c r="M464" s="1">
        <f>Table1[[#This Row],[ApplicantIncome]]+Table1[[#This Row],[CoapplicantIncome]]</f>
        <v>19396</v>
      </c>
      <c r="N464" s="1" t="s">
        <v>26</v>
      </c>
      <c r="O464" s="1" t="str">
        <f>IF(Table1[[#This Row],[Total_Income]]&lt;3000,"Low",IF(Table1[[#This Row],[Total_Income]]&lt;7000,"Medium","High"))</f>
        <v>High</v>
      </c>
      <c r="P464" s="1" t="str">
        <f t="shared" si="21"/>
        <v>Rejected</v>
      </c>
      <c r="Q464" s="1" t="str">
        <f t="shared" si="22"/>
        <v>Low Risk</v>
      </c>
      <c r="R464" s="2">
        <f t="shared" si="23"/>
        <v>4681.4179813504197</v>
      </c>
    </row>
    <row r="465" spans="1:18" s="1" customFormat="1" ht="11.5" x14ac:dyDescent="0.25">
      <c r="A465" s="1" t="s">
        <v>496</v>
      </c>
      <c r="B465" s="1" t="s">
        <v>28</v>
      </c>
      <c r="C465" s="1" t="s">
        <v>29</v>
      </c>
      <c r="D465" s="1">
        <v>1</v>
      </c>
      <c r="E465" s="1" t="s">
        <v>25</v>
      </c>
      <c r="F465" s="1" t="s">
        <v>22</v>
      </c>
      <c r="G465" s="1">
        <v>5626</v>
      </c>
      <c r="H465" s="1">
        <v>5108</v>
      </c>
      <c r="I465" s="1">
        <v>201</v>
      </c>
      <c r="J465" s="1">
        <v>360</v>
      </c>
      <c r="K465" s="1">
        <v>1</v>
      </c>
      <c r="L465" s="1" t="s">
        <v>19</v>
      </c>
      <c r="M465" s="1">
        <f>Table1[[#This Row],[ApplicantIncome]]+Table1[[#This Row],[CoapplicantIncome]]</f>
        <v>10734</v>
      </c>
      <c r="N465" s="1" t="s">
        <v>26</v>
      </c>
      <c r="O465" s="1" t="str">
        <f>IF(Table1[[#This Row],[Total_Income]]&lt;3000,"Low",IF(Table1[[#This Row],[Total_Income]]&lt;7000,"Medium","High"))</f>
        <v>High</v>
      </c>
      <c r="P465" s="1" t="str">
        <f t="shared" si="21"/>
        <v>Rejected</v>
      </c>
      <c r="Q465" s="1" t="str">
        <f t="shared" si="22"/>
        <v>Low Risk</v>
      </c>
      <c r="R465" s="2">
        <f t="shared" si="23"/>
        <v>1474.8667934975463</v>
      </c>
    </row>
    <row r="466" spans="1:18" s="1" customFormat="1" ht="11.5" x14ac:dyDescent="0.25">
      <c r="A466" s="1" t="s">
        <v>497</v>
      </c>
      <c r="B466" s="1" t="s">
        <v>52</v>
      </c>
      <c r="C466" s="1" t="s">
        <v>29</v>
      </c>
      <c r="D466" s="1">
        <v>1</v>
      </c>
      <c r="E466" s="1" t="s">
        <v>25</v>
      </c>
      <c r="F466" s="1" t="s">
        <v>29</v>
      </c>
      <c r="G466" s="1">
        <v>6223</v>
      </c>
      <c r="H466" s="1">
        <v>7666</v>
      </c>
      <c r="I466" s="1">
        <v>678</v>
      </c>
      <c r="J466" s="1">
        <v>120</v>
      </c>
      <c r="K466" s="1">
        <v>1</v>
      </c>
      <c r="L466" s="1" t="s">
        <v>19</v>
      </c>
      <c r="M466" s="1">
        <f>Table1[[#This Row],[ApplicantIncome]]+Table1[[#This Row],[CoapplicantIncome]]</f>
        <v>13889</v>
      </c>
      <c r="N466" s="1" t="s">
        <v>20</v>
      </c>
      <c r="O466" s="1" t="str">
        <f>IF(Table1[[#This Row],[Total_Income]]&lt;3000,"Low",IF(Table1[[#This Row],[Total_Income]]&lt;7000,"Medium","High"))</f>
        <v>High</v>
      </c>
      <c r="P466" s="1" t="str">
        <f t="shared" si="21"/>
        <v>Approved</v>
      </c>
      <c r="Q466" s="1" t="str">
        <f t="shared" si="22"/>
        <v>Low Risk</v>
      </c>
      <c r="R466" s="2">
        <f t="shared" si="23"/>
        <v>8226.0108972931994</v>
      </c>
    </row>
    <row r="467" spans="1:18" s="1" customFormat="1" ht="11.5" x14ac:dyDescent="0.25">
      <c r="A467" s="1" t="s">
        <v>498</v>
      </c>
      <c r="B467" s="1" t="s">
        <v>52</v>
      </c>
      <c r="C467" s="1" t="s">
        <v>29</v>
      </c>
      <c r="D467" s="1">
        <v>1</v>
      </c>
      <c r="E467" s="1" t="s">
        <v>17</v>
      </c>
      <c r="F467" s="1" t="s">
        <v>22</v>
      </c>
      <c r="G467" s="1">
        <v>1544</v>
      </c>
      <c r="H467" s="1">
        <v>4085</v>
      </c>
      <c r="I467" s="1">
        <v>457</v>
      </c>
      <c r="J467" s="1">
        <v>360</v>
      </c>
      <c r="K467" s="1">
        <v>1</v>
      </c>
      <c r="L467" s="1" t="s">
        <v>19</v>
      </c>
      <c r="M467" s="1">
        <f>Table1[[#This Row],[ApplicantIncome]]+Table1[[#This Row],[CoapplicantIncome]]</f>
        <v>5629</v>
      </c>
      <c r="N467" s="1" t="s">
        <v>20</v>
      </c>
      <c r="O467" s="1" t="str">
        <f>IF(Table1[[#This Row],[Total_Income]]&lt;3000,"Low",IF(Table1[[#This Row],[Total_Income]]&lt;7000,"Medium","High"))</f>
        <v>Medium</v>
      </c>
      <c r="P467" s="1" t="str">
        <f t="shared" si="21"/>
        <v>Approved</v>
      </c>
      <c r="Q467" s="1" t="str">
        <f t="shared" si="22"/>
        <v>Low Risk</v>
      </c>
      <c r="R467" s="2">
        <f t="shared" si="23"/>
        <v>3353.3041026287492</v>
      </c>
    </row>
    <row r="468" spans="1:18" s="1" customFormat="1" ht="11.5" x14ac:dyDescent="0.25">
      <c r="A468" s="1" t="s">
        <v>499</v>
      </c>
      <c r="B468" s="1" t="s">
        <v>1238</v>
      </c>
      <c r="C468" s="1" t="s">
        <v>22</v>
      </c>
      <c r="D468" s="1">
        <v>1</v>
      </c>
      <c r="E468" s="1" t="s">
        <v>25</v>
      </c>
      <c r="F468" s="1" t="s">
        <v>22</v>
      </c>
      <c r="G468" s="1">
        <v>3723</v>
      </c>
      <c r="H468" s="1">
        <v>679</v>
      </c>
      <c r="I468" s="1">
        <v>620</v>
      </c>
      <c r="J468" s="1">
        <v>360</v>
      </c>
      <c r="K468" s="1">
        <v>0</v>
      </c>
      <c r="L468" s="1" t="s">
        <v>30</v>
      </c>
      <c r="M468" s="1">
        <f>Table1[[#This Row],[ApplicantIncome]]+Table1[[#This Row],[CoapplicantIncome]]</f>
        <v>4402</v>
      </c>
      <c r="N468" s="1" t="s">
        <v>26</v>
      </c>
      <c r="O468" s="1" t="str">
        <f>IF(Table1[[#This Row],[Total_Income]]&lt;3000,"Low",IF(Table1[[#This Row],[Total_Income]]&lt;7000,"Medium","High"))</f>
        <v>Medium</v>
      </c>
      <c r="P468" s="1" t="str">
        <f t="shared" si="21"/>
        <v>Rejected</v>
      </c>
      <c r="Q468" s="1" t="str">
        <f t="shared" si="22"/>
        <v>High Risk</v>
      </c>
      <c r="R468" s="2">
        <f t="shared" si="23"/>
        <v>4549.3403580521326</v>
      </c>
    </row>
    <row r="469" spans="1:18" s="1" customFormat="1" ht="11.5" x14ac:dyDescent="0.25">
      <c r="A469" s="1" t="s">
        <v>500</v>
      </c>
      <c r="B469" s="1" t="s">
        <v>1238</v>
      </c>
      <c r="C469" s="1" t="s">
        <v>22</v>
      </c>
      <c r="D469" s="1" t="s">
        <v>16</v>
      </c>
      <c r="E469" s="1" t="s">
        <v>25</v>
      </c>
      <c r="F469" s="1" t="s">
        <v>29</v>
      </c>
      <c r="G469" s="1">
        <v>6018</v>
      </c>
      <c r="H469" s="1">
        <v>1504</v>
      </c>
      <c r="I469" s="1">
        <v>447</v>
      </c>
      <c r="J469" s="1">
        <v>120</v>
      </c>
      <c r="K469" s="1">
        <v>1</v>
      </c>
      <c r="L469" s="1" t="s">
        <v>41</v>
      </c>
      <c r="M469" s="1">
        <f>Table1[[#This Row],[ApplicantIncome]]+Table1[[#This Row],[CoapplicantIncome]]</f>
        <v>7522</v>
      </c>
      <c r="N469" s="1" t="s">
        <v>26</v>
      </c>
      <c r="O469" s="1" t="str">
        <f>IF(Table1[[#This Row],[Total_Income]]&lt;3000,"Low",IF(Table1[[#This Row],[Total_Income]]&lt;7000,"Medium","High"))</f>
        <v>High</v>
      </c>
      <c r="P469" s="1" t="str">
        <f t="shared" si="21"/>
        <v>Rejected</v>
      </c>
      <c r="Q469" s="1" t="str">
        <f t="shared" si="22"/>
        <v>Low Risk</v>
      </c>
      <c r="R469" s="2">
        <f t="shared" si="23"/>
        <v>5423.3434676844545</v>
      </c>
    </row>
    <row r="470" spans="1:18" s="1" customFormat="1" ht="11.5" x14ac:dyDescent="0.25">
      <c r="A470" s="1" t="s">
        <v>501</v>
      </c>
      <c r="B470" s="1" t="s">
        <v>28</v>
      </c>
      <c r="C470" s="1" t="s">
        <v>22</v>
      </c>
      <c r="D470" s="1">
        <v>1</v>
      </c>
      <c r="E470" s="1" t="s">
        <v>17</v>
      </c>
      <c r="F470" s="1" t="s">
        <v>22</v>
      </c>
      <c r="G470" s="1">
        <v>6075</v>
      </c>
      <c r="H470" s="1">
        <v>2959</v>
      </c>
      <c r="I470" s="1">
        <v>228</v>
      </c>
      <c r="J470" s="1">
        <v>360</v>
      </c>
      <c r="K470" s="1">
        <v>1</v>
      </c>
      <c r="L470" s="1" t="s">
        <v>19</v>
      </c>
      <c r="M470" s="1">
        <f>Table1[[#This Row],[ApplicantIncome]]+Table1[[#This Row],[CoapplicantIncome]]</f>
        <v>9034</v>
      </c>
      <c r="N470" s="1" t="s">
        <v>26</v>
      </c>
      <c r="O470" s="1" t="str">
        <f>IF(Table1[[#This Row],[Total_Income]]&lt;3000,"Low",IF(Table1[[#This Row],[Total_Income]]&lt;7000,"Medium","High"))</f>
        <v>High</v>
      </c>
      <c r="P470" s="1" t="str">
        <f t="shared" si="21"/>
        <v>Rejected</v>
      </c>
      <c r="Q470" s="1" t="str">
        <f t="shared" si="22"/>
        <v>Low Risk</v>
      </c>
      <c r="R470" s="2">
        <f t="shared" si="23"/>
        <v>1672.9832284449778</v>
      </c>
    </row>
    <row r="471" spans="1:18" s="1" customFormat="1" ht="11.5" x14ac:dyDescent="0.25">
      <c r="A471" s="1" t="s">
        <v>502</v>
      </c>
      <c r="B471" s="1" t="s">
        <v>1238</v>
      </c>
      <c r="C471" s="1" t="s">
        <v>22</v>
      </c>
      <c r="D471" s="1" t="s">
        <v>16</v>
      </c>
      <c r="E471" s="1" t="s">
        <v>25</v>
      </c>
      <c r="F471" s="1" t="s">
        <v>22</v>
      </c>
      <c r="G471" s="1">
        <v>12721</v>
      </c>
      <c r="H471" s="1">
        <v>1499</v>
      </c>
      <c r="I471" s="1">
        <v>511</v>
      </c>
      <c r="J471" s="1">
        <v>360</v>
      </c>
      <c r="K471" s="1">
        <v>0</v>
      </c>
      <c r="L471" s="1" t="s">
        <v>30</v>
      </c>
      <c r="M471" s="1">
        <f>Table1[[#This Row],[ApplicantIncome]]+Table1[[#This Row],[CoapplicantIncome]]</f>
        <v>14220</v>
      </c>
      <c r="N471" s="1" t="s">
        <v>20</v>
      </c>
      <c r="O471" s="1" t="str">
        <f>IF(Table1[[#This Row],[Total_Income]]&lt;3000,"Low",IF(Table1[[#This Row],[Total_Income]]&lt;7000,"Medium","High"))</f>
        <v>High</v>
      </c>
      <c r="P471" s="1" t="str">
        <f t="shared" si="21"/>
        <v>Approved</v>
      </c>
      <c r="Q471" s="1" t="str">
        <f t="shared" si="22"/>
        <v>High Risk</v>
      </c>
      <c r="R471" s="2">
        <f t="shared" si="23"/>
        <v>3749.5369725236119</v>
      </c>
    </row>
    <row r="472" spans="1:18" s="1" customFormat="1" ht="11.5" x14ac:dyDescent="0.25">
      <c r="A472" s="1" t="s">
        <v>503</v>
      </c>
      <c r="B472" s="1" t="s">
        <v>52</v>
      </c>
      <c r="C472" s="1" t="s">
        <v>29</v>
      </c>
      <c r="D472" s="1">
        <v>2</v>
      </c>
      <c r="E472" s="1" t="s">
        <v>25</v>
      </c>
      <c r="F472" s="1" t="s">
        <v>22</v>
      </c>
      <c r="G472" s="1">
        <v>5606</v>
      </c>
      <c r="H472" s="1">
        <v>2711</v>
      </c>
      <c r="I472" s="1">
        <v>185</v>
      </c>
      <c r="J472" s="1">
        <v>180</v>
      </c>
      <c r="K472" s="1">
        <v>0</v>
      </c>
      <c r="L472" s="1" t="s">
        <v>19</v>
      </c>
      <c r="M472" s="1">
        <f>Table1[[#This Row],[ApplicantIncome]]+Table1[[#This Row],[CoapplicantIncome]]</f>
        <v>8317</v>
      </c>
      <c r="N472" s="1" t="s">
        <v>26</v>
      </c>
      <c r="O472" s="1" t="str">
        <f>IF(Table1[[#This Row],[Total_Income]]&lt;3000,"Low",IF(Table1[[#This Row],[Total_Income]]&lt;7000,"Medium","High"))</f>
        <v>High</v>
      </c>
      <c r="P472" s="1" t="str">
        <f t="shared" si="21"/>
        <v>Rejected</v>
      </c>
      <c r="Q472" s="1" t="str">
        <f t="shared" si="22"/>
        <v>High Risk</v>
      </c>
      <c r="R472" s="2">
        <f t="shared" si="23"/>
        <v>1767.9563560111503</v>
      </c>
    </row>
    <row r="473" spans="1:18" s="1" customFormat="1" ht="11.5" x14ac:dyDescent="0.25">
      <c r="A473" s="1" t="s">
        <v>504</v>
      </c>
      <c r="B473" s="1" t="s">
        <v>28</v>
      </c>
      <c r="C473" s="1" t="s">
        <v>29</v>
      </c>
      <c r="D473" s="1">
        <v>0</v>
      </c>
      <c r="E473" s="1" t="s">
        <v>17</v>
      </c>
      <c r="F473" s="1" t="s">
        <v>22</v>
      </c>
      <c r="G473" s="1">
        <v>2995</v>
      </c>
      <c r="H473" s="1">
        <v>1590</v>
      </c>
      <c r="I473" s="1">
        <v>437</v>
      </c>
      <c r="J473" s="1">
        <v>120</v>
      </c>
      <c r="K473" s="1">
        <v>0</v>
      </c>
      <c r="L473" s="1" t="s">
        <v>19</v>
      </c>
      <c r="M473" s="1">
        <f>Table1[[#This Row],[ApplicantIncome]]+Table1[[#This Row],[CoapplicantIncome]]</f>
        <v>4585</v>
      </c>
      <c r="N473" s="1" t="s">
        <v>26</v>
      </c>
      <c r="O473" s="1" t="str">
        <f>IF(Table1[[#This Row],[Total_Income]]&lt;3000,"Low",IF(Table1[[#This Row],[Total_Income]]&lt;7000,"Medium","High"))</f>
        <v>Medium</v>
      </c>
      <c r="P473" s="1" t="str">
        <f t="shared" si="21"/>
        <v>Rejected</v>
      </c>
      <c r="Q473" s="1" t="str">
        <f t="shared" si="22"/>
        <v>High Risk</v>
      </c>
      <c r="R473" s="2">
        <f t="shared" si="23"/>
        <v>5302.0158733290973</v>
      </c>
    </row>
    <row r="474" spans="1:18" s="1" customFormat="1" ht="11.5" x14ac:dyDescent="0.25">
      <c r="A474" s="1" t="s">
        <v>505</v>
      </c>
      <c r="B474" s="1" t="s">
        <v>28</v>
      </c>
      <c r="C474" s="1" t="s">
        <v>29</v>
      </c>
      <c r="D474" s="1" t="s">
        <v>16</v>
      </c>
      <c r="E474" s="1" t="s">
        <v>17</v>
      </c>
      <c r="F474" s="1" t="s">
        <v>22</v>
      </c>
      <c r="G474" s="1">
        <v>19069</v>
      </c>
      <c r="H474" s="1">
        <v>1742</v>
      </c>
      <c r="I474" s="1">
        <v>211</v>
      </c>
      <c r="J474" s="1">
        <v>120</v>
      </c>
      <c r="K474" s="1">
        <v>0</v>
      </c>
      <c r="L474" s="1" t="s">
        <v>41</v>
      </c>
      <c r="M474" s="1">
        <f>Table1[[#This Row],[ApplicantIncome]]+Table1[[#This Row],[CoapplicantIncome]]</f>
        <v>20811</v>
      </c>
      <c r="N474" s="1" t="s">
        <v>20</v>
      </c>
      <c r="O474" s="1" t="str">
        <f>IF(Table1[[#This Row],[Total_Income]]&lt;3000,"Low",IF(Table1[[#This Row],[Total_Income]]&lt;7000,"Medium","High"))</f>
        <v>High</v>
      </c>
      <c r="P474" s="1" t="str">
        <f t="shared" si="21"/>
        <v>Approved</v>
      </c>
      <c r="Q474" s="1" t="str">
        <f t="shared" si="22"/>
        <v>High Risk</v>
      </c>
      <c r="R474" s="2">
        <f t="shared" si="23"/>
        <v>2560.012240898031</v>
      </c>
    </row>
    <row r="475" spans="1:18" s="1" customFormat="1" ht="11.5" x14ac:dyDescent="0.25">
      <c r="A475" s="1" t="s">
        <v>506</v>
      </c>
      <c r="B475" s="1" t="s">
        <v>28</v>
      </c>
      <c r="C475" s="1" t="s">
        <v>22</v>
      </c>
      <c r="D475" s="1" t="s">
        <v>16</v>
      </c>
      <c r="E475" s="1" t="s">
        <v>25</v>
      </c>
      <c r="F475" s="1" t="s">
        <v>22</v>
      </c>
      <c r="G475" s="1">
        <v>17250</v>
      </c>
      <c r="H475" s="1">
        <v>787</v>
      </c>
      <c r="I475" s="1">
        <v>393</v>
      </c>
      <c r="J475" s="1">
        <v>360</v>
      </c>
      <c r="K475" s="1">
        <v>0</v>
      </c>
      <c r="L475" s="1" t="s">
        <v>41</v>
      </c>
      <c r="M475" s="1">
        <f>Table1[[#This Row],[ApplicantIncome]]+Table1[[#This Row],[CoapplicantIncome]]</f>
        <v>18037</v>
      </c>
      <c r="N475" s="1" t="s">
        <v>20</v>
      </c>
      <c r="O475" s="1" t="str">
        <f>IF(Table1[[#This Row],[Total_Income]]&lt;3000,"Low",IF(Table1[[#This Row],[Total_Income]]&lt;7000,"Medium","High"))</f>
        <v>High</v>
      </c>
      <c r="P475" s="1" t="str">
        <f t="shared" si="21"/>
        <v>Approved</v>
      </c>
      <c r="Q475" s="1" t="str">
        <f t="shared" si="22"/>
        <v>High Risk</v>
      </c>
      <c r="R475" s="2">
        <f t="shared" si="23"/>
        <v>2883.6947753459485</v>
      </c>
    </row>
    <row r="476" spans="1:18" s="1" customFormat="1" ht="11.5" x14ac:dyDescent="0.25">
      <c r="A476" s="1" t="s">
        <v>507</v>
      </c>
      <c r="B476" s="1" t="s">
        <v>28</v>
      </c>
      <c r="C476" s="1" t="s">
        <v>22</v>
      </c>
      <c r="D476" s="1">
        <v>0</v>
      </c>
      <c r="E476" s="1" t="s">
        <v>25</v>
      </c>
      <c r="F476" s="1" t="s">
        <v>22</v>
      </c>
      <c r="G476" s="1">
        <v>7113</v>
      </c>
      <c r="H476" s="1">
        <v>2643</v>
      </c>
      <c r="I476" s="1">
        <v>561</v>
      </c>
      <c r="J476" s="1">
        <v>360</v>
      </c>
      <c r="K476" s="1">
        <v>0</v>
      </c>
      <c r="L476" s="1" t="s">
        <v>19</v>
      </c>
      <c r="M476" s="1">
        <f>Table1[[#This Row],[ApplicantIncome]]+Table1[[#This Row],[CoapplicantIncome]]</f>
        <v>9756</v>
      </c>
      <c r="N476" s="1" t="s">
        <v>26</v>
      </c>
      <c r="O476" s="1" t="str">
        <f>IF(Table1[[#This Row],[Total_Income]]&lt;3000,"Low",IF(Table1[[#This Row],[Total_Income]]&lt;7000,"Medium","High"))</f>
        <v>High</v>
      </c>
      <c r="P476" s="1" t="str">
        <f t="shared" si="21"/>
        <v>Rejected</v>
      </c>
      <c r="Q476" s="1" t="str">
        <f t="shared" si="22"/>
        <v>High Risk</v>
      </c>
      <c r="R476" s="2">
        <f t="shared" si="23"/>
        <v>4116.4192594633005</v>
      </c>
    </row>
    <row r="477" spans="1:18" s="1" customFormat="1" ht="11.5" x14ac:dyDescent="0.25">
      <c r="A477" s="1" t="s">
        <v>508</v>
      </c>
      <c r="B477" s="1" t="s">
        <v>52</v>
      </c>
      <c r="C477" s="1" t="s">
        <v>29</v>
      </c>
      <c r="D477" s="1">
        <v>1</v>
      </c>
      <c r="E477" s="1" t="s">
        <v>25</v>
      </c>
      <c r="F477" s="1" t="s">
        <v>22</v>
      </c>
      <c r="G477" s="1">
        <v>14829</v>
      </c>
      <c r="H477" s="1">
        <v>1074</v>
      </c>
      <c r="I477" s="1">
        <v>91</v>
      </c>
      <c r="J477" s="1">
        <v>360</v>
      </c>
      <c r="K477" s="1">
        <v>0</v>
      </c>
      <c r="L477" s="1" t="s">
        <v>30</v>
      </c>
      <c r="M477" s="1">
        <f>Table1[[#This Row],[ApplicantIncome]]+Table1[[#This Row],[CoapplicantIncome]]</f>
        <v>15903</v>
      </c>
      <c r="N477" s="1" t="s">
        <v>20</v>
      </c>
      <c r="O477" s="1" t="str">
        <f>IF(Table1[[#This Row],[Total_Income]]&lt;3000,"Low",IF(Table1[[#This Row],[Total_Income]]&lt;7000,"Medium","High"))</f>
        <v>High</v>
      </c>
      <c r="P477" s="1" t="str">
        <f t="shared" si="21"/>
        <v>Approved</v>
      </c>
      <c r="Q477" s="1" t="str">
        <f t="shared" si="22"/>
        <v>High Risk</v>
      </c>
      <c r="R477" s="2">
        <f t="shared" si="23"/>
        <v>667.72576223023225</v>
      </c>
    </row>
    <row r="478" spans="1:18" s="1" customFormat="1" ht="11.5" x14ac:dyDescent="0.25">
      <c r="A478" s="1" t="s">
        <v>509</v>
      </c>
      <c r="B478" s="1" t="s">
        <v>1238</v>
      </c>
      <c r="C478" s="1" t="s">
        <v>22</v>
      </c>
      <c r="D478" s="1" t="s">
        <v>16</v>
      </c>
      <c r="E478" s="1" t="s">
        <v>17</v>
      </c>
      <c r="F478" s="1" t="s">
        <v>22</v>
      </c>
      <c r="G478" s="1">
        <v>18583</v>
      </c>
      <c r="H478" s="1">
        <v>7926</v>
      </c>
      <c r="I478" s="1">
        <v>411</v>
      </c>
      <c r="J478" s="1">
        <v>120</v>
      </c>
      <c r="K478" s="1">
        <v>0</v>
      </c>
      <c r="L478" s="1" t="s">
        <v>19</v>
      </c>
      <c r="M478" s="1">
        <f>Table1[[#This Row],[ApplicantIncome]]+Table1[[#This Row],[CoapplicantIncome]]</f>
        <v>26509</v>
      </c>
      <c r="N478" s="1" t="s">
        <v>26</v>
      </c>
      <c r="O478" s="1" t="str">
        <f>IF(Table1[[#This Row],[Total_Income]]&lt;3000,"Low",IF(Table1[[#This Row],[Total_Income]]&lt;7000,"Medium","High"))</f>
        <v>High</v>
      </c>
      <c r="P478" s="1" t="str">
        <f t="shared" si="21"/>
        <v>Rejected</v>
      </c>
      <c r="Q478" s="1" t="str">
        <f t="shared" si="22"/>
        <v>High Risk</v>
      </c>
      <c r="R478" s="2">
        <f t="shared" si="23"/>
        <v>4986.5641280051696</v>
      </c>
    </row>
    <row r="479" spans="1:18" s="1" customFormat="1" ht="11.5" x14ac:dyDescent="0.25">
      <c r="A479" s="1" t="s">
        <v>510</v>
      </c>
      <c r="B479" s="1" t="s">
        <v>1238</v>
      </c>
      <c r="C479" s="1" t="s">
        <v>22</v>
      </c>
      <c r="D479" s="1">
        <v>0</v>
      </c>
      <c r="E479" s="1" t="s">
        <v>17</v>
      </c>
      <c r="F479" s="1" t="s">
        <v>22</v>
      </c>
      <c r="G479" s="1">
        <v>5054</v>
      </c>
      <c r="H479" s="1">
        <v>9119</v>
      </c>
      <c r="I479" s="1">
        <v>302</v>
      </c>
      <c r="J479" s="1">
        <v>180</v>
      </c>
      <c r="K479" s="1">
        <v>0</v>
      </c>
      <c r="L479" s="1" t="s">
        <v>41</v>
      </c>
      <c r="M479" s="1">
        <f>Table1[[#This Row],[ApplicantIncome]]+Table1[[#This Row],[CoapplicantIncome]]</f>
        <v>14173</v>
      </c>
      <c r="N479" s="1" t="s">
        <v>20</v>
      </c>
      <c r="O479" s="1" t="str">
        <f>IF(Table1[[#This Row],[Total_Income]]&lt;3000,"Low",IF(Table1[[#This Row],[Total_Income]]&lt;7000,"Medium","High"))</f>
        <v>High</v>
      </c>
      <c r="P479" s="1" t="str">
        <f t="shared" si="21"/>
        <v>Approved</v>
      </c>
      <c r="Q479" s="1" t="str">
        <f t="shared" si="22"/>
        <v>High Risk</v>
      </c>
      <c r="R479" s="2">
        <f t="shared" si="23"/>
        <v>2886.0692946776612</v>
      </c>
    </row>
    <row r="480" spans="1:18" s="1" customFormat="1" ht="11.5" x14ac:dyDescent="0.25">
      <c r="A480" s="1" t="s">
        <v>511</v>
      </c>
      <c r="B480" s="1" t="s">
        <v>1238</v>
      </c>
      <c r="C480" s="1" t="s">
        <v>29</v>
      </c>
      <c r="D480" s="1" t="s">
        <v>16</v>
      </c>
      <c r="E480" s="1" t="s">
        <v>17</v>
      </c>
      <c r="F480" s="1" t="s">
        <v>22</v>
      </c>
      <c r="G480" s="1">
        <v>11493</v>
      </c>
      <c r="H480" s="1">
        <v>9923</v>
      </c>
      <c r="I480" s="1">
        <v>544</v>
      </c>
      <c r="J480" s="1">
        <v>180</v>
      </c>
      <c r="K480" s="1">
        <v>0</v>
      </c>
      <c r="L480" s="1" t="s">
        <v>30</v>
      </c>
      <c r="M480" s="1">
        <f>Table1[[#This Row],[ApplicantIncome]]+Table1[[#This Row],[CoapplicantIncome]]</f>
        <v>21416</v>
      </c>
      <c r="N480" s="1" t="s">
        <v>20</v>
      </c>
      <c r="O480" s="1" t="str">
        <f>IF(Table1[[#This Row],[Total_Income]]&lt;3000,"Low",IF(Table1[[#This Row],[Total_Income]]&lt;7000,"Medium","High"))</f>
        <v>High</v>
      </c>
      <c r="P480" s="1" t="str">
        <f t="shared" si="21"/>
        <v>Approved</v>
      </c>
      <c r="Q480" s="1" t="str">
        <f t="shared" si="22"/>
        <v>High Risk</v>
      </c>
      <c r="R480" s="2">
        <f t="shared" si="23"/>
        <v>5198.7473387571117</v>
      </c>
    </row>
    <row r="481" spans="1:18" s="1" customFormat="1" ht="11.5" x14ac:dyDescent="0.25">
      <c r="A481" s="1" t="s">
        <v>512</v>
      </c>
      <c r="B481" s="1" t="s">
        <v>28</v>
      </c>
      <c r="C481" s="1" t="s">
        <v>22</v>
      </c>
      <c r="D481" s="1">
        <v>1</v>
      </c>
      <c r="E481" s="1" t="s">
        <v>17</v>
      </c>
      <c r="F481" s="1" t="s">
        <v>29</v>
      </c>
      <c r="G481" s="1">
        <v>10609</v>
      </c>
      <c r="H481" s="1">
        <v>8712</v>
      </c>
      <c r="I481" s="1">
        <v>396</v>
      </c>
      <c r="J481" s="1">
        <v>180</v>
      </c>
      <c r="K481" s="1">
        <v>1</v>
      </c>
      <c r="L481" s="1" t="s">
        <v>30</v>
      </c>
      <c r="M481" s="1">
        <f>Table1[[#This Row],[ApplicantIncome]]+Table1[[#This Row],[CoapplicantIncome]]</f>
        <v>19321</v>
      </c>
      <c r="N481" s="1" t="s">
        <v>20</v>
      </c>
      <c r="O481" s="1" t="str">
        <f>IF(Table1[[#This Row],[Total_Income]]&lt;3000,"Low",IF(Table1[[#This Row],[Total_Income]]&lt;7000,"Medium","High"))</f>
        <v>High</v>
      </c>
      <c r="P481" s="1" t="str">
        <f t="shared" si="21"/>
        <v>Approved</v>
      </c>
      <c r="Q481" s="1" t="str">
        <f t="shared" si="22"/>
        <v>Low Risk</v>
      </c>
      <c r="R481" s="2">
        <f t="shared" si="23"/>
        <v>3784.3822539481921</v>
      </c>
    </row>
    <row r="482" spans="1:18" s="1" customFormat="1" ht="11.5" x14ac:dyDescent="0.25">
      <c r="A482" s="1" t="s">
        <v>513</v>
      </c>
      <c r="B482" s="1" t="s">
        <v>52</v>
      </c>
      <c r="C482" s="1" t="s">
        <v>22</v>
      </c>
      <c r="D482" s="1" t="s">
        <v>16</v>
      </c>
      <c r="E482" s="1" t="s">
        <v>17</v>
      </c>
      <c r="F482" s="1" t="s">
        <v>22</v>
      </c>
      <c r="G482" s="1">
        <v>11664</v>
      </c>
      <c r="H482" s="1">
        <v>2911</v>
      </c>
      <c r="I482" s="1">
        <v>275</v>
      </c>
      <c r="J482" s="1">
        <v>360</v>
      </c>
      <c r="K482" s="1">
        <v>0</v>
      </c>
      <c r="L482" s="1" t="s">
        <v>19</v>
      </c>
      <c r="M482" s="1">
        <f>Table1[[#This Row],[ApplicantIncome]]+Table1[[#This Row],[CoapplicantIncome]]</f>
        <v>14575</v>
      </c>
      <c r="N482" s="1" t="s">
        <v>20</v>
      </c>
      <c r="O482" s="1" t="str">
        <f>IF(Table1[[#This Row],[Total_Income]]&lt;3000,"Low",IF(Table1[[#This Row],[Total_Income]]&lt;7000,"Medium","High"))</f>
        <v>High</v>
      </c>
      <c r="P482" s="1" t="str">
        <f t="shared" si="21"/>
        <v>Approved</v>
      </c>
      <c r="Q482" s="1" t="str">
        <f t="shared" si="22"/>
        <v>High Risk</v>
      </c>
      <c r="R482" s="2">
        <f t="shared" si="23"/>
        <v>2017.8525781682845</v>
      </c>
    </row>
    <row r="483" spans="1:18" s="1" customFormat="1" ht="11.5" x14ac:dyDescent="0.25">
      <c r="A483" s="1" t="s">
        <v>514</v>
      </c>
      <c r="B483" s="1" t="s">
        <v>52</v>
      </c>
      <c r="C483" s="1" t="s">
        <v>29</v>
      </c>
      <c r="D483" s="1">
        <v>1</v>
      </c>
      <c r="E483" s="1" t="s">
        <v>25</v>
      </c>
      <c r="F483" s="1" t="s">
        <v>22</v>
      </c>
      <c r="G483" s="1">
        <v>9870</v>
      </c>
      <c r="H483" s="1">
        <v>5353</v>
      </c>
      <c r="I483" s="1">
        <v>655</v>
      </c>
      <c r="J483" s="1">
        <v>360</v>
      </c>
      <c r="K483" s="1">
        <v>0</v>
      </c>
      <c r="L483" s="1" t="s">
        <v>41</v>
      </c>
      <c r="M483" s="1">
        <f>Table1[[#This Row],[ApplicantIncome]]+Table1[[#This Row],[CoapplicantIncome]]</f>
        <v>15223</v>
      </c>
      <c r="N483" s="1" t="s">
        <v>26</v>
      </c>
      <c r="O483" s="1" t="str">
        <f>IF(Table1[[#This Row],[Total_Income]]&lt;3000,"Low",IF(Table1[[#This Row],[Total_Income]]&lt;7000,"Medium","High"))</f>
        <v>High</v>
      </c>
      <c r="P483" s="1" t="str">
        <f t="shared" si="21"/>
        <v>Rejected</v>
      </c>
      <c r="Q483" s="1" t="str">
        <f t="shared" si="22"/>
        <v>High Risk</v>
      </c>
      <c r="R483" s="2">
        <f t="shared" si="23"/>
        <v>4806.1579589099138</v>
      </c>
    </row>
    <row r="484" spans="1:18" s="1" customFormat="1" ht="11.5" x14ac:dyDescent="0.25">
      <c r="A484" s="1" t="s">
        <v>515</v>
      </c>
      <c r="B484" s="1" t="s">
        <v>28</v>
      </c>
      <c r="C484" s="1" t="s">
        <v>29</v>
      </c>
      <c r="D484" s="1">
        <v>2</v>
      </c>
      <c r="E484" s="1" t="s">
        <v>17</v>
      </c>
      <c r="F484" s="1" t="s">
        <v>22</v>
      </c>
      <c r="G484" s="1">
        <v>6905</v>
      </c>
      <c r="H484" s="1">
        <v>7212</v>
      </c>
      <c r="I484" s="1">
        <v>422</v>
      </c>
      <c r="J484" s="1">
        <v>360</v>
      </c>
      <c r="K484" s="1">
        <v>1</v>
      </c>
      <c r="L484" s="1" t="s">
        <v>30</v>
      </c>
      <c r="M484" s="1">
        <f>Table1[[#This Row],[ApplicantIncome]]+Table1[[#This Row],[CoapplicantIncome]]</f>
        <v>14117</v>
      </c>
      <c r="N484" s="1" t="s">
        <v>26</v>
      </c>
      <c r="O484" s="1" t="str">
        <f>IF(Table1[[#This Row],[Total_Income]]&lt;3000,"Low",IF(Table1[[#This Row],[Total_Income]]&lt;7000,"Medium","High"))</f>
        <v>High</v>
      </c>
      <c r="P484" s="1" t="str">
        <f t="shared" si="21"/>
        <v>Rejected</v>
      </c>
      <c r="Q484" s="1" t="str">
        <f t="shared" si="22"/>
        <v>Low Risk</v>
      </c>
      <c r="R484" s="2">
        <f t="shared" si="23"/>
        <v>3096.4865017709676</v>
      </c>
    </row>
    <row r="485" spans="1:18" s="1" customFormat="1" ht="11.5" x14ac:dyDescent="0.25">
      <c r="A485" s="1" t="s">
        <v>516</v>
      </c>
      <c r="B485" s="1" t="s">
        <v>1238</v>
      </c>
      <c r="C485" s="1" t="s">
        <v>22</v>
      </c>
      <c r="D485" s="1">
        <v>2</v>
      </c>
      <c r="E485" s="1" t="s">
        <v>17</v>
      </c>
      <c r="F485" s="1" t="s">
        <v>22</v>
      </c>
      <c r="G485" s="1">
        <v>8584</v>
      </c>
      <c r="H485" s="1">
        <v>7645</v>
      </c>
      <c r="I485" s="1">
        <v>459</v>
      </c>
      <c r="J485" s="1">
        <v>360</v>
      </c>
      <c r="K485" s="1">
        <v>0</v>
      </c>
      <c r="L485" s="1" t="s">
        <v>19</v>
      </c>
      <c r="M485" s="1">
        <f>Table1[[#This Row],[ApplicantIncome]]+Table1[[#This Row],[CoapplicantIncome]]</f>
        <v>16229</v>
      </c>
      <c r="N485" s="1" t="s">
        <v>26</v>
      </c>
      <c r="O485" s="1" t="str">
        <f>IF(Table1[[#This Row],[Total_Income]]&lt;3000,"Low",IF(Table1[[#This Row],[Total_Income]]&lt;7000,"Medium","High"))</f>
        <v>High</v>
      </c>
      <c r="P485" s="1" t="str">
        <f t="shared" si="21"/>
        <v>Rejected</v>
      </c>
      <c r="Q485" s="1" t="str">
        <f t="shared" si="22"/>
        <v>High Risk</v>
      </c>
      <c r="R485" s="2">
        <f t="shared" si="23"/>
        <v>3367.9793941063367</v>
      </c>
    </row>
    <row r="486" spans="1:18" s="1" customFormat="1" ht="11.5" x14ac:dyDescent="0.25">
      <c r="A486" s="1" t="s">
        <v>517</v>
      </c>
      <c r="B486" s="1" t="s">
        <v>52</v>
      </c>
      <c r="C486" s="1" t="s">
        <v>22</v>
      </c>
      <c r="D486" s="1">
        <v>1</v>
      </c>
      <c r="E486" s="1" t="s">
        <v>25</v>
      </c>
      <c r="F486" s="1" t="s">
        <v>22</v>
      </c>
      <c r="G486" s="1">
        <v>4314</v>
      </c>
      <c r="H486" s="1">
        <v>7119</v>
      </c>
      <c r="I486" s="1">
        <v>233</v>
      </c>
      <c r="J486" s="1">
        <v>360</v>
      </c>
      <c r="K486" s="1">
        <v>0</v>
      </c>
      <c r="L486" s="1" t="s">
        <v>41</v>
      </c>
      <c r="M486" s="1">
        <f>Table1[[#This Row],[ApplicantIncome]]+Table1[[#This Row],[CoapplicantIncome]]</f>
        <v>11433</v>
      </c>
      <c r="N486" s="1" t="s">
        <v>20</v>
      </c>
      <c r="O486" s="1" t="str">
        <f>IF(Table1[[#This Row],[Total_Income]]&lt;3000,"Low",IF(Table1[[#This Row],[Total_Income]]&lt;7000,"Medium","High"))</f>
        <v>High</v>
      </c>
      <c r="P486" s="1" t="str">
        <f t="shared" si="21"/>
        <v>Approved</v>
      </c>
      <c r="Q486" s="1" t="str">
        <f t="shared" si="22"/>
        <v>High Risk</v>
      </c>
      <c r="R486" s="2">
        <f t="shared" si="23"/>
        <v>1709.6714571389466</v>
      </c>
    </row>
    <row r="487" spans="1:18" s="1" customFormat="1" ht="11.5" x14ac:dyDescent="0.25">
      <c r="A487" s="1" t="s">
        <v>518</v>
      </c>
      <c r="B487" s="1" t="s">
        <v>28</v>
      </c>
      <c r="C487" s="1" t="s">
        <v>29</v>
      </c>
      <c r="D487" s="1">
        <v>2</v>
      </c>
      <c r="E487" s="1" t="s">
        <v>25</v>
      </c>
      <c r="F487" s="1" t="s">
        <v>22</v>
      </c>
      <c r="G487" s="1">
        <v>8333</v>
      </c>
      <c r="H487" s="1">
        <v>8345</v>
      </c>
      <c r="I487" s="1">
        <v>302</v>
      </c>
      <c r="J487" s="1">
        <v>360</v>
      </c>
      <c r="K487" s="1">
        <v>0</v>
      </c>
      <c r="L487" s="1" t="s">
        <v>30</v>
      </c>
      <c r="M487" s="1">
        <f>Table1[[#This Row],[ApplicantIncome]]+Table1[[#This Row],[CoapplicantIncome]]</f>
        <v>16678</v>
      </c>
      <c r="N487" s="1" t="s">
        <v>26</v>
      </c>
      <c r="O487" s="1" t="str">
        <f>IF(Table1[[#This Row],[Total_Income]]&lt;3000,"Low",IF(Table1[[#This Row],[Total_Income]]&lt;7000,"Medium","High"))</f>
        <v>High</v>
      </c>
      <c r="P487" s="1" t="str">
        <f t="shared" si="21"/>
        <v>Rejected</v>
      </c>
      <c r="Q487" s="1" t="str">
        <f t="shared" si="22"/>
        <v>High Risk</v>
      </c>
      <c r="R487" s="2">
        <f t="shared" si="23"/>
        <v>2215.9690131157163</v>
      </c>
    </row>
    <row r="488" spans="1:18" s="1" customFormat="1" ht="11.5" x14ac:dyDescent="0.25">
      <c r="A488" s="1" t="s">
        <v>519</v>
      </c>
      <c r="B488" s="1" t="s">
        <v>1238</v>
      </c>
      <c r="C488" s="1" t="s">
        <v>22</v>
      </c>
      <c r="D488" s="1" t="s">
        <v>16</v>
      </c>
      <c r="E488" s="1" t="s">
        <v>17</v>
      </c>
      <c r="F488" s="1" t="s">
        <v>22</v>
      </c>
      <c r="G488" s="1">
        <v>5721</v>
      </c>
      <c r="H488" s="1">
        <v>7647</v>
      </c>
      <c r="I488" s="1">
        <v>98</v>
      </c>
      <c r="J488" s="1">
        <v>360</v>
      </c>
      <c r="K488" s="1">
        <v>0</v>
      </c>
      <c r="L488" s="1" t="s">
        <v>41</v>
      </c>
      <c r="M488" s="1">
        <f>Table1[[#This Row],[ApplicantIncome]]+Table1[[#This Row],[CoapplicantIncome]]</f>
        <v>13368</v>
      </c>
      <c r="N488" s="1" t="s">
        <v>20</v>
      </c>
      <c r="O488" s="1" t="str">
        <f>IF(Table1[[#This Row],[Total_Income]]&lt;3000,"Low",IF(Table1[[#This Row],[Total_Income]]&lt;7000,"Medium","High"))</f>
        <v>High</v>
      </c>
      <c r="P488" s="1" t="str">
        <f t="shared" si="21"/>
        <v>Approved</v>
      </c>
      <c r="Q488" s="1" t="str">
        <f t="shared" si="22"/>
        <v>High Risk</v>
      </c>
      <c r="R488" s="2">
        <f t="shared" si="23"/>
        <v>719.08928240178864</v>
      </c>
    </row>
    <row r="489" spans="1:18" s="1" customFormat="1" ht="11.5" x14ac:dyDescent="0.25">
      <c r="A489" s="1" t="s">
        <v>520</v>
      </c>
      <c r="B489" s="1" t="s">
        <v>52</v>
      </c>
      <c r="C489" s="1" t="s">
        <v>22</v>
      </c>
      <c r="D489" s="1">
        <v>0</v>
      </c>
      <c r="E489" s="1" t="s">
        <v>25</v>
      </c>
      <c r="F489" s="1" t="s">
        <v>22</v>
      </c>
      <c r="G489" s="1">
        <v>9630</v>
      </c>
      <c r="H489" s="1">
        <v>7667</v>
      </c>
      <c r="I489" s="1">
        <v>156</v>
      </c>
      <c r="J489" s="1">
        <v>120</v>
      </c>
      <c r="K489" s="1">
        <v>0</v>
      </c>
      <c r="L489" s="1" t="s">
        <v>41</v>
      </c>
      <c r="M489" s="1">
        <f>Table1[[#This Row],[ApplicantIncome]]+Table1[[#This Row],[CoapplicantIncome]]</f>
        <v>17297</v>
      </c>
      <c r="N489" s="1" t="s">
        <v>26</v>
      </c>
      <c r="O489" s="1" t="str">
        <f>IF(Table1[[#This Row],[Total_Income]]&lt;3000,"Low",IF(Table1[[#This Row],[Total_Income]]&lt;7000,"Medium","High"))</f>
        <v>High</v>
      </c>
      <c r="P489" s="1" t="str">
        <f t="shared" si="21"/>
        <v>Rejected</v>
      </c>
      <c r="Q489" s="1" t="str">
        <f t="shared" si="22"/>
        <v>High Risk</v>
      </c>
      <c r="R489" s="2">
        <f t="shared" si="23"/>
        <v>1892.7104719435681</v>
      </c>
    </row>
    <row r="490" spans="1:18" s="1" customFormat="1" ht="11.5" x14ac:dyDescent="0.25">
      <c r="A490" s="1" t="s">
        <v>521</v>
      </c>
      <c r="B490" s="1" t="s">
        <v>52</v>
      </c>
      <c r="C490" s="1" t="s">
        <v>22</v>
      </c>
      <c r="D490" s="1">
        <v>2</v>
      </c>
      <c r="E490" s="1" t="s">
        <v>17</v>
      </c>
      <c r="F490" s="1" t="s">
        <v>29</v>
      </c>
      <c r="G490" s="1">
        <v>11291</v>
      </c>
      <c r="H490" s="1">
        <v>7763</v>
      </c>
      <c r="I490" s="1">
        <v>193</v>
      </c>
      <c r="J490" s="1">
        <v>120</v>
      </c>
      <c r="K490" s="1">
        <v>1</v>
      </c>
      <c r="L490" s="1" t="s">
        <v>30</v>
      </c>
      <c r="M490" s="1">
        <f>Table1[[#This Row],[ApplicantIncome]]+Table1[[#This Row],[CoapplicantIncome]]</f>
        <v>19054</v>
      </c>
      <c r="N490" s="1" t="s">
        <v>26</v>
      </c>
      <c r="O490" s="1" t="str">
        <f>IF(Table1[[#This Row],[Total_Income]]&lt;3000,"Low",IF(Table1[[#This Row],[Total_Income]]&lt;7000,"Medium","High"))</f>
        <v>High</v>
      </c>
      <c r="P490" s="1" t="str">
        <f t="shared" si="21"/>
        <v>Rejected</v>
      </c>
      <c r="Q490" s="1" t="str">
        <f t="shared" si="22"/>
        <v>Low Risk</v>
      </c>
      <c r="R490" s="2">
        <f t="shared" si="23"/>
        <v>2341.6225710583885</v>
      </c>
    </row>
    <row r="491" spans="1:18" s="1" customFormat="1" ht="11.5" x14ac:dyDescent="0.25">
      <c r="A491" s="1" t="s">
        <v>522</v>
      </c>
      <c r="B491" s="1" t="s">
        <v>52</v>
      </c>
      <c r="C491" s="1" t="s">
        <v>22</v>
      </c>
      <c r="D491" s="1">
        <v>2</v>
      </c>
      <c r="E491" s="1" t="s">
        <v>17</v>
      </c>
      <c r="F491" s="1" t="s">
        <v>22</v>
      </c>
      <c r="G491" s="1">
        <v>6006</v>
      </c>
      <c r="H491" s="1">
        <v>5231</v>
      </c>
      <c r="I491" s="1">
        <v>657</v>
      </c>
      <c r="J491" s="1">
        <v>180</v>
      </c>
      <c r="K491" s="1">
        <v>1</v>
      </c>
      <c r="L491" s="1" t="s">
        <v>30</v>
      </c>
      <c r="M491" s="1">
        <f>Table1[[#This Row],[ApplicantIncome]]+Table1[[#This Row],[CoapplicantIncome]]</f>
        <v>11237</v>
      </c>
      <c r="N491" s="1" t="s">
        <v>20</v>
      </c>
      <c r="O491" s="1" t="str">
        <f>IF(Table1[[#This Row],[Total_Income]]&lt;3000,"Low",IF(Table1[[#This Row],[Total_Income]]&lt;7000,"Medium","High"))</f>
        <v>High</v>
      </c>
      <c r="P491" s="1" t="str">
        <f t="shared" si="21"/>
        <v>Approved</v>
      </c>
      <c r="Q491" s="1" t="str">
        <f t="shared" si="22"/>
        <v>Low Risk</v>
      </c>
      <c r="R491" s="2">
        <f t="shared" si="23"/>
        <v>6278.634194050409</v>
      </c>
    </row>
    <row r="492" spans="1:18" s="1" customFormat="1" ht="11.5" x14ac:dyDescent="0.25">
      <c r="A492" s="1" t="s">
        <v>523</v>
      </c>
      <c r="B492" s="1" t="s">
        <v>28</v>
      </c>
      <c r="C492" s="1" t="s">
        <v>22</v>
      </c>
      <c r="D492" s="1">
        <v>0</v>
      </c>
      <c r="E492" s="1" t="s">
        <v>17</v>
      </c>
      <c r="F492" s="1" t="s">
        <v>22</v>
      </c>
      <c r="G492" s="1">
        <v>5249</v>
      </c>
      <c r="H492" s="1">
        <v>7622</v>
      </c>
      <c r="I492" s="1">
        <v>570</v>
      </c>
      <c r="J492" s="1">
        <v>360</v>
      </c>
      <c r="K492" s="1">
        <v>1</v>
      </c>
      <c r="L492" s="1" t="s">
        <v>41</v>
      </c>
      <c r="M492" s="1">
        <f>Table1[[#This Row],[ApplicantIncome]]+Table1[[#This Row],[CoapplicantIncome]]</f>
        <v>12871</v>
      </c>
      <c r="N492" s="1" t="s">
        <v>20</v>
      </c>
      <c r="O492" s="1" t="str">
        <f>IF(Table1[[#This Row],[Total_Income]]&lt;3000,"Low",IF(Table1[[#This Row],[Total_Income]]&lt;7000,"Medium","High"))</f>
        <v>High</v>
      </c>
      <c r="P492" s="1" t="str">
        <f t="shared" si="21"/>
        <v>Approved</v>
      </c>
      <c r="Q492" s="1" t="str">
        <f t="shared" si="22"/>
        <v>Low Risk</v>
      </c>
      <c r="R492" s="2">
        <f t="shared" si="23"/>
        <v>4182.4580711124445</v>
      </c>
    </row>
    <row r="493" spans="1:18" s="1" customFormat="1" ht="11.5" x14ac:dyDescent="0.25">
      <c r="A493" s="1" t="s">
        <v>524</v>
      </c>
      <c r="B493" s="1" t="s">
        <v>1238</v>
      </c>
      <c r="C493" s="1" t="s">
        <v>22</v>
      </c>
      <c r="D493" s="1" t="s">
        <v>16</v>
      </c>
      <c r="E493" s="1" t="s">
        <v>25</v>
      </c>
      <c r="F493" s="1" t="s">
        <v>29</v>
      </c>
      <c r="G493" s="1">
        <v>4076</v>
      </c>
      <c r="H493" s="1">
        <v>8473</v>
      </c>
      <c r="I493" s="1">
        <v>511</v>
      </c>
      <c r="J493" s="1">
        <v>120</v>
      </c>
      <c r="K493" s="1">
        <v>0</v>
      </c>
      <c r="L493" s="1" t="s">
        <v>41</v>
      </c>
      <c r="M493" s="1">
        <f>Table1[[#This Row],[ApplicantIncome]]+Table1[[#This Row],[CoapplicantIncome]]</f>
        <v>12549</v>
      </c>
      <c r="N493" s="1" t="s">
        <v>20</v>
      </c>
      <c r="O493" s="1" t="str">
        <f>IF(Table1[[#This Row],[Total_Income]]&lt;3000,"Low",IF(Table1[[#This Row],[Total_Income]]&lt;7000,"Medium","High"))</f>
        <v>High</v>
      </c>
      <c r="P493" s="1" t="str">
        <f t="shared" si="21"/>
        <v>Approved</v>
      </c>
      <c r="Q493" s="1" t="str">
        <f t="shared" si="22"/>
        <v>High Risk</v>
      </c>
      <c r="R493" s="2">
        <f t="shared" si="23"/>
        <v>6199.8400715587395</v>
      </c>
    </row>
    <row r="494" spans="1:18" s="1" customFormat="1" ht="11.5" x14ac:dyDescent="0.25">
      <c r="A494" s="1" t="s">
        <v>525</v>
      </c>
      <c r="B494" s="1" t="s">
        <v>1238</v>
      </c>
      <c r="C494" s="1" t="s">
        <v>22</v>
      </c>
      <c r="D494" s="1">
        <v>2</v>
      </c>
      <c r="E494" s="1" t="s">
        <v>17</v>
      </c>
      <c r="F494" s="1" t="s">
        <v>29</v>
      </c>
      <c r="G494" s="1">
        <v>4583</v>
      </c>
      <c r="H494" s="1">
        <v>3806</v>
      </c>
      <c r="I494" s="1">
        <v>564</v>
      </c>
      <c r="J494" s="1">
        <v>360</v>
      </c>
      <c r="K494" s="1">
        <v>0</v>
      </c>
      <c r="L494" s="1" t="s">
        <v>19</v>
      </c>
      <c r="M494" s="1">
        <f>Table1[[#This Row],[ApplicantIncome]]+Table1[[#This Row],[CoapplicantIncome]]</f>
        <v>8389</v>
      </c>
      <c r="N494" s="1" t="s">
        <v>26</v>
      </c>
      <c r="O494" s="1" t="str">
        <f>IF(Table1[[#This Row],[Total_Income]]&lt;3000,"Low",IF(Table1[[#This Row],[Total_Income]]&lt;7000,"Medium","High"))</f>
        <v>High</v>
      </c>
      <c r="P494" s="1" t="str">
        <f t="shared" si="21"/>
        <v>Rejected</v>
      </c>
      <c r="Q494" s="1" t="str">
        <f t="shared" si="22"/>
        <v>High Risk</v>
      </c>
      <c r="R494" s="2">
        <f t="shared" si="23"/>
        <v>4138.4321966796824</v>
      </c>
    </row>
    <row r="495" spans="1:18" s="1" customFormat="1" ht="11.5" x14ac:dyDescent="0.25">
      <c r="A495" s="1" t="s">
        <v>526</v>
      </c>
      <c r="B495" s="1" t="s">
        <v>1238</v>
      </c>
      <c r="C495" s="1" t="s">
        <v>22</v>
      </c>
      <c r="D495" s="1">
        <v>1</v>
      </c>
      <c r="E495" s="1" t="s">
        <v>17</v>
      </c>
      <c r="F495" s="1" t="s">
        <v>22</v>
      </c>
      <c r="G495" s="1">
        <v>6188</v>
      </c>
      <c r="H495" s="1">
        <v>3637</v>
      </c>
      <c r="I495" s="1">
        <v>148</v>
      </c>
      <c r="J495" s="1">
        <v>360</v>
      </c>
      <c r="K495" s="1">
        <v>0</v>
      </c>
      <c r="L495" s="1" t="s">
        <v>30</v>
      </c>
      <c r="M495" s="1">
        <f>Table1[[#This Row],[ApplicantIncome]]+Table1[[#This Row],[CoapplicantIncome]]</f>
        <v>9825</v>
      </c>
      <c r="N495" s="1" t="s">
        <v>26</v>
      </c>
      <c r="O495" s="1" t="str">
        <f>IF(Table1[[#This Row],[Total_Income]]&lt;3000,"Low",IF(Table1[[#This Row],[Total_Income]]&lt;7000,"Medium","High"))</f>
        <v>High</v>
      </c>
      <c r="P495" s="1" t="str">
        <f t="shared" si="21"/>
        <v>Rejected</v>
      </c>
      <c r="Q495" s="1" t="str">
        <f t="shared" si="22"/>
        <v>High Risk</v>
      </c>
      <c r="R495" s="2">
        <f t="shared" si="23"/>
        <v>1085.9715693414767</v>
      </c>
    </row>
    <row r="496" spans="1:18" s="1" customFormat="1" ht="11.5" x14ac:dyDescent="0.25">
      <c r="A496" s="1" t="s">
        <v>527</v>
      </c>
      <c r="B496" s="1" t="s">
        <v>1238</v>
      </c>
      <c r="C496" s="1" t="s">
        <v>22</v>
      </c>
      <c r="D496" s="1">
        <v>0</v>
      </c>
      <c r="E496" s="1" t="s">
        <v>17</v>
      </c>
      <c r="F496" s="1" t="s">
        <v>22</v>
      </c>
      <c r="G496" s="1">
        <v>5260</v>
      </c>
      <c r="H496" s="1">
        <v>9722</v>
      </c>
      <c r="I496" s="1">
        <v>696</v>
      </c>
      <c r="J496" s="1">
        <v>180</v>
      </c>
      <c r="K496" s="1">
        <v>0</v>
      </c>
      <c r="L496" s="1" t="s">
        <v>41</v>
      </c>
      <c r="M496" s="1">
        <f>Table1[[#This Row],[ApplicantIncome]]+Table1[[#This Row],[CoapplicantIncome]]</f>
        <v>14982</v>
      </c>
      <c r="N496" s="1" t="s">
        <v>20</v>
      </c>
      <c r="O496" s="1" t="str">
        <f>IF(Table1[[#This Row],[Total_Income]]&lt;3000,"Low",IF(Table1[[#This Row],[Total_Income]]&lt;7000,"Medium","High"))</f>
        <v>High</v>
      </c>
      <c r="P496" s="1" t="str">
        <f t="shared" si="21"/>
        <v>Approved</v>
      </c>
      <c r="Q496" s="1" t="str">
        <f t="shared" si="22"/>
        <v>High Risk</v>
      </c>
      <c r="R496" s="2">
        <f t="shared" si="23"/>
        <v>6651.3385069392461</v>
      </c>
    </row>
    <row r="497" spans="1:18" s="1" customFormat="1" ht="11.5" x14ac:dyDescent="0.25">
      <c r="A497" s="1" t="s">
        <v>528</v>
      </c>
      <c r="B497" s="1" t="s">
        <v>1238</v>
      </c>
      <c r="C497" s="1" t="s">
        <v>22</v>
      </c>
      <c r="D497" s="1" t="s">
        <v>16</v>
      </c>
      <c r="E497" s="1" t="s">
        <v>17</v>
      </c>
      <c r="F497" s="1" t="s">
        <v>29</v>
      </c>
      <c r="G497" s="1">
        <v>6758</v>
      </c>
      <c r="H497" s="1">
        <v>4092</v>
      </c>
      <c r="I497" s="1">
        <v>224</v>
      </c>
      <c r="J497" s="1">
        <v>360</v>
      </c>
      <c r="K497" s="1">
        <v>0</v>
      </c>
      <c r="L497" s="1" t="s">
        <v>30</v>
      </c>
      <c r="M497" s="1">
        <f>Table1[[#This Row],[ApplicantIncome]]+Table1[[#This Row],[CoapplicantIncome]]</f>
        <v>10850</v>
      </c>
      <c r="N497" s="1" t="s">
        <v>20</v>
      </c>
      <c r="O497" s="1" t="str">
        <f>IF(Table1[[#This Row],[Total_Income]]&lt;3000,"Low",IF(Table1[[#This Row],[Total_Income]]&lt;7000,"Medium","High"))</f>
        <v>High</v>
      </c>
      <c r="P497" s="1" t="str">
        <f t="shared" si="21"/>
        <v>Approved</v>
      </c>
      <c r="Q497" s="1" t="str">
        <f t="shared" si="22"/>
        <v>High Risk</v>
      </c>
      <c r="R497" s="2">
        <f t="shared" si="23"/>
        <v>1643.6326454898028</v>
      </c>
    </row>
    <row r="498" spans="1:18" s="1" customFormat="1" ht="11.5" x14ac:dyDescent="0.25">
      <c r="A498" s="1" t="s">
        <v>529</v>
      </c>
      <c r="B498" s="1" t="s">
        <v>1238</v>
      </c>
      <c r="C498" s="1" t="s">
        <v>29</v>
      </c>
      <c r="D498" s="1">
        <v>1</v>
      </c>
      <c r="E498" s="1" t="s">
        <v>25</v>
      </c>
      <c r="F498" s="1" t="s">
        <v>22</v>
      </c>
      <c r="G498" s="1">
        <v>10814</v>
      </c>
      <c r="H498" s="1">
        <v>8185</v>
      </c>
      <c r="I498" s="1">
        <v>564</v>
      </c>
      <c r="J498" s="1">
        <v>360</v>
      </c>
      <c r="K498" s="1">
        <v>1</v>
      </c>
      <c r="L498" s="1" t="s">
        <v>30</v>
      </c>
      <c r="M498" s="1">
        <f>Table1[[#This Row],[ApplicantIncome]]+Table1[[#This Row],[CoapplicantIncome]]</f>
        <v>18999</v>
      </c>
      <c r="N498" s="1" t="s">
        <v>26</v>
      </c>
      <c r="O498" s="1" t="str">
        <f>IF(Table1[[#This Row],[Total_Income]]&lt;3000,"Low",IF(Table1[[#This Row],[Total_Income]]&lt;7000,"Medium","High"))</f>
        <v>High</v>
      </c>
      <c r="P498" s="1" t="str">
        <f t="shared" si="21"/>
        <v>Rejected</v>
      </c>
      <c r="Q498" s="1" t="str">
        <f t="shared" si="22"/>
        <v>Low Risk</v>
      </c>
      <c r="R498" s="2">
        <f t="shared" si="23"/>
        <v>4138.4321966796824</v>
      </c>
    </row>
    <row r="499" spans="1:18" s="1" customFormat="1" ht="11.5" x14ac:dyDescent="0.25">
      <c r="A499" s="1" t="s">
        <v>530</v>
      </c>
      <c r="B499" s="1" t="s">
        <v>52</v>
      </c>
      <c r="C499" s="1" t="s">
        <v>29</v>
      </c>
      <c r="D499" s="1" t="s">
        <v>16</v>
      </c>
      <c r="E499" s="1" t="s">
        <v>25</v>
      </c>
      <c r="F499" s="1" t="s">
        <v>29</v>
      </c>
      <c r="G499" s="1">
        <v>12100</v>
      </c>
      <c r="H499" s="1">
        <v>9101</v>
      </c>
      <c r="I499" s="1">
        <v>377</v>
      </c>
      <c r="J499" s="1">
        <v>180</v>
      </c>
      <c r="K499" s="1">
        <v>1</v>
      </c>
      <c r="L499" s="1" t="s">
        <v>30</v>
      </c>
      <c r="M499" s="1">
        <f>Table1[[#This Row],[ApplicantIncome]]+Table1[[#This Row],[CoapplicantIncome]]</f>
        <v>21201</v>
      </c>
      <c r="N499" s="1" t="s">
        <v>26</v>
      </c>
      <c r="O499" s="1" t="str">
        <f>IF(Table1[[#This Row],[Total_Income]]&lt;3000,"Low",IF(Table1[[#This Row],[Total_Income]]&lt;7000,"Medium","High"))</f>
        <v>High</v>
      </c>
      <c r="P499" s="1" t="str">
        <f t="shared" si="21"/>
        <v>Rejected</v>
      </c>
      <c r="Q499" s="1" t="str">
        <f t="shared" si="22"/>
        <v>Low Risk</v>
      </c>
      <c r="R499" s="2">
        <f t="shared" si="23"/>
        <v>3602.8083579254244</v>
      </c>
    </row>
    <row r="500" spans="1:18" s="1" customFormat="1" ht="11.5" x14ac:dyDescent="0.25">
      <c r="A500" s="1" t="s">
        <v>531</v>
      </c>
      <c r="B500" s="1" t="s">
        <v>1238</v>
      </c>
      <c r="C500" s="1" t="s">
        <v>29</v>
      </c>
      <c r="D500" s="1" t="s">
        <v>16</v>
      </c>
      <c r="E500" s="1" t="s">
        <v>17</v>
      </c>
      <c r="F500" s="1" t="s">
        <v>22</v>
      </c>
      <c r="G500" s="1">
        <v>10203</v>
      </c>
      <c r="H500" s="1">
        <v>6419</v>
      </c>
      <c r="I500" s="1">
        <v>496</v>
      </c>
      <c r="J500" s="1">
        <v>360</v>
      </c>
      <c r="K500" s="1">
        <v>0</v>
      </c>
      <c r="L500" s="1" t="s">
        <v>19</v>
      </c>
      <c r="M500" s="1">
        <f>Table1[[#This Row],[ApplicantIncome]]+Table1[[#This Row],[CoapplicantIncome]]</f>
        <v>16622</v>
      </c>
      <c r="N500" s="1" t="s">
        <v>26</v>
      </c>
      <c r="O500" s="1" t="str">
        <f>IF(Table1[[#This Row],[Total_Income]]&lt;3000,"Low",IF(Table1[[#This Row],[Total_Income]]&lt;7000,"Medium","High"))</f>
        <v>High</v>
      </c>
      <c r="P500" s="1" t="str">
        <f t="shared" si="21"/>
        <v>Rejected</v>
      </c>
      <c r="Q500" s="1" t="str">
        <f t="shared" si="22"/>
        <v>High Risk</v>
      </c>
      <c r="R500" s="2">
        <f t="shared" si="23"/>
        <v>3639.4722864417058</v>
      </c>
    </row>
    <row r="501" spans="1:18" s="1" customFormat="1" ht="11.5" x14ac:dyDescent="0.25">
      <c r="A501" s="1" t="s">
        <v>532</v>
      </c>
      <c r="B501" s="1" t="s">
        <v>28</v>
      </c>
      <c r="C501" s="1" t="s">
        <v>29</v>
      </c>
      <c r="D501" s="1">
        <v>1</v>
      </c>
      <c r="E501" s="1" t="s">
        <v>17</v>
      </c>
      <c r="F501" s="1" t="s">
        <v>22</v>
      </c>
      <c r="G501" s="1">
        <v>3967</v>
      </c>
      <c r="H501" s="1">
        <v>947</v>
      </c>
      <c r="I501" s="1">
        <v>451</v>
      </c>
      <c r="J501" s="1">
        <v>120</v>
      </c>
      <c r="K501" s="1">
        <v>0</v>
      </c>
      <c r="L501" s="1" t="s">
        <v>41</v>
      </c>
      <c r="M501" s="1">
        <f>Table1[[#This Row],[ApplicantIncome]]+Table1[[#This Row],[CoapplicantIncome]]</f>
        <v>4914</v>
      </c>
      <c r="N501" s="1" t="s">
        <v>20</v>
      </c>
      <c r="O501" s="1" t="str">
        <f>IF(Table1[[#This Row],[Total_Income]]&lt;3000,"Low",IF(Table1[[#This Row],[Total_Income]]&lt;7000,"Medium","High"))</f>
        <v>Medium</v>
      </c>
      <c r="P501" s="1" t="str">
        <f t="shared" si="21"/>
        <v>Approved</v>
      </c>
      <c r="Q501" s="1" t="str">
        <f t="shared" si="22"/>
        <v>High Risk</v>
      </c>
      <c r="R501" s="2">
        <f t="shared" si="23"/>
        <v>5471.8745054265974</v>
      </c>
    </row>
    <row r="502" spans="1:18" s="1" customFormat="1" ht="11.5" x14ac:dyDescent="0.25">
      <c r="A502" s="1" t="s">
        <v>533</v>
      </c>
      <c r="B502" s="1" t="s">
        <v>28</v>
      </c>
      <c r="C502" s="1" t="s">
        <v>22</v>
      </c>
      <c r="D502" s="1" t="s">
        <v>16</v>
      </c>
      <c r="E502" s="1" t="s">
        <v>25</v>
      </c>
      <c r="F502" s="1" t="s">
        <v>22</v>
      </c>
      <c r="G502" s="1">
        <v>7254</v>
      </c>
      <c r="H502" s="1">
        <v>6684</v>
      </c>
      <c r="I502" s="1">
        <v>560</v>
      </c>
      <c r="J502" s="1">
        <v>120</v>
      </c>
      <c r="K502" s="1">
        <v>1</v>
      </c>
      <c r="L502" s="1" t="s">
        <v>19</v>
      </c>
      <c r="M502" s="1">
        <f>Table1[[#This Row],[ApplicantIncome]]+Table1[[#This Row],[CoapplicantIncome]]</f>
        <v>13938</v>
      </c>
      <c r="N502" s="1" t="s">
        <v>26</v>
      </c>
      <c r="O502" s="1" t="str">
        <f>IF(Table1[[#This Row],[Total_Income]]&lt;3000,"Low",IF(Table1[[#This Row],[Total_Income]]&lt;7000,"Medium","High"))</f>
        <v>High</v>
      </c>
      <c r="P502" s="1" t="str">
        <f t="shared" si="21"/>
        <v>Rejected</v>
      </c>
      <c r="Q502" s="1" t="str">
        <f t="shared" si="22"/>
        <v>Low Risk</v>
      </c>
      <c r="R502" s="2">
        <f t="shared" si="23"/>
        <v>6794.3452838999874</v>
      </c>
    </row>
    <row r="503" spans="1:18" s="1" customFormat="1" ht="11.5" x14ac:dyDescent="0.25">
      <c r="A503" s="1" t="s">
        <v>534</v>
      </c>
      <c r="B503" s="1" t="s">
        <v>1238</v>
      </c>
      <c r="C503" s="1" t="s">
        <v>22</v>
      </c>
      <c r="D503" s="1">
        <v>2</v>
      </c>
      <c r="E503" s="1" t="s">
        <v>25</v>
      </c>
      <c r="F503" s="1" t="s">
        <v>29</v>
      </c>
      <c r="G503" s="1">
        <v>12485</v>
      </c>
      <c r="H503" s="1">
        <v>8664</v>
      </c>
      <c r="I503" s="1">
        <v>646</v>
      </c>
      <c r="J503" s="1">
        <v>120</v>
      </c>
      <c r="K503" s="1">
        <v>1</v>
      </c>
      <c r="L503" s="1" t="s">
        <v>30</v>
      </c>
      <c r="M503" s="1">
        <f>Table1[[#This Row],[ApplicantIncome]]+Table1[[#This Row],[CoapplicantIncome]]</f>
        <v>21149</v>
      </c>
      <c r="N503" s="1" t="s">
        <v>26</v>
      </c>
      <c r="O503" s="1" t="str">
        <f>IF(Table1[[#This Row],[Total_Income]]&lt;3000,"Low",IF(Table1[[#This Row],[Total_Income]]&lt;7000,"Medium","High"))</f>
        <v>High</v>
      </c>
      <c r="P503" s="1" t="str">
        <f t="shared" si="21"/>
        <v>Rejected</v>
      </c>
      <c r="Q503" s="1" t="str">
        <f t="shared" si="22"/>
        <v>Low Risk</v>
      </c>
      <c r="R503" s="2">
        <f t="shared" si="23"/>
        <v>7837.7625953560573</v>
      </c>
    </row>
    <row r="504" spans="1:18" s="1" customFormat="1" ht="11.5" x14ac:dyDescent="0.25">
      <c r="A504" s="1" t="s">
        <v>535</v>
      </c>
      <c r="B504" s="1" t="s">
        <v>52</v>
      </c>
      <c r="C504" s="1" t="s">
        <v>22</v>
      </c>
      <c r="D504" s="1">
        <v>2</v>
      </c>
      <c r="E504" s="1" t="s">
        <v>25</v>
      </c>
      <c r="F504" s="1" t="s">
        <v>22</v>
      </c>
      <c r="G504" s="1">
        <v>4996</v>
      </c>
      <c r="H504" s="1">
        <v>464</v>
      </c>
      <c r="I504" s="1">
        <v>597</v>
      </c>
      <c r="J504" s="1">
        <v>360</v>
      </c>
      <c r="K504" s="1">
        <v>1</v>
      </c>
      <c r="L504" s="1" t="s">
        <v>19</v>
      </c>
      <c r="M504" s="1">
        <f>Table1[[#This Row],[ApplicantIncome]]+Table1[[#This Row],[CoapplicantIncome]]</f>
        <v>5460</v>
      </c>
      <c r="N504" s="1" t="s">
        <v>20</v>
      </c>
      <c r="O504" s="1" t="str">
        <f>IF(Table1[[#This Row],[Total_Income]]&lt;3000,"Low",IF(Table1[[#This Row],[Total_Income]]&lt;7000,"Medium","High"))</f>
        <v>Medium</v>
      </c>
      <c r="P504" s="1" t="str">
        <f t="shared" si="21"/>
        <v>Approved</v>
      </c>
      <c r="Q504" s="1" t="str">
        <f t="shared" si="22"/>
        <v>Low Risk</v>
      </c>
      <c r="R504" s="2">
        <f t="shared" si="23"/>
        <v>4380.5745060598756</v>
      </c>
    </row>
    <row r="505" spans="1:18" s="1" customFormat="1" ht="11.5" x14ac:dyDescent="0.25">
      <c r="A505" s="1" t="s">
        <v>536</v>
      </c>
      <c r="B505" s="1" t="s">
        <v>1238</v>
      </c>
      <c r="C505" s="1" t="s">
        <v>22</v>
      </c>
      <c r="D505" s="1">
        <v>0</v>
      </c>
      <c r="E505" s="1" t="s">
        <v>25</v>
      </c>
      <c r="F505" s="1" t="s">
        <v>22</v>
      </c>
      <c r="G505" s="1">
        <v>16944</v>
      </c>
      <c r="H505" s="1">
        <v>2394</v>
      </c>
      <c r="I505" s="1">
        <v>56</v>
      </c>
      <c r="J505" s="1">
        <v>360</v>
      </c>
      <c r="K505" s="1">
        <v>1</v>
      </c>
      <c r="L505" s="1" t="s">
        <v>30</v>
      </c>
      <c r="M505" s="1">
        <f>Table1[[#This Row],[ApplicantIncome]]+Table1[[#This Row],[CoapplicantIncome]]</f>
        <v>19338</v>
      </c>
      <c r="N505" s="1" t="s">
        <v>20</v>
      </c>
      <c r="O505" s="1" t="str">
        <f>IF(Table1[[#This Row],[Total_Income]]&lt;3000,"Low",IF(Table1[[#This Row],[Total_Income]]&lt;7000,"Medium","High"))</f>
        <v>High</v>
      </c>
      <c r="P505" s="1" t="str">
        <f t="shared" si="21"/>
        <v>Approved</v>
      </c>
      <c r="Q505" s="1" t="str">
        <f t="shared" si="22"/>
        <v>Low Risk</v>
      </c>
      <c r="R505" s="2">
        <f t="shared" si="23"/>
        <v>410.90816137245071</v>
      </c>
    </row>
    <row r="506" spans="1:18" s="1" customFormat="1" ht="11.5" x14ac:dyDescent="0.25">
      <c r="A506" s="1" t="s">
        <v>537</v>
      </c>
      <c r="B506" s="1" t="s">
        <v>52</v>
      </c>
      <c r="C506" s="1" t="s">
        <v>22</v>
      </c>
      <c r="D506" s="1">
        <v>2</v>
      </c>
      <c r="E506" s="1" t="s">
        <v>25</v>
      </c>
      <c r="F506" s="1" t="s">
        <v>22</v>
      </c>
      <c r="G506" s="1">
        <v>6623</v>
      </c>
      <c r="H506" s="1">
        <v>4582</v>
      </c>
      <c r="I506" s="1">
        <v>158</v>
      </c>
      <c r="J506" s="1">
        <v>360</v>
      </c>
      <c r="K506" s="1">
        <v>1</v>
      </c>
      <c r="L506" s="1" t="s">
        <v>19</v>
      </c>
      <c r="M506" s="1">
        <f>Table1[[#This Row],[ApplicantIncome]]+Table1[[#This Row],[CoapplicantIncome]]</f>
        <v>11205</v>
      </c>
      <c r="N506" s="1" t="s">
        <v>20</v>
      </c>
      <c r="O506" s="1" t="str">
        <f>IF(Table1[[#This Row],[Total_Income]]&lt;3000,"Low",IF(Table1[[#This Row],[Total_Income]]&lt;7000,"Medium","High"))</f>
        <v>High</v>
      </c>
      <c r="P506" s="1" t="str">
        <f t="shared" si="21"/>
        <v>Approved</v>
      </c>
      <c r="Q506" s="1" t="str">
        <f t="shared" si="22"/>
        <v>Low Risk</v>
      </c>
      <c r="R506" s="2">
        <f t="shared" si="23"/>
        <v>1159.3480267294144</v>
      </c>
    </row>
    <row r="507" spans="1:18" s="1" customFormat="1" ht="11.5" x14ac:dyDescent="0.25">
      <c r="A507" s="1" t="s">
        <v>538</v>
      </c>
      <c r="B507" s="1" t="s">
        <v>1238</v>
      </c>
      <c r="C507" s="1" t="s">
        <v>22</v>
      </c>
      <c r="D507" s="1" t="s">
        <v>16</v>
      </c>
      <c r="E507" s="1" t="s">
        <v>17</v>
      </c>
      <c r="F507" s="1" t="s">
        <v>29</v>
      </c>
      <c r="G507" s="1">
        <v>7009</v>
      </c>
      <c r="H507" s="1">
        <v>1883</v>
      </c>
      <c r="I507" s="1">
        <v>346</v>
      </c>
      <c r="J507" s="1">
        <v>120</v>
      </c>
      <c r="K507" s="1">
        <v>1</v>
      </c>
      <c r="L507" s="1" t="s">
        <v>41</v>
      </c>
      <c r="M507" s="1">
        <f>Table1[[#This Row],[ApplicantIncome]]+Table1[[#This Row],[CoapplicantIncome]]</f>
        <v>8892</v>
      </c>
      <c r="N507" s="1" t="s">
        <v>20</v>
      </c>
      <c r="O507" s="1" t="str">
        <f>IF(Table1[[#This Row],[Total_Income]]&lt;3000,"Low",IF(Table1[[#This Row],[Total_Income]]&lt;7000,"Medium","High"))</f>
        <v>High</v>
      </c>
      <c r="P507" s="1" t="str">
        <f t="shared" si="21"/>
        <v>Approved</v>
      </c>
      <c r="Q507" s="1" t="str">
        <f t="shared" si="22"/>
        <v>Low Risk</v>
      </c>
      <c r="R507" s="2">
        <f t="shared" si="23"/>
        <v>4197.9347646953493</v>
      </c>
    </row>
    <row r="508" spans="1:18" s="1" customFormat="1" ht="11.5" x14ac:dyDescent="0.25">
      <c r="A508" s="1" t="s">
        <v>539</v>
      </c>
      <c r="B508" s="1" t="s">
        <v>1238</v>
      </c>
      <c r="C508" s="1" t="s">
        <v>22</v>
      </c>
      <c r="D508" s="1">
        <v>0</v>
      </c>
      <c r="E508" s="1" t="s">
        <v>25</v>
      </c>
      <c r="F508" s="1" t="s">
        <v>22</v>
      </c>
      <c r="G508" s="1">
        <v>9425</v>
      </c>
      <c r="H508" s="1">
        <v>4530</v>
      </c>
      <c r="I508" s="1">
        <v>584</v>
      </c>
      <c r="J508" s="1">
        <v>360</v>
      </c>
      <c r="K508" s="1">
        <v>0</v>
      </c>
      <c r="L508" s="1" t="s">
        <v>41</v>
      </c>
      <c r="M508" s="1">
        <f>Table1[[#This Row],[ApplicantIncome]]+Table1[[#This Row],[CoapplicantIncome]]</f>
        <v>13955</v>
      </c>
      <c r="N508" s="1" t="s">
        <v>20</v>
      </c>
      <c r="O508" s="1" t="str">
        <f>IF(Table1[[#This Row],[Total_Income]]&lt;3000,"Low",IF(Table1[[#This Row],[Total_Income]]&lt;7000,"Medium","High"))</f>
        <v>High</v>
      </c>
      <c r="P508" s="1" t="str">
        <f t="shared" si="21"/>
        <v>Approved</v>
      </c>
      <c r="Q508" s="1" t="str">
        <f t="shared" si="22"/>
        <v>High Risk</v>
      </c>
      <c r="R508" s="2">
        <f t="shared" si="23"/>
        <v>4285.1851114555566</v>
      </c>
    </row>
    <row r="509" spans="1:18" s="1" customFormat="1" ht="11.5" x14ac:dyDescent="0.25">
      <c r="A509" s="1" t="s">
        <v>540</v>
      </c>
      <c r="B509" s="1" t="s">
        <v>1238</v>
      </c>
      <c r="C509" s="1" t="s">
        <v>29</v>
      </c>
      <c r="D509" s="1">
        <v>1</v>
      </c>
      <c r="E509" s="1" t="s">
        <v>25</v>
      </c>
      <c r="F509" s="1" t="s">
        <v>22</v>
      </c>
      <c r="G509" s="1">
        <v>2132</v>
      </c>
      <c r="H509" s="1">
        <v>6885</v>
      </c>
      <c r="I509" s="1">
        <v>419</v>
      </c>
      <c r="J509" s="1">
        <v>120</v>
      </c>
      <c r="K509" s="1">
        <v>0</v>
      </c>
      <c r="L509" s="1" t="s">
        <v>30</v>
      </c>
      <c r="M509" s="1">
        <f>Table1[[#This Row],[ApplicantIncome]]+Table1[[#This Row],[CoapplicantIncome]]</f>
        <v>9017</v>
      </c>
      <c r="N509" s="1" t="s">
        <v>26</v>
      </c>
      <c r="O509" s="1" t="str">
        <f>IF(Table1[[#This Row],[Total_Income]]&lt;3000,"Low",IF(Table1[[#This Row],[Total_Income]]&lt;7000,"Medium","High"))</f>
        <v>High</v>
      </c>
      <c r="P509" s="1" t="str">
        <f t="shared" si="21"/>
        <v>Rejected</v>
      </c>
      <c r="Q509" s="1" t="str">
        <f t="shared" si="22"/>
        <v>High Risk</v>
      </c>
      <c r="R509" s="2">
        <f t="shared" si="23"/>
        <v>5083.6262034894553</v>
      </c>
    </row>
    <row r="510" spans="1:18" s="1" customFormat="1" ht="11.5" x14ac:dyDescent="0.25">
      <c r="A510" s="1" t="s">
        <v>541</v>
      </c>
      <c r="B510" s="1" t="s">
        <v>28</v>
      </c>
      <c r="C510" s="1" t="s">
        <v>22</v>
      </c>
      <c r="D510" s="1">
        <v>0</v>
      </c>
      <c r="E510" s="1" t="s">
        <v>17</v>
      </c>
      <c r="F510" s="1" t="s">
        <v>29</v>
      </c>
      <c r="G510" s="1">
        <v>4229</v>
      </c>
      <c r="H510" s="1">
        <v>7148</v>
      </c>
      <c r="I510" s="1">
        <v>168</v>
      </c>
      <c r="J510" s="1">
        <v>360</v>
      </c>
      <c r="K510" s="1">
        <v>0</v>
      </c>
      <c r="L510" s="1" t="s">
        <v>41</v>
      </c>
      <c r="M510" s="1">
        <f>Table1[[#This Row],[ApplicantIncome]]+Table1[[#This Row],[CoapplicantIncome]]</f>
        <v>11377</v>
      </c>
      <c r="N510" s="1" t="s">
        <v>26</v>
      </c>
      <c r="O510" s="1" t="str">
        <f>IF(Table1[[#This Row],[Total_Income]]&lt;3000,"Low",IF(Table1[[#This Row],[Total_Income]]&lt;7000,"Medium","High"))</f>
        <v>High</v>
      </c>
      <c r="P510" s="1" t="str">
        <f t="shared" si="21"/>
        <v>Rejected</v>
      </c>
      <c r="Q510" s="1" t="str">
        <f t="shared" si="22"/>
        <v>High Risk</v>
      </c>
      <c r="R510" s="2">
        <f t="shared" si="23"/>
        <v>1232.7244841173522</v>
      </c>
    </row>
    <row r="511" spans="1:18" s="1" customFormat="1" ht="11.5" x14ac:dyDescent="0.25">
      <c r="A511" s="1" t="s">
        <v>542</v>
      </c>
      <c r="B511" s="1" t="s">
        <v>1238</v>
      </c>
      <c r="C511" s="1" t="s">
        <v>22</v>
      </c>
      <c r="D511" s="1">
        <v>0</v>
      </c>
      <c r="E511" s="1" t="s">
        <v>17</v>
      </c>
      <c r="F511" s="1" t="s">
        <v>22</v>
      </c>
      <c r="G511" s="1">
        <v>1538</v>
      </c>
      <c r="H511" s="1">
        <v>550</v>
      </c>
      <c r="I511" s="1">
        <v>266</v>
      </c>
      <c r="J511" s="1">
        <v>120</v>
      </c>
      <c r="K511" s="1">
        <v>1</v>
      </c>
      <c r="L511" s="1" t="s">
        <v>41</v>
      </c>
      <c r="M511" s="1">
        <f>Table1[[#This Row],[ApplicantIncome]]+Table1[[#This Row],[CoapplicantIncome]]</f>
        <v>2088</v>
      </c>
      <c r="N511" s="1" t="s">
        <v>26</v>
      </c>
      <c r="O511" s="1" t="str">
        <f>IF(Table1[[#This Row],[Total_Income]]&lt;3000,"Low",IF(Table1[[#This Row],[Total_Income]]&lt;7000,"Medium","High"))</f>
        <v>Low</v>
      </c>
      <c r="P511" s="1" t="str">
        <f t="shared" si="21"/>
        <v>Rejected</v>
      </c>
      <c r="Q511" s="1" t="str">
        <f t="shared" si="22"/>
        <v>Low Risk</v>
      </c>
      <c r="R511" s="2">
        <f t="shared" si="23"/>
        <v>3227.3140098524941</v>
      </c>
    </row>
    <row r="512" spans="1:18" s="1" customFormat="1" ht="11.5" x14ac:dyDescent="0.25">
      <c r="A512" s="1" t="s">
        <v>543</v>
      </c>
      <c r="B512" s="1" t="s">
        <v>28</v>
      </c>
      <c r="C512" s="1" t="s">
        <v>22</v>
      </c>
      <c r="D512" s="1">
        <v>0</v>
      </c>
      <c r="E512" s="1" t="s">
        <v>17</v>
      </c>
      <c r="F512" s="1" t="s">
        <v>22</v>
      </c>
      <c r="G512" s="1">
        <v>8730</v>
      </c>
      <c r="H512" s="1">
        <v>6513</v>
      </c>
      <c r="I512" s="1">
        <v>165</v>
      </c>
      <c r="J512" s="1">
        <v>360</v>
      </c>
      <c r="K512" s="1">
        <v>1</v>
      </c>
      <c r="L512" s="1" t="s">
        <v>19</v>
      </c>
      <c r="M512" s="1">
        <f>Table1[[#This Row],[ApplicantIncome]]+Table1[[#This Row],[CoapplicantIncome]]</f>
        <v>15243</v>
      </c>
      <c r="N512" s="1" t="s">
        <v>26</v>
      </c>
      <c r="O512" s="1" t="str">
        <f>IF(Table1[[#This Row],[Total_Income]]&lt;3000,"Low",IF(Table1[[#This Row],[Total_Income]]&lt;7000,"Medium","High"))</f>
        <v>High</v>
      </c>
      <c r="P512" s="1" t="str">
        <f t="shared" si="21"/>
        <v>Rejected</v>
      </c>
      <c r="Q512" s="1" t="str">
        <f t="shared" si="22"/>
        <v>Low Risk</v>
      </c>
      <c r="R512" s="2">
        <f t="shared" si="23"/>
        <v>1210.7115469009707</v>
      </c>
    </row>
    <row r="513" spans="1:18" s="1" customFormat="1" ht="11.5" x14ac:dyDescent="0.25">
      <c r="A513" s="1" t="s">
        <v>544</v>
      </c>
      <c r="B513" s="1" t="s">
        <v>52</v>
      </c>
      <c r="C513" s="1" t="s">
        <v>29</v>
      </c>
      <c r="D513" s="1">
        <v>2</v>
      </c>
      <c r="E513" s="1" t="s">
        <v>17</v>
      </c>
      <c r="F513" s="1" t="s">
        <v>22</v>
      </c>
      <c r="G513" s="1">
        <v>11373</v>
      </c>
      <c r="H513" s="1">
        <v>8331</v>
      </c>
      <c r="I513" s="1">
        <v>296</v>
      </c>
      <c r="J513" s="1">
        <v>360</v>
      </c>
      <c r="K513" s="1">
        <v>0</v>
      </c>
      <c r="L513" s="1" t="s">
        <v>30</v>
      </c>
      <c r="M513" s="1">
        <f>Table1[[#This Row],[ApplicantIncome]]+Table1[[#This Row],[CoapplicantIncome]]</f>
        <v>19704</v>
      </c>
      <c r="N513" s="1" t="s">
        <v>26</v>
      </c>
      <c r="O513" s="1" t="str">
        <f>IF(Table1[[#This Row],[Total_Income]]&lt;3000,"Low",IF(Table1[[#This Row],[Total_Income]]&lt;7000,"Medium","High"))</f>
        <v>High</v>
      </c>
      <c r="P513" s="1" t="str">
        <f t="shared" si="21"/>
        <v>Rejected</v>
      </c>
      <c r="Q513" s="1" t="str">
        <f t="shared" si="22"/>
        <v>High Risk</v>
      </c>
      <c r="R513" s="2">
        <f t="shared" si="23"/>
        <v>2171.9431386829533</v>
      </c>
    </row>
    <row r="514" spans="1:18" s="1" customFormat="1" ht="11.5" x14ac:dyDescent="0.25">
      <c r="A514" s="1" t="s">
        <v>545</v>
      </c>
      <c r="B514" s="1" t="s">
        <v>28</v>
      </c>
      <c r="C514" s="1" t="s">
        <v>29</v>
      </c>
      <c r="D514" s="1">
        <v>2</v>
      </c>
      <c r="E514" s="1" t="s">
        <v>25</v>
      </c>
      <c r="F514" s="1" t="s">
        <v>29</v>
      </c>
      <c r="G514" s="1">
        <v>8811</v>
      </c>
      <c r="H514" s="1">
        <v>9126</v>
      </c>
      <c r="I514" s="1">
        <v>318</v>
      </c>
      <c r="J514" s="1">
        <v>360</v>
      </c>
      <c r="K514" s="1">
        <v>1</v>
      </c>
      <c r="L514" s="1" t="s">
        <v>41</v>
      </c>
      <c r="M514" s="1">
        <f>Table1[[#This Row],[ApplicantIncome]]+Table1[[#This Row],[CoapplicantIncome]]</f>
        <v>17937</v>
      </c>
      <c r="N514" s="1" t="s">
        <v>20</v>
      </c>
      <c r="O514" s="1" t="str">
        <f>IF(Table1[[#This Row],[Total_Income]]&lt;3000,"Low",IF(Table1[[#This Row],[Total_Income]]&lt;7000,"Medium","High"))</f>
        <v>High</v>
      </c>
      <c r="P514" s="1" t="str">
        <f t="shared" ref="P514:P577" si="24">IF(N514="Y","Approved","Rejected")</f>
        <v>Approved</v>
      </c>
      <c r="Q514" s="1" t="str">
        <f t="shared" ref="Q514:Q577" si="25">IF(K514=1,"Low Risk","High Risk")</f>
        <v>Low Risk</v>
      </c>
      <c r="R514" s="2">
        <f t="shared" ref="R514:R577" si="26">-PMT(8%/12,J514,I514*1000)</f>
        <v>2333.3713449364163</v>
      </c>
    </row>
    <row r="515" spans="1:18" s="1" customFormat="1" ht="11.5" x14ac:dyDescent="0.25">
      <c r="A515" s="1" t="s">
        <v>546</v>
      </c>
      <c r="B515" s="1" t="s">
        <v>52</v>
      </c>
      <c r="C515" s="1" t="s">
        <v>22</v>
      </c>
      <c r="D515" s="1">
        <v>2</v>
      </c>
      <c r="E515" s="1" t="s">
        <v>25</v>
      </c>
      <c r="F515" s="1" t="s">
        <v>22</v>
      </c>
      <c r="G515" s="1">
        <v>2045</v>
      </c>
      <c r="H515" s="1">
        <v>2794</v>
      </c>
      <c r="I515" s="1">
        <v>559</v>
      </c>
      <c r="J515" s="1">
        <v>360</v>
      </c>
      <c r="K515" s="1">
        <v>0</v>
      </c>
      <c r="L515" s="1" t="s">
        <v>19</v>
      </c>
      <c r="M515" s="1">
        <f>Table1[[#This Row],[ApplicantIncome]]+Table1[[#This Row],[CoapplicantIncome]]</f>
        <v>4839</v>
      </c>
      <c r="N515" s="1" t="s">
        <v>26</v>
      </c>
      <c r="O515" s="1" t="str">
        <f>IF(Table1[[#This Row],[Total_Income]]&lt;3000,"Low",IF(Table1[[#This Row],[Total_Income]]&lt;7000,"Medium","High"))</f>
        <v>Medium</v>
      </c>
      <c r="P515" s="1" t="str">
        <f t="shared" si="24"/>
        <v>Rejected</v>
      </c>
      <c r="Q515" s="1" t="str">
        <f t="shared" si="25"/>
        <v>High Risk</v>
      </c>
      <c r="R515" s="2">
        <f t="shared" si="26"/>
        <v>4101.7439679857125</v>
      </c>
    </row>
    <row r="516" spans="1:18" s="1" customFormat="1" ht="11.5" x14ac:dyDescent="0.25">
      <c r="A516" s="1" t="s">
        <v>547</v>
      </c>
      <c r="B516" s="1" t="s">
        <v>28</v>
      </c>
      <c r="C516" s="1" t="s">
        <v>29</v>
      </c>
      <c r="D516" s="1">
        <v>2</v>
      </c>
      <c r="E516" s="1" t="s">
        <v>17</v>
      </c>
      <c r="F516" s="1" t="s">
        <v>22</v>
      </c>
      <c r="G516" s="1">
        <v>14368</v>
      </c>
      <c r="H516" s="1">
        <v>1610</v>
      </c>
      <c r="I516" s="1">
        <v>333</v>
      </c>
      <c r="J516" s="1">
        <v>360</v>
      </c>
      <c r="K516" s="1">
        <v>0</v>
      </c>
      <c r="L516" s="1" t="s">
        <v>41</v>
      </c>
      <c r="M516" s="1">
        <f>Table1[[#This Row],[ApplicantIncome]]+Table1[[#This Row],[CoapplicantIncome]]</f>
        <v>15978</v>
      </c>
      <c r="N516" s="1" t="s">
        <v>26</v>
      </c>
      <c r="O516" s="1" t="str">
        <f>IF(Table1[[#This Row],[Total_Income]]&lt;3000,"Low",IF(Table1[[#This Row],[Total_Income]]&lt;7000,"Medium","High"))</f>
        <v>High</v>
      </c>
      <c r="P516" s="1" t="str">
        <f t="shared" si="24"/>
        <v>Rejected</v>
      </c>
      <c r="Q516" s="1" t="str">
        <f t="shared" si="25"/>
        <v>High Risk</v>
      </c>
      <c r="R516" s="2">
        <f t="shared" si="26"/>
        <v>2443.4360310183229</v>
      </c>
    </row>
    <row r="517" spans="1:18" s="1" customFormat="1" ht="11.5" x14ac:dyDescent="0.25">
      <c r="A517" s="1" t="s">
        <v>548</v>
      </c>
      <c r="B517" s="1" t="s">
        <v>28</v>
      </c>
      <c r="C517" s="1" t="s">
        <v>29</v>
      </c>
      <c r="D517" s="1">
        <v>1</v>
      </c>
      <c r="E517" s="1" t="s">
        <v>25</v>
      </c>
      <c r="F517" s="1" t="s">
        <v>29</v>
      </c>
      <c r="G517" s="1">
        <v>11134</v>
      </c>
      <c r="H517" s="1">
        <v>6634</v>
      </c>
      <c r="I517" s="1">
        <v>619</v>
      </c>
      <c r="J517" s="1">
        <v>180</v>
      </c>
      <c r="K517" s="1">
        <v>0</v>
      </c>
      <c r="L517" s="1" t="s">
        <v>19</v>
      </c>
      <c r="M517" s="1">
        <f>Table1[[#This Row],[ApplicantIncome]]+Table1[[#This Row],[CoapplicantIncome]]</f>
        <v>17768</v>
      </c>
      <c r="N517" s="1" t="s">
        <v>26</v>
      </c>
      <c r="O517" s="1" t="str">
        <f>IF(Table1[[#This Row],[Total_Income]]&lt;3000,"Low",IF(Table1[[#This Row],[Total_Income]]&lt;7000,"Medium","High"))</f>
        <v>High</v>
      </c>
      <c r="P517" s="1" t="str">
        <f t="shared" si="24"/>
        <v>Rejected</v>
      </c>
      <c r="Q517" s="1" t="str">
        <f t="shared" si="25"/>
        <v>High Risk</v>
      </c>
      <c r="R517" s="2">
        <f t="shared" si="26"/>
        <v>5915.4864020048753</v>
      </c>
    </row>
    <row r="518" spans="1:18" s="1" customFormat="1" ht="11.5" x14ac:dyDescent="0.25">
      <c r="A518" s="1" t="s">
        <v>549</v>
      </c>
      <c r="B518" s="1" t="s">
        <v>52</v>
      </c>
      <c r="C518" s="1" t="s">
        <v>22</v>
      </c>
      <c r="D518" s="1" t="s">
        <v>16</v>
      </c>
      <c r="E518" s="1" t="s">
        <v>25</v>
      </c>
      <c r="F518" s="1" t="s">
        <v>22</v>
      </c>
      <c r="G518" s="1">
        <v>4097</v>
      </c>
      <c r="H518" s="1">
        <v>3384</v>
      </c>
      <c r="I518" s="1">
        <v>181</v>
      </c>
      <c r="J518" s="1">
        <v>360</v>
      </c>
      <c r="K518" s="1">
        <v>0</v>
      </c>
      <c r="L518" s="1" t="s">
        <v>19</v>
      </c>
      <c r="M518" s="1">
        <f>Table1[[#This Row],[ApplicantIncome]]+Table1[[#This Row],[CoapplicantIncome]]</f>
        <v>7481</v>
      </c>
      <c r="N518" s="1" t="s">
        <v>20</v>
      </c>
      <c r="O518" s="1" t="str">
        <f>IF(Table1[[#This Row],[Total_Income]]&lt;3000,"Low",IF(Table1[[#This Row],[Total_Income]]&lt;7000,"Medium","High"))</f>
        <v>High</v>
      </c>
      <c r="P518" s="1" t="str">
        <f t="shared" si="24"/>
        <v>Approved</v>
      </c>
      <c r="Q518" s="1" t="str">
        <f t="shared" si="25"/>
        <v>High Risk</v>
      </c>
      <c r="R518" s="2">
        <f t="shared" si="26"/>
        <v>1328.113878721671</v>
      </c>
    </row>
    <row r="519" spans="1:18" s="1" customFormat="1" ht="11.5" x14ac:dyDescent="0.25">
      <c r="A519" s="1" t="s">
        <v>550</v>
      </c>
      <c r="B519" s="1" t="s">
        <v>52</v>
      </c>
      <c r="C519" s="1" t="s">
        <v>29</v>
      </c>
      <c r="D519" s="1">
        <v>1</v>
      </c>
      <c r="E519" s="1" t="s">
        <v>25</v>
      </c>
      <c r="F519" s="1" t="s">
        <v>29</v>
      </c>
      <c r="G519" s="1">
        <v>7066</v>
      </c>
      <c r="H519" s="1">
        <v>409</v>
      </c>
      <c r="I519" s="1">
        <v>370</v>
      </c>
      <c r="J519" s="1">
        <v>180</v>
      </c>
      <c r="K519" s="1">
        <v>1</v>
      </c>
      <c r="L519" s="1" t="s">
        <v>30</v>
      </c>
      <c r="M519" s="1">
        <f>Table1[[#This Row],[ApplicantIncome]]+Table1[[#This Row],[CoapplicantIncome]]</f>
        <v>7475</v>
      </c>
      <c r="N519" s="1" t="s">
        <v>26</v>
      </c>
      <c r="O519" s="1" t="str">
        <f>IF(Table1[[#This Row],[Total_Income]]&lt;3000,"Low",IF(Table1[[#This Row],[Total_Income]]&lt;7000,"Medium","High"))</f>
        <v>High</v>
      </c>
      <c r="P519" s="1" t="str">
        <f t="shared" si="24"/>
        <v>Rejected</v>
      </c>
      <c r="Q519" s="1" t="str">
        <f t="shared" si="25"/>
        <v>Low Risk</v>
      </c>
      <c r="R519" s="2">
        <f t="shared" si="26"/>
        <v>3535.9127120223006</v>
      </c>
    </row>
    <row r="520" spans="1:18" s="1" customFormat="1" ht="11.5" x14ac:dyDescent="0.25">
      <c r="A520" s="1" t="s">
        <v>551</v>
      </c>
      <c r="B520" s="1" t="s">
        <v>1238</v>
      </c>
      <c r="C520" s="1" t="s">
        <v>22</v>
      </c>
      <c r="D520" s="1">
        <v>0</v>
      </c>
      <c r="E520" s="1" t="s">
        <v>17</v>
      </c>
      <c r="F520" s="1" t="s">
        <v>29</v>
      </c>
      <c r="G520" s="1">
        <v>1997</v>
      </c>
      <c r="H520" s="1">
        <v>7344</v>
      </c>
      <c r="I520" s="1">
        <v>314</v>
      </c>
      <c r="J520" s="1">
        <v>360</v>
      </c>
      <c r="K520" s="1">
        <v>0</v>
      </c>
      <c r="L520" s="1" t="s">
        <v>19</v>
      </c>
      <c r="M520" s="1">
        <f>Table1[[#This Row],[ApplicantIncome]]+Table1[[#This Row],[CoapplicantIncome]]</f>
        <v>9341</v>
      </c>
      <c r="N520" s="1" t="s">
        <v>20</v>
      </c>
      <c r="O520" s="1" t="str">
        <f>IF(Table1[[#This Row],[Total_Income]]&lt;3000,"Low",IF(Table1[[#This Row],[Total_Income]]&lt;7000,"Medium","High"))</f>
        <v>High</v>
      </c>
      <c r="P520" s="1" t="str">
        <f t="shared" si="24"/>
        <v>Approved</v>
      </c>
      <c r="Q520" s="1" t="str">
        <f t="shared" si="25"/>
        <v>High Risk</v>
      </c>
      <c r="R520" s="2">
        <f t="shared" si="26"/>
        <v>2304.0207619812409</v>
      </c>
    </row>
    <row r="521" spans="1:18" s="1" customFormat="1" ht="11.5" x14ac:dyDescent="0.25">
      <c r="A521" s="1" t="s">
        <v>552</v>
      </c>
      <c r="B521" s="1" t="s">
        <v>28</v>
      </c>
      <c r="C521" s="1" t="s">
        <v>22</v>
      </c>
      <c r="D521" s="1">
        <v>1</v>
      </c>
      <c r="E521" s="1" t="s">
        <v>25</v>
      </c>
      <c r="F521" s="1" t="s">
        <v>22</v>
      </c>
      <c r="G521" s="1">
        <v>15464</v>
      </c>
      <c r="H521" s="1">
        <v>6283</v>
      </c>
      <c r="I521" s="1">
        <v>174</v>
      </c>
      <c r="J521" s="1">
        <v>180</v>
      </c>
      <c r="K521" s="1">
        <v>1</v>
      </c>
      <c r="L521" s="1" t="s">
        <v>19</v>
      </c>
      <c r="M521" s="1">
        <f>Table1[[#This Row],[ApplicantIncome]]+Table1[[#This Row],[CoapplicantIncome]]</f>
        <v>21747</v>
      </c>
      <c r="N521" s="1" t="s">
        <v>26</v>
      </c>
      <c r="O521" s="1" t="str">
        <f>IF(Table1[[#This Row],[Total_Income]]&lt;3000,"Low",IF(Table1[[#This Row],[Total_Income]]&lt;7000,"Medium","High"))</f>
        <v>High</v>
      </c>
      <c r="P521" s="1" t="str">
        <f t="shared" si="24"/>
        <v>Rejected</v>
      </c>
      <c r="Q521" s="1" t="str">
        <f t="shared" si="25"/>
        <v>Low Risk</v>
      </c>
      <c r="R521" s="2">
        <f t="shared" si="26"/>
        <v>1662.8346267348115</v>
      </c>
    </row>
    <row r="522" spans="1:18" s="1" customFormat="1" ht="11.5" x14ac:dyDescent="0.25">
      <c r="A522" s="1" t="s">
        <v>553</v>
      </c>
      <c r="B522" s="1" t="s">
        <v>52</v>
      </c>
      <c r="C522" s="1" t="s">
        <v>22</v>
      </c>
      <c r="D522" s="1" t="s">
        <v>16</v>
      </c>
      <c r="E522" s="1" t="s">
        <v>17</v>
      </c>
      <c r="F522" s="1" t="s">
        <v>29</v>
      </c>
      <c r="G522" s="1">
        <v>16740</v>
      </c>
      <c r="H522" s="1">
        <v>7882</v>
      </c>
      <c r="I522" s="1">
        <v>516</v>
      </c>
      <c r="J522" s="1">
        <v>180</v>
      </c>
      <c r="K522" s="1">
        <v>0</v>
      </c>
      <c r="L522" s="1" t="s">
        <v>19</v>
      </c>
      <c r="M522" s="1">
        <f>Table1[[#This Row],[ApplicantIncome]]+Table1[[#This Row],[CoapplicantIncome]]</f>
        <v>24622</v>
      </c>
      <c r="N522" s="1" t="s">
        <v>26</v>
      </c>
      <c r="O522" s="1" t="str">
        <f>IF(Table1[[#This Row],[Total_Income]]&lt;3000,"Low",IF(Table1[[#This Row],[Total_Income]]&lt;7000,"Medium","High"))</f>
        <v>High</v>
      </c>
      <c r="P522" s="1" t="str">
        <f t="shared" si="24"/>
        <v>Rejected</v>
      </c>
      <c r="Q522" s="1" t="str">
        <f t="shared" si="25"/>
        <v>High Risk</v>
      </c>
      <c r="R522" s="2">
        <f t="shared" si="26"/>
        <v>4931.1647551446131</v>
      </c>
    </row>
    <row r="523" spans="1:18" s="1" customFormat="1" ht="11.5" x14ac:dyDescent="0.25">
      <c r="A523" s="1" t="s">
        <v>554</v>
      </c>
      <c r="B523" s="1" t="s">
        <v>1238</v>
      </c>
      <c r="C523" s="1" t="s">
        <v>22</v>
      </c>
      <c r="D523" s="1">
        <v>1</v>
      </c>
      <c r="E523" s="1" t="s">
        <v>25</v>
      </c>
      <c r="F523" s="1" t="s">
        <v>22</v>
      </c>
      <c r="G523" s="1">
        <v>13158</v>
      </c>
      <c r="H523" s="1">
        <v>8780</v>
      </c>
      <c r="I523" s="1">
        <v>561</v>
      </c>
      <c r="J523" s="1">
        <v>180</v>
      </c>
      <c r="K523" s="1">
        <v>0</v>
      </c>
      <c r="L523" s="1" t="s">
        <v>41</v>
      </c>
      <c r="M523" s="1">
        <f>Table1[[#This Row],[ApplicantIncome]]+Table1[[#This Row],[CoapplicantIncome]]</f>
        <v>21938</v>
      </c>
      <c r="N523" s="1" t="s">
        <v>20</v>
      </c>
      <c r="O523" s="1" t="str">
        <f>IF(Table1[[#This Row],[Total_Income]]&lt;3000,"Low",IF(Table1[[#This Row],[Total_Income]]&lt;7000,"Medium","High"))</f>
        <v>High</v>
      </c>
      <c r="P523" s="1" t="str">
        <f t="shared" si="24"/>
        <v>Approved</v>
      </c>
      <c r="Q523" s="1" t="str">
        <f t="shared" si="25"/>
        <v>High Risk</v>
      </c>
      <c r="R523" s="2">
        <f t="shared" si="26"/>
        <v>5361.2081930932718</v>
      </c>
    </row>
    <row r="524" spans="1:18" s="1" customFormat="1" ht="11.5" x14ac:dyDescent="0.25">
      <c r="A524" s="1" t="s">
        <v>555</v>
      </c>
      <c r="B524" s="1" t="s">
        <v>28</v>
      </c>
      <c r="C524" s="1" t="s">
        <v>22</v>
      </c>
      <c r="D524" s="1">
        <v>0</v>
      </c>
      <c r="E524" s="1" t="s">
        <v>17</v>
      </c>
      <c r="F524" s="1" t="s">
        <v>22</v>
      </c>
      <c r="G524" s="1">
        <v>9343</v>
      </c>
      <c r="H524" s="1">
        <v>1311</v>
      </c>
      <c r="I524" s="1">
        <v>233</v>
      </c>
      <c r="J524" s="1">
        <v>120</v>
      </c>
      <c r="K524" s="1">
        <v>1</v>
      </c>
      <c r="L524" s="1" t="s">
        <v>30</v>
      </c>
      <c r="M524" s="1">
        <f>Table1[[#This Row],[ApplicantIncome]]+Table1[[#This Row],[CoapplicantIncome]]</f>
        <v>10654</v>
      </c>
      <c r="N524" s="1" t="s">
        <v>20</v>
      </c>
      <c r="O524" s="1" t="str">
        <f>IF(Table1[[#This Row],[Total_Income]]&lt;3000,"Low",IF(Table1[[#This Row],[Total_Income]]&lt;7000,"Medium","High"))</f>
        <v>High</v>
      </c>
      <c r="P524" s="1" t="str">
        <f t="shared" si="24"/>
        <v>Approved</v>
      </c>
      <c r="Q524" s="1" t="str">
        <f t="shared" si="25"/>
        <v>Low Risk</v>
      </c>
      <c r="R524" s="2">
        <f t="shared" si="26"/>
        <v>2826.9329484798163</v>
      </c>
    </row>
    <row r="525" spans="1:18" s="1" customFormat="1" ht="11.5" x14ac:dyDescent="0.25">
      <c r="A525" s="1" t="s">
        <v>556</v>
      </c>
      <c r="B525" s="1" t="s">
        <v>28</v>
      </c>
      <c r="C525" s="1" t="s">
        <v>22</v>
      </c>
      <c r="D525" s="1">
        <v>0</v>
      </c>
      <c r="E525" s="1" t="s">
        <v>17</v>
      </c>
      <c r="F525" s="1" t="s">
        <v>22</v>
      </c>
      <c r="G525" s="1">
        <v>3903</v>
      </c>
      <c r="H525" s="1">
        <v>9083</v>
      </c>
      <c r="I525" s="1">
        <v>660</v>
      </c>
      <c r="J525" s="1">
        <v>180</v>
      </c>
      <c r="K525" s="1">
        <v>1</v>
      </c>
      <c r="L525" s="1" t="s">
        <v>41</v>
      </c>
      <c r="M525" s="1">
        <f>Table1[[#This Row],[ApplicantIncome]]+Table1[[#This Row],[CoapplicantIncome]]</f>
        <v>12986</v>
      </c>
      <c r="N525" s="1" t="s">
        <v>20</v>
      </c>
      <c r="O525" s="1" t="str">
        <f>IF(Table1[[#This Row],[Total_Income]]&lt;3000,"Low",IF(Table1[[#This Row],[Total_Income]]&lt;7000,"Medium","High"))</f>
        <v>High</v>
      </c>
      <c r="P525" s="1" t="str">
        <f t="shared" si="24"/>
        <v>Approved</v>
      </c>
      <c r="Q525" s="1" t="str">
        <f t="shared" si="25"/>
        <v>Low Risk</v>
      </c>
      <c r="R525" s="2">
        <f t="shared" si="26"/>
        <v>6307.3037565803197</v>
      </c>
    </row>
    <row r="526" spans="1:18" s="1" customFormat="1" ht="11.5" x14ac:dyDescent="0.25">
      <c r="A526" s="1" t="s">
        <v>557</v>
      </c>
      <c r="B526" s="1" t="s">
        <v>1238</v>
      </c>
      <c r="C526" s="1" t="s">
        <v>22</v>
      </c>
      <c r="D526" s="1">
        <v>1</v>
      </c>
      <c r="E526" s="1" t="s">
        <v>25</v>
      </c>
      <c r="F526" s="1" t="s">
        <v>22</v>
      </c>
      <c r="G526" s="1">
        <v>2598</v>
      </c>
      <c r="H526" s="1">
        <v>5988</v>
      </c>
      <c r="I526" s="1">
        <v>99</v>
      </c>
      <c r="J526" s="1">
        <v>120</v>
      </c>
      <c r="K526" s="1">
        <v>1</v>
      </c>
      <c r="L526" s="1" t="s">
        <v>30</v>
      </c>
      <c r="M526" s="1">
        <f>Table1[[#This Row],[ApplicantIncome]]+Table1[[#This Row],[CoapplicantIncome]]</f>
        <v>8586</v>
      </c>
      <c r="N526" s="1" t="s">
        <v>20</v>
      </c>
      <c r="O526" s="1" t="str">
        <f>IF(Table1[[#This Row],[Total_Income]]&lt;3000,"Low",IF(Table1[[#This Row],[Total_Income]]&lt;7000,"Medium","High"))</f>
        <v>High</v>
      </c>
      <c r="P526" s="1" t="str">
        <f t="shared" si="24"/>
        <v>Approved</v>
      </c>
      <c r="Q526" s="1" t="str">
        <f t="shared" si="25"/>
        <v>Low Risk</v>
      </c>
      <c r="R526" s="2">
        <f t="shared" si="26"/>
        <v>1201.1431841180336</v>
      </c>
    </row>
    <row r="527" spans="1:18" s="1" customFormat="1" ht="11.5" x14ac:dyDescent="0.25">
      <c r="A527" s="1" t="s">
        <v>558</v>
      </c>
      <c r="B527" s="1" t="s">
        <v>28</v>
      </c>
      <c r="C527" s="1" t="s">
        <v>22</v>
      </c>
      <c r="D527" s="1" t="s">
        <v>16</v>
      </c>
      <c r="E527" s="1" t="s">
        <v>17</v>
      </c>
      <c r="F527" s="1" t="s">
        <v>22</v>
      </c>
      <c r="G527" s="1">
        <v>13117</v>
      </c>
      <c r="H527" s="1">
        <v>2473</v>
      </c>
      <c r="I527" s="1">
        <v>468</v>
      </c>
      <c r="J527" s="1">
        <v>360</v>
      </c>
      <c r="K527" s="1">
        <v>1</v>
      </c>
      <c r="L527" s="1" t="s">
        <v>41</v>
      </c>
      <c r="M527" s="1">
        <f>Table1[[#This Row],[ApplicantIncome]]+Table1[[#This Row],[CoapplicantIncome]]</f>
        <v>15590</v>
      </c>
      <c r="N527" s="1" t="s">
        <v>26</v>
      </c>
      <c r="O527" s="1" t="str">
        <f>IF(Table1[[#This Row],[Total_Income]]&lt;3000,"Low",IF(Table1[[#This Row],[Total_Income]]&lt;7000,"Medium","High"))</f>
        <v>High</v>
      </c>
      <c r="P527" s="1" t="str">
        <f t="shared" si="24"/>
        <v>Rejected</v>
      </c>
      <c r="Q527" s="1" t="str">
        <f t="shared" si="25"/>
        <v>Low Risk</v>
      </c>
      <c r="R527" s="2">
        <f t="shared" si="26"/>
        <v>3434.0182057554803</v>
      </c>
    </row>
    <row r="528" spans="1:18" s="1" customFormat="1" ht="11.5" x14ac:dyDescent="0.25">
      <c r="A528" s="1" t="s">
        <v>559</v>
      </c>
      <c r="B528" s="1" t="s">
        <v>1238</v>
      </c>
      <c r="C528" s="1" t="s">
        <v>22</v>
      </c>
      <c r="D528" s="1">
        <v>0</v>
      </c>
      <c r="E528" s="1" t="s">
        <v>25</v>
      </c>
      <c r="F528" s="1" t="s">
        <v>29</v>
      </c>
      <c r="G528" s="1">
        <v>19439</v>
      </c>
      <c r="H528" s="1">
        <v>8517</v>
      </c>
      <c r="I528" s="1">
        <v>362</v>
      </c>
      <c r="J528" s="1">
        <v>120</v>
      </c>
      <c r="K528" s="1">
        <v>0</v>
      </c>
      <c r="L528" s="1" t="s">
        <v>41</v>
      </c>
      <c r="M528" s="1">
        <f>Table1[[#This Row],[ApplicantIncome]]+Table1[[#This Row],[CoapplicantIncome]]</f>
        <v>27956</v>
      </c>
      <c r="N528" s="1" t="s">
        <v>26</v>
      </c>
      <c r="O528" s="1" t="str">
        <f>IF(Table1[[#This Row],[Total_Income]]&lt;3000,"Low",IF(Table1[[#This Row],[Total_Income]]&lt;7000,"Medium","High"))</f>
        <v>High</v>
      </c>
      <c r="P528" s="1" t="str">
        <f t="shared" si="24"/>
        <v>Rejected</v>
      </c>
      <c r="Q528" s="1" t="str">
        <f t="shared" si="25"/>
        <v>High Risk</v>
      </c>
      <c r="R528" s="2">
        <f t="shared" si="26"/>
        <v>4392.0589156639207</v>
      </c>
    </row>
    <row r="529" spans="1:18" s="1" customFormat="1" ht="11.5" x14ac:dyDescent="0.25">
      <c r="A529" s="1" t="s">
        <v>560</v>
      </c>
      <c r="B529" s="1" t="s">
        <v>28</v>
      </c>
      <c r="C529" s="1" t="s">
        <v>22</v>
      </c>
      <c r="D529" s="1">
        <v>0</v>
      </c>
      <c r="E529" s="1" t="s">
        <v>25</v>
      </c>
      <c r="F529" s="1" t="s">
        <v>29</v>
      </c>
      <c r="G529" s="1">
        <v>13199</v>
      </c>
      <c r="H529" s="1">
        <v>8987</v>
      </c>
      <c r="I529" s="1">
        <v>300</v>
      </c>
      <c r="J529" s="1">
        <v>120</v>
      </c>
      <c r="K529" s="1">
        <v>0</v>
      </c>
      <c r="L529" s="1" t="s">
        <v>30</v>
      </c>
      <c r="M529" s="1">
        <f>Table1[[#This Row],[ApplicantIncome]]+Table1[[#This Row],[CoapplicantIncome]]</f>
        <v>22186</v>
      </c>
      <c r="N529" s="1" t="s">
        <v>20</v>
      </c>
      <c r="O529" s="1" t="str">
        <f>IF(Table1[[#This Row],[Total_Income]]&lt;3000,"Low",IF(Table1[[#This Row],[Total_Income]]&lt;7000,"Medium","High"))</f>
        <v>High</v>
      </c>
      <c r="P529" s="1" t="str">
        <f t="shared" si="24"/>
        <v>Approved</v>
      </c>
      <c r="Q529" s="1" t="str">
        <f t="shared" si="25"/>
        <v>High Risk</v>
      </c>
      <c r="R529" s="2">
        <f t="shared" si="26"/>
        <v>3639.8278306607076</v>
      </c>
    </row>
    <row r="530" spans="1:18" s="1" customFormat="1" ht="11.5" x14ac:dyDescent="0.25">
      <c r="A530" s="1" t="s">
        <v>561</v>
      </c>
      <c r="B530" s="1" t="s">
        <v>1238</v>
      </c>
      <c r="C530" s="1" t="s">
        <v>22</v>
      </c>
      <c r="D530" s="1">
        <v>2</v>
      </c>
      <c r="E530" s="1" t="s">
        <v>17</v>
      </c>
      <c r="F530" s="1" t="s">
        <v>22</v>
      </c>
      <c r="G530" s="1">
        <v>14030</v>
      </c>
      <c r="H530" s="1">
        <v>2003</v>
      </c>
      <c r="I530" s="1">
        <v>230</v>
      </c>
      <c r="J530" s="1">
        <v>360</v>
      </c>
      <c r="K530" s="1">
        <v>0</v>
      </c>
      <c r="L530" s="1" t="s">
        <v>30</v>
      </c>
      <c r="M530" s="1">
        <f>Table1[[#This Row],[ApplicantIncome]]+Table1[[#This Row],[CoapplicantIncome]]</f>
        <v>16033</v>
      </c>
      <c r="N530" s="1" t="s">
        <v>26</v>
      </c>
      <c r="O530" s="1" t="str">
        <f>IF(Table1[[#This Row],[Total_Income]]&lt;3000,"Low",IF(Table1[[#This Row],[Total_Income]]&lt;7000,"Medium","High"))</f>
        <v>High</v>
      </c>
      <c r="P530" s="1" t="str">
        <f t="shared" si="24"/>
        <v>Rejected</v>
      </c>
      <c r="Q530" s="1" t="str">
        <f t="shared" si="25"/>
        <v>High Risk</v>
      </c>
      <c r="R530" s="2">
        <f t="shared" si="26"/>
        <v>1687.6585199225653</v>
      </c>
    </row>
    <row r="531" spans="1:18" s="1" customFormat="1" ht="11.5" x14ac:dyDescent="0.25">
      <c r="A531" s="1" t="s">
        <v>562</v>
      </c>
      <c r="B531" s="1" t="s">
        <v>28</v>
      </c>
      <c r="C531" s="1" t="s">
        <v>29</v>
      </c>
      <c r="D531" s="1" t="s">
        <v>16</v>
      </c>
      <c r="E531" s="1" t="s">
        <v>25</v>
      </c>
      <c r="F531" s="1" t="s">
        <v>22</v>
      </c>
      <c r="G531" s="1">
        <v>3368</v>
      </c>
      <c r="H531" s="1">
        <v>3288</v>
      </c>
      <c r="I531" s="1">
        <v>323</v>
      </c>
      <c r="J531" s="1">
        <v>360</v>
      </c>
      <c r="K531" s="1">
        <v>0</v>
      </c>
      <c r="L531" s="1" t="s">
        <v>19</v>
      </c>
      <c r="M531" s="1">
        <f>Table1[[#This Row],[ApplicantIncome]]+Table1[[#This Row],[CoapplicantIncome]]</f>
        <v>6656</v>
      </c>
      <c r="N531" s="1" t="s">
        <v>26</v>
      </c>
      <c r="O531" s="1" t="str">
        <f>IF(Table1[[#This Row],[Total_Income]]&lt;3000,"Low",IF(Table1[[#This Row],[Total_Income]]&lt;7000,"Medium","High"))</f>
        <v>Medium</v>
      </c>
      <c r="P531" s="1" t="str">
        <f t="shared" si="24"/>
        <v>Rejected</v>
      </c>
      <c r="Q531" s="1" t="str">
        <f t="shared" si="25"/>
        <v>High Risk</v>
      </c>
      <c r="R531" s="2">
        <f t="shared" si="26"/>
        <v>2370.0595736303849</v>
      </c>
    </row>
    <row r="532" spans="1:18" s="1" customFormat="1" ht="11.5" x14ac:dyDescent="0.25">
      <c r="A532" s="1" t="s">
        <v>563</v>
      </c>
      <c r="B532" s="1" t="s">
        <v>1238</v>
      </c>
      <c r="C532" s="1" t="s">
        <v>22</v>
      </c>
      <c r="D532" s="1">
        <v>1</v>
      </c>
      <c r="E532" s="1" t="s">
        <v>17</v>
      </c>
      <c r="F532" s="1" t="s">
        <v>22</v>
      </c>
      <c r="G532" s="1">
        <v>17615</v>
      </c>
      <c r="H532" s="1">
        <v>2766</v>
      </c>
      <c r="I532" s="1">
        <v>332</v>
      </c>
      <c r="J532" s="1">
        <v>360</v>
      </c>
      <c r="K532" s="1">
        <v>0</v>
      </c>
      <c r="L532" s="1" t="s">
        <v>19</v>
      </c>
      <c r="M532" s="1">
        <f>Table1[[#This Row],[ApplicantIncome]]+Table1[[#This Row],[CoapplicantIncome]]</f>
        <v>20381</v>
      </c>
      <c r="N532" s="1" t="s">
        <v>20</v>
      </c>
      <c r="O532" s="1" t="str">
        <f>IF(Table1[[#This Row],[Total_Income]]&lt;3000,"Low",IF(Table1[[#This Row],[Total_Income]]&lt;7000,"Medium","High"))</f>
        <v>High</v>
      </c>
      <c r="P532" s="1" t="str">
        <f t="shared" si="24"/>
        <v>Approved</v>
      </c>
      <c r="Q532" s="1" t="str">
        <f t="shared" si="25"/>
        <v>High Risk</v>
      </c>
      <c r="R532" s="2">
        <f t="shared" si="26"/>
        <v>2436.0983852795289</v>
      </c>
    </row>
    <row r="533" spans="1:18" s="1" customFormat="1" ht="11.5" x14ac:dyDescent="0.25">
      <c r="A533" s="1" t="s">
        <v>564</v>
      </c>
      <c r="B533" s="1" t="s">
        <v>52</v>
      </c>
      <c r="C533" s="1" t="s">
        <v>22</v>
      </c>
      <c r="D533" s="1">
        <v>0</v>
      </c>
      <c r="E533" s="1" t="s">
        <v>25</v>
      </c>
      <c r="F533" s="1" t="s">
        <v>22</v>
      </c>
      <c r="G533" s="1">
        <v>12771</v>
      </c>
      <c r="H533" s="1">
        <v>5500</v>
      </c>
      <c r="I533" s="1">
        <v>237</v>
      </c>
      <c r="J533" s="1">
        <v>360</v>
      </c>
      <c r="K533" s="1">
        <v>0</v>
      </c>
      <c r="L533" s="1" t="s">
        <v>30</v>
      </c>
      <c r="M533" s="1">
        <f>Table1[[#This Row],[ApplicantIncome]]+Table1[[#This Row],[CoapplicantIncome]]</f>
        <v>18271</v>
      </c>
      <c r="N533" s="1" t="s">
        <v>26</v>
      </c>
      <c r="O533" s="1" t="str">
        <f>IF(Table1[[#This Row],[Total_Income]]&lt;3000,"Low",IF(Table1[[#This Row],[Total_Income]]&lt;7000,"Medium","High"))</f>
        <v>High</v>
      </c>
      <c r="P533" s="1" t="str">
        <f t="shared" si="24"/>
        <v>Rejected</v>
      </c>
      <c r="Q533" s="1" t="str">
        <f t="shared" si="25"/>
        <v>High Risk</v>
      </c>
      <c r="R533" s="2">
        <f t="shared" si="26"/>
        <v>1739.0220400941216</v>
      </c>
    </row>
    <row r="534" spans="1:18" s="1" customFormat="1" ht="11.5" x14ac:dyDescent="0.25">
      <c r="A534" s="1" t="s">
        <v>565</v>
      </c>
      <c r="B534" s="1" t="s">
        <v>1238</v>
      </c>
      <c r="C534" s="1" t="s">
        <v>29</v>
      </c>
      <c r="D534" s="1" t="s">
        <v>16</v>
      </c>
      <c r="E534" s="1" t="s">
        <v>17</v>
      </c>
      <c r="F534" s="1" t="s">
        <v>22</v>
      </c>
      <c r="G534" s="1">
        <v>8106</v>
      </c>
      <c r="H534" s="1">
        <v>8414</v>
      </c>
      <c r="I534" s="1">
        <v>224</v>
      </c>
      <c r="J534" s="1">
        <v>180</v>
      </c>
      <c r="K534" s="1">
        <v>0</v>
      </c>
      <c r="L534" s="1" t="s">
        <v>30</v>
      </c>
      <c r="M534" s="1">
        <f>Table1[[#This Row],[ApplicantIncome]]+Table1[[#This Row],[CoapplicantIncome]]</f>
        <v>16520</v>
      </c>
      <c r="N534" s="1" t="s">
        <v>20</v>
      </c>
      <c r="O534" s="1" t="str">
        <f>IF(Table1[[#This Row],[Total_Income]]&lt;3000,"Low",IF(Table1[[#This Row],[Total_Income]]&lt;7000,"Medium","High"))</f>
        <v>High</v>
      </c>
      <c r="P534" s="1" t="str">
        <f t="shared" si="24"/>
        <v>Approved</v>
      </c>
      <c r="Q534" s="1" t="str">
        <f t="shared" si="25"/>
        <v>High Risk</v>
      </c>
      <c r="R534" s="2">
        <f t="shared" si="26"/>
        <v>2140.6606688999873</v>
      </c>
    </row>
    <row r="535" spans="1:18" s="1" customFormat="1" ht="11.5" x14ac:dyDescent="0.25">
      <c r="A535" s="1" t="s">
        <v>566</v>
      </c>
      <c r="B535" s="1" t="s">
        <v>1238</v>
      </c>
      <c r="C535" s="1" t="s">
        <v>22</v>
      </c>
      <c r="D535" s="1">
        <v>2</v>
      </c>
      <c r="E535" s="1" t="s">
        <v>17</v>
      </c>
      <c r="F535" s="1" t="s">
        <v>22</v>
      </c>
      <c r="G535" s="1">
        <v>11500</v>
      </c>
      <c r="H535" s="1">
        <v>4711</v>
      </c>
      <c r="I535" s="1">
        <v>297</v>
      </c>
      <c r="J535" s="1">
        <v>180</v>
      </c>
      <c r="K535" s="1">
        <v>0</v>
      </c>
      <c r="L535" s="1" t="s">
        <v>41</v>
      </c>
      <c r="M535" s="1">
        <f>Table1[[#This Row],[ApplicantIncome]]+Table1[[#This Row],[CoapplicantIncome]]</f>
        <v>16211</v>
      </c>
      <c r="N535" s="1" t="s">
        <v>20</v>
      </c>
      <c r="O535" s="1" t="str">
        <f>IF(Table1[[#This Row],[Total_Income]]&lt;3000,"Low",IF(Table1[[#This Row],[Total_Income]]&lt;7000,"Medium","High"))</f>
        <v>High</v>
      </c>
      <c r="P535" s="1" t="str">
        <f t="shared" si="24"/>
        <v>Approved</v>
      </c>
      <c r="Q535" s="1" t="str">
        <f t="shared" si="25"/>
        <v>High Risk</v>
      </c>
      <c r="R535" s="2">
        <f t="shared" si="26"/>
        <v>2838.2866904611437</v>
      </c>
    </row>
    <row r="536" spans="1:18" s="1" customFormat="1" ht="11.5" x14ac:dyDescent="0.25">
      <c r="A536" s="1" t="s">
        <v>567</v>
      </c>
      <c r="B536" s="1" t="s">
        <v>28</v>
      </c>
      <c r="C536" s="1" t="s">
        <v>22</v>
      </c>
      <c r="D536" s="1">
        <v>1</v>
      </c>
      <c r="E536" s="1" t="s">
        <v>17</v>
      </c>
      <c r="F536" s="1" t="s">
        <v>22</v>
      </c>
      <c r="G536" s="1">
        <v>9924</v>
      </c>
      <c r="H536" s="1">
        <v>1603</v>
      </c>
      <c r="I536" s="1">
        <v>594</v>
      </c>
      <c r="J536" s="1">
        <v>120</v>
      </c>
      <c r="K536" s="1">
        <v>0</v>
      </c>
      <c r="L536" s="1" t="s">
        <v>19</v>
      </c>
      <c r="M536" s="1">
        <f>Table1[[#This Row],[ApplicantIncome]]+Table1[[#This Row],[CoapplicantIncome]]</f>
        <v>11527</v>
      </c>
      <c r="N536" s="1" t="s">
        <v>20</v>
      </c>
      <c r="O536" s="1" t="str">
        <f>IF(Table1[[#This Row],[Total_Income]]&lt;3000,"Low",IF(Table1[[#This Row],[Total_Income]]&lt;7000,"Medium","High"))</f>
        <v>High</v>
      </c>
      <c r="P536" s="1" t="str">
        <f t="shared" si="24"/>
        <v>Approved</v>
      </c>
      <c r="Q536" s="1" t="str">
        <f t="shared" si="25"/>
        <v>High Risk</v>
      </c>
      <c r="R536" s="2">
        <f t="shared" si="26"/>
        <v>7206.8591047082009</v>
      </c>
    </row>
    <row r="537" spans="1:18" s="1" customFormat="1" ht="11.5" x14ac:dyDescent="0.25">
      <c r="A537" s="1" t="s">
        <v>568</v>
      </c>
      <c r="B537" s="1" t="s">
        <v>1238</v>
      </c>
      <c r="C537" s="1" t="s">
        <v>29</v>
      </c>
      <c r="D537" s="1">
        <v>0</v>
      </c>
      <c r="E537" s="1" t="s">
        <v>17</v>
      </c>
      <c r="F537" s="1" t="s">
        <v>22</v>
      </c>
      <c r="G537" s="1">
        <v>19701</v>
      </c>
      <c r="H537" s="1">
        <v>3230</v>
      </c>
      <c r="I537" s="1">
        <v>214</v>
      </c>
      <c r="J537" s="1">
        <v>360</v>
      </c>
      <c r="K537" s="1">
        <v>0</v>
      </c>
      <c r="L537" s="1" t="s">
        <v>19</v>
      </c>
      <c r="M537" s="1">
        <f>Table1[[#This Row],[ApplicantIncome]]+Table1[[#This Row],[CoapplicantIncome]]</f>
        <v>22931</v>
      </c>
      <c r="N537" s="1" t="s">
        <v>26</v>
      </c>
      <c r="O537" s="1" t="str">
        <f>IF(Table1[[#This Row],[Total_Income]]&lt;3000,"Low",IF(Table1[[#This Row],[Total_Income]]&lt;7000,"Medium","High"))</f>
        <v>High</v>
      </c>
      <c r="P537" s="1" t="str">
        <f t="shared" si="24"/>
        <v>Rejected</v>
      </c>
      <c r="Q537" s="1" t="str">
        <f t="shared" si="25"/>
        <v>High Risk</v>
      </c>
      <c r="R537" s="2">
        <f t="shared" si="26"/>
        <v>1570.2561881018651</v>
      </c>
    </row>
    <row r="538" spans="1:18" s="1" customFormat="1" ht="11.5" x14ac:dyDescent="0.25">
      <c r="A538" s="1" t="s">
        <v>569</v>
      </c>
      <c r="B538" s="1" t="s">
        <v>1238</v>
      </c>
      <c r="C538" s="1" t="s">
        <v>22</v>
      </c>
      <c r="D538" s="1">
        <v>2</v>
      </c>
      <c r="E538" s="1" t="s">
        <v>17</v>
      </c>
      <c r="F538" s="1" t="s">
        <v>29</v>
      </c>
      <c r="G538" s="1">
        <v>15928</v>
      </c>
      <c r="H538" s="1">
        <v>2434</v>
      </c>
      <c r="I538" s="1">
        <v>430</v>
      </c>
      <c r="J538" s="1">
        <v>360</v>
      </c>
      <c r="K538" s="1">
        <v>1</v>
      </c>
      <c r="L538" s="1" t="s">
        <v>30</v>
      </c>
      <c r="M538" s="1">
        <f>Table1[[#This Row],[ApplicantIncome]]+Table1[[#This Row],[CoapplicantIncome]]</f>
        <v>18362</v>
      </c>
      <c r="N538" s="1" t="s">
        <v>26</v>
      </c>
      <c r="O538" s="1" t="str">
        <f>IF(Table1[[#This Row],[Total_Income]]&lt;3000,"Low",IF(Table1[[#This Row],[Total_Income]]&lt;7000,"Medium","High"))</f>
        <v>High</v>
      </c>
      <c r="P538" s="1" t="str">
        <f t="shared" si="24"/>
        <v>Rejected</v>
      </c>
      <c r="Q538" s="1" t="str">
        <f t="shared" si="25"/>
        <v>Low Risk</v>
      </c>
      <c r="R538" s="2">
        <f t="shared" si="26"/>
        <v>3155.1876676813176</v>
      </c>
    </row>
    <row r="539" spans="1:18" s="1" customFormat="1" ht="11.5" x14ac:dyDescent="0.25">
      <c r="A539" s="1" t="s">
        <v>570</v>
      </c>
      <c r="B539" s="1" t="s">
        <v>52</v>
      </c>
      <c r="C539" s="1" t="s">
        <v>22</v>
      </c>
      <c r="D539" s="1" t="s">
        <v>16</v>
      </c>
      <c r="E539" s="1" t="s">
        <v>17</v>
      </c>
      <c r="F539" s="1" t="s">
        <v>22</v>
      </c>
      <c r="G539" s="1">
        <v>16558</v>
      </c>
      <c r="H539" s="1">
        <v>9349</v>
      </c>
      <c r="I539" s="1">
        <v>408</v>
      </c>
      <c r="J539" s="1">
        <v>180</v>
      </c>
      <c r="K539" s="1">
        <v>0</v>
      </c>
      <c r="L539" s="1" t="s">
        <v>30</v>
      </c>
      <c r="M539" s="1">
        <f>Table1[[#This Row],[ApplicantIncome]]+Table1[[#This Row],[CoapplicantIncome]]</f>
        <v>25907</v>
      </c>
      <c r="N539" s="1" t="s">
        <v>20</v>
      </c>
      <c r="O539" s="1" t="str">
        <f>IF(Table1[[#This Row],[Total_Income]]&lt;3000,"Low",IF(Table1[[#This Row],[Total_Income]]&lt;7000,"Medium","High"))</f>
        <v>High</v>
      </c>
      <c r="P539" s="1" t="str">
        <f t="shared" si="24"/>
        <v>Approved</v>
      </c>
      <c r="Q539" s="1" t="str">
        <f t="shared" si="25"/>
        <v>High Risk</v>
      </c>
      <c r="R539" s="2">
        <f t="shared" si="26"/>
        <v>3899.0605040678338</v>
      </c>
    </row>
    <row r="540" spans="1:18" s="1" customFormat="1" ht="11.5" x14ac:dyDescent="0.25">
      <c r="A540" s="1" t="s">
        <v>571</v>
      </c>
      <c r="B540" s="1" t="s">
        <v>1238</v>
      </c>
      <c r="C540" s="1" t="s">
        <v>29</v>
      </c>
      <c r="D540" s="1">
        <v>1</v>
      </c>
      <c r="E540" s="1" t="s">
        <v>17</v>
      </c>
      <c r="F540" s="1" t="s">
        <v>22</v>
      </c>
      <c r="G540" s="1">
        <v>1855</v>
      </c>
      <c r="H540" s="1">
        <v>3344</v>
      </c>
      <c r="I540" s="1">
        <v>673</v>
      </c>
      <c r="J540" s="1">
        <v>360</v>
      </c>
      <c r="K540" s="1">
        <v>0</v>
      </c>
      <c r="L540" s="1" t="s">
        <v>30</v>
      </c>
      <c r="M540" s="1">
        <f>Table1[[#This Row],[ApplicantIncome]]+Table1[[#This Row],[CoapplicantIncome]]</f>
        <v>5199</v>
      </c>
      <c r="N540" s="1" t="s">
        <v>20</v>
      </c>
      <c r="O540" s="1" t="str">
        <f>IF(Table1[[#This Row],[Total_Income]]&lt;3000,"Low",IF(Table1[[#This Row],[Total_Income]]&lt;7000,"Medium","High"))</f>
        <v>Medium</v>
      </c>
      <c r="P540" s="1" t="str">
        <f t="shared" si="24"/>
        <v>Approved</v>
      </c>
      <c r="Q540" s="1" t="str">
        <f t="shared" si="25"/>
        <v>High Risk</v>
      </c>
      <c r="R540" s="2">
        <f t="shared" si="26"/>
        <v>4938.2355822082018</v>
      </c>
    </row>
    <row r="541" spans="1:18" s="1" customFormat="1" ht="11.5" x14ac:dyDescent="0.25">
      <c r="A541" s="1" t="s">
        <v>572</v>
      </c>
      <c r="B541" s="1" t="s">
        <v>1238</v>
      </c>
      <c r="C541" s="1" t="s">
        <v>22</v>
      </c>
      <c r="D541" s="1" t="s">
        <v>16</v>
      </c>
      <c r="E541" s="1" t="s">
        <v>25</v>
      </c>
      <c r="F541" s="1" t="s">
        <v>22</v>
      </c>
      <c r="G541" s="1">
        <v>6813</v>
      </c>
      <c r="H541" s="1">
        <v>4698</v>
      </c>
      <c r="I541" s="1">
        <v>573</v>
      </c>
      <c r="J541" s="1">
        <v>360</v>
      </c>
      <c r="K541" s="1">
        <v>0</v>
      </c>
      <c r="L541" s="1" t="s">
        <v>19</v>
      </c>
      <c r="M541" s="1">
        <f>Table1[[#This Row],[ApplicantIncome]]+Table1[[#This Row],[CoapplicantIncome]]</f>
        <v>11511</v>
      </c>
      <c r="N541" s="1" t="s">
        <v>20</v>
      </c>
      <c r="O541" s="1" t="str">
        <f>IF(Table1[[#This Row],[Total_Income]]&lt;3000,"Low",IF(Table1[[#This Row],[Total_Income]]&lt;7000,"Medium","High"))</f>
        <v>High</v>
      </c>
      <c r="P541" s="1" t="str">
        <f t="shared" si="24"/>
        <v>Approved</v>
      </c>
      <c r="Q541" s="1" t="str">
        <f t="shared" si="25"/>
        <v>High Risk</v>
      </c>
      <c r="R541" s="2">
        <f t="shared" si="26"/>
        <v>4204.4710083288255</v>
      </c>
    </row>
    <row r="542" spans="1:18" s="1" customFormat="1" ht="11.5" x14ac:dyDescent="0.25">
      <c r="A542" s="1" t="s">
        <v>573</v>
      </c>
      <c r="B542" s="1" t="s">
        <v>28</v>
      </c>
      <c r="C542" s="1" t="s">
        <v>22</v>
      </c>
      <c r="D542" s="1" t="s">
        <v>16</v>
      </c>
      <c r="E542" s="1" t="s">
        <v>25</v>
      </c>
      <c r="F542" s="1" t="s">
        <v>29</v>
      </c>
      <c r="G542" s="1">
        <v>10953</v>
      </c>
      <c r="H542" s="1">
        <v>8710</v>
      </c>
      <c r="I542" s="1">
        <v>95</v>
      </c>
      <c r="J542" s="1">
        <v>120</v>
      </c>
      <c r="K542" s="1">
        <v>0</v>
      </c>
      <c r="L542" s="1" t="s">
        <v>30</v>
      </c>
      <c r="M542" s="1">
        <f>Table1[[#This Row],[ApplicantIncome]]+Table1[[#This Row],[CoapplicantIncome]]</f>
        <v>19663</v>
      </c>
      <c r="N542" s="1" t="s">
        <v>20</v>
      </c>
      <c r="O542" s="1" t="str">
        <f>IF(Table1[[#This Row],[Total_Income]]&lt;3000,"Low",IF(Table1[[#This Row],[Total_Income]]&lt;7000,"Medium","High"))</f>
        <v>High</v>
      </c>
      <c r="P542" s="1" t="str">
        <f t="shared" si="24"/>
        <v>Approved</v>
      </c>
      <c r="Q542" s="1" t="str">
        <f t="shared" si="25"/>
        <v>High Risk</v>
      </c>
      <c r="R542" s="2">
        <f t="shared" si="26"/>
        <v>1152.6121463758909</v>
      </c>
    </row>
    <row r="543" spans="1:18" s="1" customFormat="1" ht="11.5" x14ac:dyDescent="0.25">
      <c r="A543" s="1" t="s">
        <v>574</v>
      </c>
      <c r="B543" s="1" t="s">
        <v>28</v>
      </c>
      <c r="C543" s="1" t="s">
        <v>22</v>
      </c>
      <c r="D543" s="1">
        <v>1</v>
      </c>
      <c r="E543" s="1" t="s">
        <v>25</v>
      </c>
      <c r="F543" s="1" t="s">
        <v>22</v>
      </c>
      <c r="G543" s="1">
        <v>15911</v>
      </c>
      <c r="H543" s="1">
        <v>5175</v>
      </c>
      <c r="I543" s="1">
        <v>166</v>
      </c>
      <c r="J543" s="1">
        <v>180</v>
      </c>
      <c r="K543" s="1">
        <v>0</v>
      </c>
      <c r="L543" s="1" t="s">
        <v>30</v>
      </c>
      <c r="M543" s="1">
        <f>Table1[[#This Row],[ApplicantIncome]]+Table1[[#This Row],[CoapplicantIncome]]</f>
        <v>21086</v>
      </c>
      <c r="N543" s="1" t="s">
        <v>26</v>
      </c>
      <c r="O543" s="1" t="str">
        <f>IF(Table1[[#This Row],[Total_Income]]&lt;3000,"Low",IF(Table1[[#This Row],[Total_Income]]&lt;7000,"Medium","High"))</f>
        <v>High</v>
      </c>
      <c r="P543" s="1" t="str">
        <f t="shared" si="24"/>
        <v>Rejected</v>
      </c>
      <c r="Q543" s="1" t="str">
        <f t="shared" si="25"/>
        <v>High Risk</v>
      </c>
      <c r="R543" s="2">
        <f t="shared" si="26"/>
        <v>1586.3824599883835</v>
      </c>
    </row>
    <row r="544" spans="1:18" s="1" customFormat="1" ht="11.5" x14ac:dyDescent="0.25">
      <c r="A544" s="1" t="s">
        <v>575</v>
      </c>
      <c r="B544" s="1" t="s">
        <v>1238</v>
      </c>
      <c r="C544" s="1" t="s">
        <v>29</v>
      </c>
      <c r="D544" s="1" t="s">
        <v>16</v>
      </c>
      <c r="E544" s="1" t="s">
        <v>25</v>
      </c>
      <c r="F544" s="1" t="s">
        <v>29</v>
      </c>
      <c r="G544" s="1">
        <v>12679</v>
      </c>
      <c r="H544" s="1">
        <v>4343</v>
      </c>
      <c r="I544" s="1">
        <v>588</v>
      </c>
      <c r="J544" s="1">
        <v>180</v>
      </c>
      <c r="K544" s="1">
        <v>0</v>
      </c>
      <c r="L544" s="1" t="s">
        <v>19</v>
      </c>
      <c r="M544" s="1">
        <f>Table1[[#This Row],[ApplicantIncome]]+Table1[[#This Row],[CoapplicantIncome]]</f>
        <v>17022</v>
      </c>
      <c r="N544" s="1" t="s">
        <v>26</v>
      </c>
      <c r="O544" s="1" t="str">
        <f>IF(Table1[[#This Row],[Total_Income]]&lt;3000,"Low",IF(Table1[[#This Row],[Total_Income]]&lt;7000,"Medium","High"))</f>
        <v>High</v>
      </c>
      <c r="P544" s="1" t="str">
        <f t="shared" si="24"/>
        <v>Rejected</v>
      </c>
      <c r="Q544" s="1" t="str">
        <f t="shared" si="25"/>
        <v>High Risk</v>
      </c>
      <c r="R544" s="2">
        <f t="shared" si="26"/>
        <v>5619.2342558624669</v>
      </c>
    </row>
    <row r="545" spans="1:18" s="1" customFormat="1" ht="11.5" x14ac:dyDescent="0.25">
      <c r="A545" s="1" t="s">
        <v>576</v>
      </c>
      <c r="B545" s="1" t="s">
        <v>52</v>
      </c>
      <c r="C545" s="1" t="s">
        <v>22</v>
      </c>
      <c r="D545" s="1">
        <v>0</v>
      </c>
      <c r="E545" s="1" t="s">
        <v>25</v>
      </c>
      <c r="F545" s="1" t="s">
        <v>29</v>
      </c>
      <c r="G545" s="1">
        <v>6972</v>
      </c>
      <c r="H545" s="1">
        <v>4648</v>
      </c>
      <c r="I545" s="1">
        <v>304</v>
      </c>
      <c r="J545" s="1">
        <v>360</v>
      </c>
      <c r="K545" s="1">
        <v>0</v>
      </c>
      <c r="L545" s="1" t="s">
        <v>30</v>
      </c>
      <c r="M545" s="1">
        <f>Table1[[#This Row],[ApplicantIncome]]+Table1[[#This Row],[CoapplicantIncome]]</f>
        <v>11620</v>
      </c>
      <c r="N545" s="1" t="s">
        <v>26</v>
      </c>
      <c r="O545" s="1" t="str">
        <f>IF(Table1[[#This Row],[Total_Income]]&lt;3000,"Low",IF(Table1[[#This Row],[Total_Income]]&lt;7000,"Medium","High"))</f>
        <v>High</v>
      </c>
      <c r="P545" s="1" t="str">
        <f t="shared" si="24"/>
        <v>Rejected</v>
      </c>
      <c r="Q545" s="1" t="str">
        <f t="shared" si="25"/>
        <v>High Risk</v>
      </c>
      <c r="R545" s="2">
        <f t="shared" si="26"/>
        <v>2230.6443045933038</v>
      </c>
    </row>
    <row r="546" spans="1:18" s="1" customFormat="1" ht="11.5" x14ac:dyDescent="0.25">
      <c r="A546" s="1" t="s">
        <v>577</v>
      </c>
      <c r="B546" s="1" t="s">
        <v>52</v>
      </c>
      <c r="C546" s="1" t="s">
        <v>22</v>
      </c>
      <c r="D546" s="1">
        <v>1</v>
      </c>
      <c r="E546" s="1" t="s">
        <v>25</v>
      </c>
      <c r="F546" s="1" t="s">
        <v>22</v>
      </c>
      <c r="G546" s="1">
        <v>2197</v>
      </c>
      <c r="H546" s="1">
        <v>7687</v>
      </c>
      <c r="I546" s="1">
        <v>57</v>
      </c>
      <c r="J546" s="1">
        <v>120</v>
      </c>
      <c r="K546" s="1">
        <v>0</v>
      </c>
      <c r="L546" s="1" t="s">
        <v>19</v>
      </c>
      <c r="M546" s="1">
        <f>Table1[[#This Row],[ApplicantIncome]]+Table1[[#This Row],[CoapplicantIncome]]</f>
        <v>9884</v>
      </c>
      <c r="N546" s="1" t="s">
        <v>20</v>
      </c>
      <c r="O546" s="1" t="str">
        <f>IF(Table1[[#This Row],[Total_Income]]&lt;3000,"Low",IF(Table1[[#This Row],[Total_Income]]&lt;7000,"Medium","High"))</f>
        <v>High</v>
      </c>
      <c r="P546" s="1" t="str">
        <f t="shared" si="24"/>
        <v>Approved</v>
      </c>
      <c r="Q546" s="1" t="str">
        <f t="shared" si="25"/>
        <v>High Risk</v>
      </c>
      <c r="R546" s="2">
        <f t="shared" si="26"/>
        <v>691.56728782553444</v>
      </c>
    </row>
    <row r="547" spans="1:18" s="1" customFormat="1" ht="11.5" x14ac:dyDescent="0.25">
      <c r="A547" s="1" t="s">
        <v>578</v>
      </c>
      <c r="B547" s="1" t="s">
        <v>1238</v>
      </c>
      <c r="C547" s="1" t="s">
        <v>29</v>
      </c>
      <c r="D547" s="1">
        <v>1</v>
      </c>
      <c r="E547" s="1" t="s">
        <v>25</v>
      </c>
      <c r="F547" s="1" t="s">
        <v>29</v>
      </c>
      <c r="G547" s="1">
        <v>5062</v>
      </c>
      <c r="H547" s="1">
        <v>3720</v>
      </c>
      <c r="I547" s="1">
        <v>91</v>
      </c>
      <c r="J547" s="1">
        <v>360</v>
      </c>
      <c r="K547" s="1">
        <v>1</v>
      </c>
      <c r="L547" s="1" t="s">
        <v>19</v>
      </c>
      <c r="M547" s="1">
        <f>Table1[[#This Row],[ApplicantIncome]]+Table1[[#This Row],[CoapplicantIncome]]</f>
        <v>8782</v>
      </c>
      <c r="N547" s="1" t="s">
        <v>26</v>
      </c>
      <c r="O547" s="1" t="str">
        <f>IF(Table1[[#This Row],[Total_Income]]&lt;3000,"Low",IF(Table1[[#This Row],[Total_Income]]&lt;7000,"Medium","High"))</f>
        <v>High</v>
      </c>
      <c r="P547" s="1" t="str">
        <f t="shared" si="24"/>
        <v>Rejected</v>
      </c>
      <c r="Q547" s="1" t="str">
        <f t="shared" si="25"/>
        <v>Low Risk</v>
      </c>
      <c r="R547" s="2">
        <f t="shared" si="26"/>
        <v>667.72576223023225</v>
      </c>
    </row>
    <row r="548" spans="1:18" s="1" customFormat="1" ht="11.5" x14ac:dyDescent="0.25">
      <c r="A548" s="1" t="s">
        <v>579</v>
      </c>
      <c r="B548" s="1" t="s">
        <v>1238</v>
      </c>
      <c r="C548" s="1" t="s">
        <v>29</v>
      </c>
      <c r="D548" s="1" t="s">
        <v>16</v>
      </c>
      <c r="E548" s="1" t="s">
        <v>25</v>
      </c>
      <c r="F548" s="1" t="s">
        <v>22</v>
      </c>
      <c r="G548" s="1">
        <v>6508</v>
      </c>
      <c r="H548" s="1">
        <v>6376</v>
      </c>
      <c r="I548" s="1">
        <v>529</v>
      </c>
      <c r="J548" s="1">
        <v>120</v>
      </c>
      <c r="K548" s="1">
        <v>0</v>
      </c>
      <c r="L548" s="1" t="s">
        <v>19</v>
      </c>
      <c r="M548" s="1">
        <f>Table1[[#This Row],[ApplicantIncome]]+Table1[[#This Row],[CoapplicantIncome]]</f>
        <v>12884</v>
      </c>
      <c r="N548" s="1" t="s">
        <v>26</v>
      </c>
      <c r="O548" s="1" t="str">
        <f>IF(Table1[[#This Row],[Total_Income]]&lt;3000,"Low",IF(Table1[[#This Row],[Total_Income]]&lt;7000,"Medium","High"))</f>
        <v>High</v>
      </c>
      <c r="P548" s="1" t="str">
        <f t="shared" si="24"/>
        <v>Rejected</v>
      </c>
      <c r="Q548" s="1" t="str">
        <f t="shared" si="25"/>
        <v>High Risk</v>
      </c>
      <c r="R548" s="2">
        <f t="shared" si="26"/>
        <v>6418.2297413983815</v>
      </c>
    </row>
    <row r="549" spans="1:18" s="1" customFormat="1" ht="11.5" x14ac:dyDescent="0.25">
      <c r="A549" s="1" t="s">
        <v>580</v>
      </c>
      <c r="B549" s="1" t="s">
        <v>1238</v>
      </c>
      <c r="C549" s="1" t="s">
        <v>22</v>
      </c>
      <c r="D549" s="1">
        <v>1</v>
      </c>
      <c r="E549" s="1" t="s">
        <v>25</v>
      </c>
      <c r="F549" s="1" t="s">
        <v>29</v>
      </c>
      <c r="G549" s="1">
        <v>8052</v>
      </c>
      <c r="H549" s="1">
        <v>1460</v>
      </c>
      <c r="I549" s="1">
        <v>457</v>
      </c>
      <c r="J549" s="1">
        <v>360</v>
      </c>
      <c r="K549" s="1">
        <v>1</v>
      </c>
      <c r="L549" s="1" t="s">
        <v>41</v>
      </c>
      <c r="M549" s="1">
        <f>Table1[[#This Row],[ApplicantIncome]]+Table1[[#This Row],[CoapplicantIncome]]</f>
        <v>9512</v>
      </c>
      <c r="N549" s="1" t="s">
        <v>26</v>
      </c>
      <c r="O549" s="1" t="str">
        <f>IF(Table1[[#This Row],[Total_Income]]&lt;3000,"Low",IF(Table1[[#This Row],[Total_Income]]&lt;7000,"Medium","High"))</f>
        <v>High</v>
      </c>
      <c r="P549" s="1" t="str">
        <f t="shared" si="24"/>
        <v>Rejected</v>
      </c>
      <c r="Q549" s="1" t="str">
        <f t="shared" si="25"/>
        <v>Low Risk</v>
      </c>
      <c r="R549" s="2">
        <f t="shared" si="26"/>
        <v>3353.3041026287492</v>
      </c>
    </row>
    <row r="550" spans="1:18" s="1" customFormat="1" ht="11.5" x14ac:dyDescent="0.25">
      <c r="A550" s="1" t="s">
        <v>581</v>
      </c>
      <c r="B550" s="1" t="s">
        <v>28</v>
      </c>
      <c r="C550" s="1" t="s">
        <v>29</v>
      </c>
      <c r="D550" s="1">
        <v>1</v>
      </c>
      <c r="E550" s="1" t="s">
        <v>25</v>
      </c>
      <c r="F550" s="1" t="s">
        <v>22</v>
      </c>
      <c r="G550" s="1">
        <v>13267</v>
      </c>
      <c r="H550" s="1">
        <v>8385</v>
      </c>
      <c r="I550" s="1">
        <v>51</v>
      </c>
      <c r="J550" s="1">
        <v>180</v>
      </c>
      <c r="K550" s="1">
        <v>1</v>
      </c>
      <c r="L550" s="1" t="s">
        <v>19</v>
      </c>
      <c r="M550" s="1">
        <f>Table1[[#This Row],[ApplicantIncome]]+Table1[[#This Row],[CoapplicantIncome]]</f>
        <v>21652</v>
      </c>
      <c r="N550" s="1" t="s">
        <v>26</v>
      </c>
      <c r="O550" s="1" t="str">
        <f>IF(Table1[[#This Row],[Total_Income]]&lt;3000,"Low",IF(Table1[[#This Row],[Total_Income]]&lt;7000,"Medium","High"))</f>
        <v>High</v>
      </c>
      <c r="P550" s="1" t="str">
        <f t="shared" si="24"/>
        <v>Rejected</v>
      </c>
      <c r="Q550" s="1" t="str">
        <f t="shared" si="25"/>
        <v>Low Risk</v>
      </c>
      <c r="R550" s="2">
        <f t="shared" si="26"/>
        <v>487.38256300847922</v>
      </c>
    </row>
    <row r="551" spans="1:18" s="1" customFormat="1" ht="11.5" x14ac:dyDescent="0.25">
      <c r="A551" s="1" t="s">
        <v>582</v>
      </c>
      <c r="B551" s="1" t="s">
        <v>1238</v>
      </c>
      <c r="C551" s="1" t="s">
        <v>29</v>
      </c>
      <c r="D551" s="1" t="s">
        <v>16</v>
      </c>
      <c r="E551" s="1" t="s">
        <v>17</v>
      </c>
      <c r="F551" s="1" t="s">
        <v>29</v>
      </c>
      <c r="G551" s="1">
        <v>12450</v>
      </c>
      <c r="H551" s="1">
        <v>8850</v>
      </c>
      <c r="I551" s="1">
        <v>531</v>
      </c>
      <c r="J551" s="1">
        <v>360</v>
      </c>
      <c r="K551" s="1">
        <v>1</v>
      </c>
      <c r="L551" s="1" t="s">
        <v>41</v>
      </c>
      <c r="M551" s="1">
        <f>Table1[[#This Row],[ApplicantIncome]]+Table1[[#This Row],[CoapplicantIncome]]</f>
        <v>21300</v>
      </c>
      <c r="N551" s="1" t="s">
        <v>26</v>
      </c>
      <c r="O551" s="1" t="str">
        <f>IF(Table1[[#This Row],[Total_Income]]&lt;3000,"Low",IF(Table1[[#This Row],[Total_Income]]&lt;7000,"Medium","High"))</f>
        <v>High</v>
      </c>
      <c r="P551" s="1" t="str">
        <f t="shared" si="24"/>
        <v>Rejected</v>
      </c>
      <c r="Q551" s="1" t="str">
        <f t="shared" si="25"/>
        <v>Low Risk</v>
      </c>
      <c r="R551" s="2">
        <f t="shared" si="26"/>
        <v>3896.2898872994874</v>
      </c>
    </row>
    <row r="552" spans="1:18" s="1" customFormat="1" ht="11.5" x14ac:dyDescent="0.25">
      <c r="A552" s="1" t="s">
        <v>583</v>
      </c>
      <c r="B552" s="1" t="s">
        <v>52</v>
      </c>
      <c r="C552" s="1" t="s">
        <v>22</v>
      </c>
      <c r="D552" s="1">
        <v>2</v>
      </c>
      <c r="E552" s="1" t="s">
        <v>17</v>
      </c>
      <c r="F552" s="1" t="s">
        <v>22</v>
      </c>
      <c r="G552" s="1">
        <v>8387</v>
      </c>
      <c r="H552" s="1">
        <v>1791</v>
      </c>
      <c r="I552" s="1">
        <v>190</v>
      </c>
      <c r="J552" s="1">
        <v>360</v>
      </c>
      <c r="K552" s="1">
        <v>0</v>
      </c>
      <c r="L552" s="1" t="s">
        <v>19</v>
      </c>
      <c r="M552" s="1">
        <f>Table1[[#This Row],[ApplicantIncome]]+Table1[[#This Row],[CoapplicantIncome]]</f>
        <v>10178</v>
      </c>
      <c r="N552" s="1" t="s">
        <v>26</v>
      </c>
      <c r="O552" s="1" t="str">
        <f>IF(Table1[[#This Row],[Total_Income]]&lt;3000,"Low",IF(Table1[[#This Row],[Total_Income]]&lt;7000,"Medium","High"))</f>
        <v>High</v>
      </c>
      <c r="P552" s="1" t="str">
        <f t="shared" si="24"/>
        <v>Rejected</v>
      </c>
      <c r="Q552" s="1" t="str">
        <f t="shared" si="25"/>
        <v>High Risk</v>
      </c>
      <c r="R552" s="2">
        <f t="shared" si="26"/>
        <v>1394.1526903708148</v>
      </c>
    </row>
    <row r="553" spans="1:18" s="1" customFormat="1" ht="11.5" x14ac:dyDescent="0.25">
      <c r="A553" s="1" t="s">
        <v>584</v>
      </c>
      <c r="B553" s="1" t="s">
        <v>1238</v>
      </c>
      <c r="C553" s="1" t="s">
        <v>22</v>
      </c>
      <c r="D553" s="1">
        <v>2</v>
      </c>
      <c r="E553" s="1" t="s">
        <v>25</v>
      </c>
      <c r="F553" s="1" t="s">
        <v>29</v>
      </c>
      <c r="G553" s="1">
        <v>18601</v>
      </c>
      <c r="H553" s="1">
        <v>6768</v>
      </c>
      <c r="I553" s="1">
        <v>292</v>
      </c>
      <c r="J553" s="1">
        <v>120</v>
      </c>
      <c r="K553" s="1">
        <v>1</v>
      </c>
      <c r="L553" s="1" t="s">
        <v>41</v>
      </c>
      <c r="M553" s="1">
        <f>Table1[[#This Row],[ApplicantIncome]]+Table1[[#This Row],[CoapplicantIncome]]</f>
        <v>25369</v>
      </c>
      <c r="N553" s="1" t="s">
        <v>20</v>
      </c>
      <c r="O553" s="1" t="str">
        <f>IF(Table1[[#This Row],[Total_Income]]&lt;3000,"Low",IF(Table1[[#This Row],[Total_Income]]&lt;7000,"Medium","High"))</f>
        <v>High</v>
      </c>
      <c r="P553" s="1" t="str">
        <f t="shared" si="24"/>
        <v>Approved</v>
      </c>
      <c r="Q553" s="1" t="str">
        <f t="shared" si="25"/>
        <v>Low Risk</v>
      </c>
      <c r="R553" s="2">
        <f t="shared" si="26"/>
        <v>3542.7657551764228</v>
      </c>
    </row>
    <row r="554" spans="1:18" s="1" customFormat="1" ht="11.5" x14ac:dyDescent="0.25">
      <c r="A554" s="1" t="s">
        <v>585</v>
      </c>
      <c r="B554" s="1" t="s">
        <v>1238</v>
      </c>
      <c r="C554" s="1" t="s">
        <v>22</v>
      </c>
      <c r="D554" s="1" t="s">
        <v>16</v>
      </c>
      <c r="E554" s="1" t="s">
        <v>25</v>
      </c>
      <c r="F554" s="1" t="s">
        <v>22</v>
      </c>
      <c r="G554" s="1">
        <v>7965</v>
      </c>
      <c r="H554" s="1">
        <v>925</v>
      </c>
      <c r="I554" s="1">
        <v>137</v>
      </c>
      <c r="J554" s="1">
        <v>180</v>
      </c>
      <c r="K554" s="1">
        <v>0</v>
      </c>
      <c r="L554" s="1" t="s">
        <v>19</v>
      </c>
      <c r="M554" s="1">
        <f>Table1[[#This Row],[ApplicantIncome]]+Table1[[#This Row],[CoapplicantIncome]]</f>
        <v>8890</v>
      </c>
      <c r="N554" s="1" t="s">
        <v>26</v>
      </c>
      <c r="O554" s="1" t="str">
        <f>IF(Table1[[#This Row],[Total_Income]]&lt;3000,"Low",IF(Table1[[#This Row],[Total_Income]]&lt;7000,"Medium","High"))</f>
        <v>High</v>
      </c>
      <c r="P554" s="1" t="str">
        <f t="shared" si="24"/>
        <v>Rejected</v>
      </c>
      <c r="Q554" s="1" t="str">
        <f t="shared" si="25"/>
        <v>High Risk</v>
      </c>
      <c r="R554" s="2">
        <f t="shared" si="26"/>
        <v>1309.2433555325815</v>
      </c>
    </row>
    <row r="555" spans="1:18" s="1" customFormat="1" ht="11.5" x14ac:dyDescent="0.25">
      <c r="A555" s="1" t="s">
        <v>586</v>
      </c>
      <c r="B555" s="1" t="s">
        <v>28</v>
      </c>
      <c r="C555" s="1" t="s">
        <v>22</v>
      </c>
      <c r="D555" s="1" t="s">
        <v>16</v>
      </c>
      <c r="E555" s="1" t="s">
        <v>17</v>
      </c>
      <c r="F555" s="1" t="s">
        <v>22</v>
      </c>
      <c r="G555" s="1">
        <v>14152</v>
      </c>
      <c r="H555" s="1">
        <v>1831</v>
      </c>
      <c r="I555" s="1">
        <v>639</v>
      </c>
      <c r="J555" s="1">
        <v>360</v>
      </c>
      <c r="K555" s="1">
        <v>1</v>
      </c>
      <c r="L555" s="1" t="s">
        <v>30</v>
      </c>
      <c r="M555" s="1">
        <f>Table1[[#This Row],[ApplicantIncome]]+Table1[[#This Row],[CoapplicantIncome]]</f>
        <v>15983</v>
      </c>
      <c r="N555" s="1" t="s">
        <v>26</v>
      </c>
      <c r="O555" s="1" t="str">
        <f>IF(Table1[[#This Row],[Total_Income]]&lt;3000,"Low",IF(Table1[[#This Row],[Total_Income]]&lt;7000,"Medium","High"))</f>
        <v>High</v>
      </c>
      <c r="P555" s="1" t="str">
        <f t="shared" si="24"/>
        <v>Rejected</v>
      </c>
      <c r="Q555" s="1" t="str">
        <f t="shared" si="25"/>
        <v>Low Risk</v>
      </c>
      <c r="R555" s="2">
        <f t="shared" si="26"/>
        <v>4688.7556270892137</v>
      </c>
    </row>
    <row r="556" spans="1:18" s="1" customFormat="1" ht="11.5" x14ac:dyDescent="0.25">
      <c r="A556" s="1" t="s">
        <v>587</v>
      </c>
      <c r="B556" s="1" t="s">
        <v>52</v>
      </c>
      <c r="C556" s="1" t="s">
        <v>22</v>
      </c>
      <c r="D556" s="1">
        <v>1</v>
      </c>
      <c r="E556" s="1" t="s">
        <v>17</v>
      </c>
      <c r="F556" s="1" t="s">
        <v>22</v>
      </c>
      <c r="G556" s="1">
        <v>3879</v>
      </c>
      <c r="H556" s="1">
        <v>9220</v>
      </c>
      <c r="I556" s="1">
        <v>399</v>
      </c>
      <c r="J556" s="1">
        <v>180</v>
      </c>
      <c r="K556" s="1">
        <v>0</v>
      </c>
      <c r="L556" s="1" t="s">
        <v>41</v>
      </c>
      <c r="M556" s="1">
        <f>Table1[[#This Row],[ApplicantIncome]]+Table1[[#This Row],[CoapplicantIncome]]</f>
        <v>13099</v>
      </c>
      <c r="N556" s="1" t="s">
        <v>26</v>
      </c>
      <c r="O556" s="1" t="str">
        <f>IF(Table1[[#This Row],[Total_Income]]&lt;3000,"Low",IF(Table1[[#This Row],[Total_Income]]&lt;7000,"Medium","High"))</f>
        <v>High</v>
      </c>
      <c r="P556" s="1" t="str">
        <f t="shared" si="24"/>
        <v>Rejected</v>
      </c>
      <c r="Q556" s="1" t="str">
        <f t="shared" si="25"/>
        <v>High Risk</v>
      </c>
      <c r="R556" s="2">
        <f t="shared" si="26"/>
        <v>3813.0518164781024</v>
      </c>
    </row>
    <row r="557" spans="1:18" s="1" customFormat="1" ht="11.5" x14ac:dyDescent="0.25">
      <c r="A557" s="1" t="s">
        <v>588</v>
      </c>
      <c r="B557" s="1" t="s">
        <v>52</v>
      </c>
      <c r="C557" s="1" t="s">
        <v>22</v>
      </c>
      <c r="D557" s="1">
        <v>2</v>
      </c>
      <c r="E557" s="1" t="s">
        <v>17</v>
      </c>
      <c r="F557" s="1" t="s">
        <v>29</v>
      </c>
      <c r="G557" s="1">
        <v>14458</v>
      </c>
      <c r="H557" s="1">
        <v>4503</v>
      </c>
      <c r="I557" s="1">
        <v>256</v>
      </c>
      <c r="J557" s="1">
        <v>180</v>
      </c>
      <c r="K557" s="1">
        <v>0</v>
      </c>
      <c r="L557" s="1" t="s">
        <v>41</v>
      </c>
      <c r="M557" s="1">
        <f>Table1[[#This Row],[ApplicantIncome]]+Table1[[#This Row],[CoapplicantIncome]]</f>
        <v>18961</v>
      </c>
      <c r="N557" s="1" t="s">
        <v>20</v>
      </c>
      <c r="O557" s="1" t="str">
        <f>IF(Table1[[#This Row],[Total_Income]]&lt;3000,"Low",IF(Table1[[#This Row],[Total_Income]]&lt;7000,"Medium","High"))</f>
        <v>High</v>
      </c>
      <c r="P557" s="1" t="str">
        <f t="shared" si="24"/>
        <v>Approved</v>
      </c>
      <c r="Q557" s="1" t="str">
        <f t="shared" si="25"/>
        <v>High Risk</v>
      </c>
      <c r="R557" s="2">
        <f t="shared" si="26"/>
        <v>2446.4693358856998</v>
      </c>
    </row>
    <row r="558" spans="1:18" s="1" customFormat="1" ht="11.5" x14ac:dyDescent="0.25">
      <c r="A558" s="1" t="s">
        <v>589</v>
      </c>
      <c r="B558" s="1" t="s">
        <v>1238</v>
      </c>
      <c r="C558" s="1" t="s">
        <v>22</v>
      </c>
      <c r="D558" s="1">
        <v>1</v>
      </c>
      <c r="E558" s="1" t="s">
        <v>17</v>
      </c>
      <c r="F558" s="1" t="s">
        <v>22</v>
      </c>
      <c r="G558" s="1">
        <v>6959</v>
      </c>
      <c r="H558" s="1">
        <v>1181</v>
      </c>
      <c r="I558" s="1">
        <v>301</v>
      </c>
      <c r="J558" s="1">
        <v>180</v>
      </c>
      <c r="K558" s="1">
        <v>1</v>
      </c>
      <c r="L558" s="1" t="s">
        <v>19</v>
      </c>
      <c r="M558" s="1">
        <f>Table1[[#This Row],[ApplicantIncome]]+Table1[[#This Row],[CoapplicantIncome]]</f>
        <v>8140</v>
      </c>
      <c r="N558" s="1" t="s">
        <v>26</v>
      </c>
      <c r="O558" s="1" t="str">
        <f>IF(Table1[[#This Row],[Total_Income]]&lt;3000,"Low",IF(Table1[[#This Row],[Total_Income]]&lt;7000,"Medium","High"))</f>
        <v>High</v>
      </c>
      <c r="P558" s="1" t="str">
        <f t="shared" si="24"/>
        <v>Rejected</v>
      </c>
      <c r="Q558" s="1" t="str">
        <f t="shared" si="25"/>
        <v>Low Risk</v>
      </c>
      <c r="R558" s="2">
        <f t="shared" si="26"/>
        <v>2876.5127738343576</v>
      </c>
    </row>
    <row r="559" spans="1:18" s="1" customFormat="1" ht="11.5" x14ac:dyDescent="0.25">
      <c r="A559" s="1" t="s">
        <v>590</v>
      </c>
      <c r="B559" s="1" t="s">
        <v>28</v>
      </c>
      <c r="C559" s="1" t="s">
        <v>22</v>
      </c>
      <c r="D559" s="1">
        <v>2</v>
      </c>
      <c r="E559" s="1" t="s">
        <v>17</v>
      </c>
      <c r="F559" s="1" t="s">
        <v>22</v>
      </c>
      <c r="G559" s="1">
        <v>10379</v>
      </c>
      <c r="H559" s="1">
        <v>7828</v>
      </c>
      <c r="I559" s="1">
        <v>453</v>
      </c>
      <c r="J559" s="1">
        <v>120</v>
      </c>
      <c r="K559" s="1">
        <v>0</v>
      </c>
      <c r="L559" s="1" t="s">
        <v>30</v>
      </c>
      <c r="M559" s="1">
        <f>Table1[[#This Row],[ApplicantIncome]]+Table1[[#This Row],[CoapplicantIncome]]</f>
        <v>18207</v>
      </c>
      <c r="N559" s="1" t="s">
        <v>20</v>
      </c>
      <c r="O559" s="1" t="str">
        <f>IF(Table1[[#This Row],[Total_Income]]&lt;3000,"Low",IF(Table1[[#This Row],[Total_Income]]&lt;7000,"Medium","High"))</f>
        <v>High</v>
      </c>
      <c r="P559" s="1" t="str">
        <f t="shared" si="24"/>
        <v>Approved</v>
      </c>
      <c r="Q559" s="1" t="str">
        <f t="shared" si="25"/>
        <v>High Risk</v>
      </c>
      <c r="R559" s="2">
        <f t="shared" si="26"/>
        <v>5496.1400242976688</v>
      </c>
    </row>
    <row r="560" spans="1:18" s="1" customFormat="1" ht="11.5" x14ac:dyDescent="0.25">
      <c r="A560" s="1" t="s">
        <v>591</v>
      </c>
      <c r="B560" s="1" t="s">
        <v>28</v>
      </c>
      <c r="C560" s="1" t="s">
        <v>22</v>
      </c>
      <c r="D560" s="1">
        <v>2</v>
      </c>
      <c r="E560" s="1" t="s">
        <v>25</v>
      </c>
      <c r="F560" s="1" t="s">
        <v>29</v>
      </c>
      <c r="G560" s="1">
        <v>18443</v>
      </c>
      <c r="H560" s="1">
        <v>3121</v>
      </c>
      <c r="I560" s="1">
        <v>578</v>
      </c>
      <c r="J560" s="1">
        <v>180</v>
      </c>
      <c r="K560" s="1">
        <v>0</v>
      </c>
      <c r="L560" s="1" t="s">
        <v>41</v>
      </c>
      <c r="M560" s="1">
        <f>Table1[[#This Row],[ApplicantIncome]]+Table1[[#This Row],[CoapplicantIncome]]</f>
        <v>21564</v>
      </c>
      <c r="N560" s="1" t="s">
        <v>26</v>
      </c>
      <c r="O560" s="1" t="str">
        <f>IF(Table1[[#This Row],[Total_Income]]&lt;3000,"Low",IF(Table1[[#This Row],[Total_Income]]&lt;7000,"Medium","High"))</f>
        <v>High</v>
      </c>
      <c r="P560" s="1" t="str">
        <f t="shared" si="24"/>
        <v>Rejected</v>
      </c>
      <c r="Q560" s="1" t="str">
        <f t="shared" si="25"/>
        <v>High Risk</v>
      </c>
      <c r="R560" s="2">
        <f t="shared" si="26"/>
        <v>5523.6690474294319</v>
      </c>
    </row>
    <row r="561" spans="1:18" s="1" customFormat="1" ht="11.5" x14ac:dyDescent="0.25">
      <c r="A561" s="1" t="s">
        <v>592</v>
      </c>
      <c r="B561" s="1" t="s">
        <v>28</v>
      </c>
      <c r="C561" s="1" t="s">
        <v>29</v>
      </c>
      <c r="D561" s="1" t="s">
        <v>16</v>
      </c>
      <c r="E561" s="1" t="s">
        <v>17</v>
      </c>
      <c r="F561" s="1" t="s">
        <v>22</v>
      </c>
      <c r="G561" s="1">
        <v>4987</v>
      </c>
      <c r="H561" s="1">
        <v>6955</v>
      </c>
      <c r="I561" s="1">
        <v>302</v>
      </c>
      <c r="J561" s="1">
        <v>360</v>
      </c>
      <c r="K561" s="1">
        <v>0</v>
      </c>
      <c r="L561" s="1" t="s">
        <v>19</v>
      </c>
      <c r="M561" s="1">
        <f>Table1[[#This Row],[ApplicantIncome]]+Table1[[#This Row],[CoapplicantIncome]]</f>
        <v>11942</v>
      </c>
      <c r="N561" s="1" t="s">
        <v>26</v>
      </c>
      <c r="O561" s="1" t="str">
        <f>IF(Table1[[#This Row],[Total_Income]]&lt;3000,"Low",IF(Table1[[#This Row],[Total_Income]]&lt;7000,"Medium","High"))</f>
        <v>High</v>
      </c>
      <c r="P561" s="1" t="str">
        <f t="shared" si="24"/>
        <v>Rejected</v>
      </c>
      <c r="Q561" s="1" t="str">
        <f t="shared" si="25"/>
        <v>High Risk</v>
      </c>
      <c r="R561" s="2">
        <f t="shared" si="26"/>
        <v>2215.9690131157163</v>
      </c>
    </row>
    <row r="562" spans="1:18" s="1" customFormat="1" ht="11.5" x14ac:dyDescent="0.25">
      <c r="A562" s="1" t="s">
        <v>593</v>
      </c>
      <c r="B562" s="1" t="s">
        <v>1238</v>
      </c>
      <c r="C562" s="1" t="s">
        <v>29</v>
      </c>
      <c r="D562" s="1">
        <v>1</v>
      </c>
      <c r="E562" s="1" t="s">
        <v>25</v>
      </c>
      <c r="F562" s="1" t="s">
        <v>22</v>
      </c>
      <c r="G562" s="1">
        <v>4542</v>
      </c>
      <c r="H562" s="1">
        <v>7509</v>
      </c>
      <c r="I562" s="1">
        <v>260</v>
      </c>
      <c r="J562" s="1">
        <v>180</v>
      </c>
      <c r="K562" s="1">
        <v>0</v>
      </c>
      <c r="L562" s="1" t="s">
        <v>41</v>
      </c>
      <c r="M562" s="1">
        <f>Table1[[#This Row],[ApplicantIncome]]+Table1[[#This Row],[CoapplicantIncome]]</f>
        <v>12051</v>
      </c>
      <c r="N562" s="1" t="s">
        <v>26</v>
      </c>
      <c r="O562" s="1" t="str">
        <f>IF(Table1[[#This Row],[Total_Income]]&lt;3000,"Low",IF(Table1[[#This Row],[Total_Income]]&lt;7000,"Medium","High"))</f>
        <v>High</v>
      </c>
      <c r="P562" s="1" t="str">
        <f t="shared" si="24"/>
        <v>Rejected</v>
      </c>
      <c r="Q562" s="1" t="str">
        <f t="shared" si="25"/>
        <v>High Risk</v>
      </c>
      <c r="R562" s="2">
        <f t="shared" si="26"/>
        <v>2484.6954192589137</v>
      </c>
    </row>
    <row r="563" spans="1:18" s="1" customFormat="1" ht="11.5" x14ac:dyDescent="0.25">
      <c r="A563" s="1" t="s">
        <v>594</v>
      </c>
      <c r="B563" s="1" t="s">
        <v>52</v>
      </c>
      <c r="C563" s="1" t="s">
        <v>29</v>
      </c>
      <c r="D563" s="1">
        <v>2</v>
      </c>
      <c r="E563" s="1" t="s">
        <v>17</v>
      </c>
      <c r="F563" s="1" t="s">
        <v>29</v>
      </c>
      <c r="G563" s="1">
        <v>17298</v>
      </c>
      <c r="H563" s="1">
        <v>7281</v>
      </c>
      <c r="I563" s="1">
        <v>680</v>
      </c>
      <c r="J563" s="1">
        <v>120</v>
      </c>
      <c r="K563" s="1">
        <v>0</v>
      </c>
      <c r="L563" s="1" t="s">
        <v>19</v>
      </c>
      <c r="M563" s="1">
        <f>Table1[[#This Row],[ApplicantIncome]]+Table1[[#This Row],[CoapplicantIncome]]</f>
        <v>24579</v>
      </c>
      <c r="N563" s="1" t="s">
        <v>26</v>
      </c>
      <c r="O563" s="1" t="str">
        <f>IF(Table1[[#This Row],[Total_Income]]&lt;3000,"Low",IF(Table1[[#This Row],[Total_Income]]&lt;7000,"Medium","High"))</f>
        <v>High</v>
      </c>
      <c r="P563" s="1" t="str">
        <f t="shared" si="24"/>
        <v>Rejected</v>
      </c>
      <c r="Q563" s="1" t="str">
        <f t="shared" si="25"/>
        <v>High Risk</v>
      </c>
      <c r="R563" s="2">
        <f t="shared" si="26"/>
        <v>8250.2764161642717</v>
      </c>
    </row>
    <row r="564" spans="1:18" s="1" customFormat="1" ht="11.5" x14ac:dyDescent="0.25">
      <c r="A564" s="1" t="s">
        <v>595</v>
      </c>
      <c r="B564" s="1" t="s">
        <v>52</v>
      </c>
      <c r="C564" s="1" t="s">
        <v>29</v>
      </c>
      <c r="D564" s="1" t="s">
        <v>16</v>
      </c>
      <c r="E564" s="1" t="s">
        <v>17</v>
      </c>
      <c r="F564" s="1" t="s">
        <v>22</v>
      </c>
      <c r="G564" s="1">
        <v>15972</v>
      </c>
      <c r="H564" s="1">
        <v>5063</v>
      </c>
      <c r="I564" s="1">
        <v>284</v>
      </c>
      <c r="J564" s="1">
        <v>120</v>
      </c>
      <c r="K564" s="1">
        <v>0</v>
      </c>
      <c r="L564" s="1" t="s">
        <v>19</v>
      </c>
      <c r="M564" s="1">
        <f>Table1[[#This Row],[ApplicantIncome]]+Table1[[#This Row],[CoapplicantIncome]]</f>
        <v>21035</v>
      </c>
      <c r="N564" s="1" t="s">
        <v>20</v>
      </c>
      <c r="O564" s="1" t="str">
        <f>IF(Table1[[#This Row],[Total_Income]]&lt;3000,"Low",IF(Table1[[#This Row],[Total_Income]]&lt;7000,"Medium","High"))</f>
        <v>High</v>
      </c>
      <c r="P564" s="1" t="str">
        <f t="shared" si="24"/>
        <v>Approved</v>
      </c>
      <c r="Q564" s="1" t="str">
        <f t="shared" si="25"/>
        <v>High Risk</v>
      </c>
      <c r="R564" s="2">
        <f t="shared" si="26"/>
        <v>3445.7036796921366</v>
      </c>
    </row>
    <row r="565" spans="1:18" s="1" customFormat="1" ht="11.5" x14ac:dyDescent="0.25">
      <c r="A565" s="1" t="s">
        <v>596</v>
      </c>
      <c r="B565" s="1" t="s">
        <v>28</v>
      </c>
      <c r="C565" s="1" t="s">
        <v>22</v>
      </c>
      <c r="D565" s="1">
        <v>0</v>
      </c>
      <c r="E565" s="1" t="s">
        <v>25</v>
      </c>
      <c r="F565" s="1" t="s">
        <v>22</v>
      </c>
      <c r="G565" s="1">
        <v>4300</v>
      </c>
      <c r="H565" s="1">
        <v>3651</v>
      </c>
      <c r="I565" s="1">
        <v>589</v>
      </c>
      <c r="J565" s="1">
        <v>180</v>
      </c>
      <c r="K565" s="1">
        <v>0</v>
      </c>
      <c r="L565" s="1" t="s">
        <v>19</v>
      </c>
      <c r="M565" s="1">
        <f>Table1[[#This Row],[ApplicantIncome]]+Table1[[#This Row],[CoapplicantIncome]]</f>
        <v>7951</v>
      </c>
      <c r="N565" s="1" t="s">
        <v>20</v>
      </c>
      <c r="O565" s="1" t="str">
        <f>IF(Table1[[#This Row],[Total_Income]]&lt;3000,"Low",IF(Table1[[#This Row],[Total_Income]]&lt;7000,"Medium","High"))</f>
        <v>High</v>
      </c>
      <c r="P565" s="1" t="str">
        <f t="shared" si="24"/>
        <v>Approved</v>
      </c>
      <c r="Q565" s="1" t="str">
        <f t="shared" si="25"/>
        <v>High Risk</v>
      </c>
      <c r="R565" s="2">
        <f t="shared" si="26"/>
        <v>5628.7907767057704</v>
      </c>
    </row>
    <row r="566" spans="1:18" s="1" customFormat="1" ht="11.5" x14ac:dyDescent="0.25">
      <c r="A566" s="1" t="s">
        <v>597</v>
      </c>
      <c r="B566" s="1" t="s">
        <v>28</v>
      </c>
      <c r="C566" s="1" t="s">
        <v>29</v>
      </c>
      <c r="D566" s="1" t="s">
        <v>16</v>
      </c>
      <c r="E566" s="1" t="s">
        <v>25</v>
      </c>
      <c r="F566" s="1" t="s">
        <v>22</v>
      </c>
      <c r="G566" s="1">
        <v>18713</v>
      </c>
      <c r="H566" s="1">
        <v>3736</v>
      </c>
      <c r="I566" s="1">
        <v>453</v>
      </c>
      <c r="J566" s="1">
        <v>360</v>
      </c>
      <c r="K566" s="1">
        <v>0</v>
      </c>
      <c r="L566" s="1" t="s">
        <v>19</v>
      </c>
      <c r="M566" s="1">
        <f>Table1[[#This Row],[ApplicantIncome]]+Table1[[#This Row],[CoapplicantIncome]]</f>
        <v>22449</v>
      </c>
      <c r="N566" s="1" t="s">
        <v>20</v>
      </c>
      <c r="O566" s="1" t="str">
        <f>IF(Table1[[#This Row],[Total_Income]]&lt;3000,"Low",IF(Table1[[#This Row],[Total_Income]]&lt;7000,"Medium","High"))</f>
        <v>High</v>
      </c>
      <c r="P566" s="1" t="str">
        <f t="shared" si="24"/>
        <v>Approved</v>
      </c>
      <c r="Q566" s="1" t="str">
        <f t="shared" si="25"/>
        <v>High Risk</v>
      </c>
      <c r="R566" s="2">
        <f t="shared" si="26"/>
        <v>3323.9535196735742</v>
      </c>
    </row>
    <row r="567" spans="1:18" s="1" customFormat="1" ht="11.5" x14ac:dyDescent="0.25">
      <c r="A567" s="1" t="s">
        <v>598</v>
      </c>
      <c r="B567" s="1" t="s">
        <v>52</v>
      </c>
      <c r="C567" s="1" t="s">
        <v>22</v>
      </c>
      <c r="D567" s="1">
        <v>0</v>
      </c>
      <c r="E567" s="1" t="s">
        <v>25</v>
      </c>
      <c r="F567" s="1" t="s">
        <v>22</v>
      </c>
      <c r="G567" s="1">
        <v>10388</v>
      </c>
      <c r="H567" s="1">
        <v>479</v>
      </c>
      <c r="I567" s="1">
        <v>646</v>
      </c>
      <c r="J567" s="1">
        <v>180</v>
      </c>
      <c r="K567" s="1">
        <v>0</v>
      </c>
      <c r="L567" s="1" t="s">
        <v>19</v>
      </c>
      <c r="M567" s="1">
        <f>Table1[[#This Row],[ApplicantIncome]]+Table1[[#This Row],[CoapplicantIncome]]</f>
        <v>10867</v>
      </c>
      <c r="N567" s="1" t="s">
        <v>26</v>
      </c>
      <c r="O567" s="1" t="str">
        <f>IF(Table1[[#This Row],[Total_Income]]&lt;3000,"Low",IF(Table1[[#This Row],[Total_Income]]&lt;7000,"Medium","High"))</f>
        <v>High</v>
      </c>
      <c r="P567" s="1" t="str">
        <f t="shared" si="24"/>
        <v>Rejected</v>
      </c>
      <c r="Q567" s="1" t="str">
        <f t="shared" si="25"/>
        <v>High Risk</v>
      </c>
      <c r="R567" s="2">
        <f t="shared" si="26"/>
        <v>6173.5124647740704</v>
      </c>
    </row>
    <row r="568" spans="1:18" s="1" customFormat="1" ht="11.5" x14ac:dyDescent="0.25">
      <c r="A568" s="1" t="s">
        <v>599</v>
      </c>
      <c r="B568" s="1" t="s">
        <v>52</v>
      </c>
      <c r="C568" s="1" t="s">
        <v>29</v>
      </c>
      <c r="D568" s="1">
        <v>0</v>
      </c>
      <c r="E568" s="1" t="s">
        <v>17</v>
      </c>
      <c r="F568" s="1" t="s">
        <v>29</v>
      </c>
      <c r="G568" s="1">
        <v>12941</v>
      </c>
      <c r="H568" s="1">
        <v>3972</v>
      </c>
      <c r="I568" s="1">
        <v>402</v>
      </c>
      <c r="J568" s="1">
        <v>360</v>
      </c>
      <c r="K568" s="1">
        <v>0</v>
      </c>
      <c r="L568" s="1" t="s">
        <v>30</v>
      </c>
      <c r="M568" s="1">
        <f>Table1[[#This Row],[ApplicantIncome]]+Table1[[#This Row],[CoapplicantIncome]]</f>
        <v>16913</v>
      </c>
      <c r="N568" s="1" t="s">
        <v>20</v>
      </c>
      <c r="O568" s="1" t="str">
        <f>IF(Table1[[#This Row],[Total_Income]]&lt;3000,"Low",IF(Table1[[#This Row],[Total_Income]]&lt;7000,"Medium","High"))</f>
        <v>High</v>
      </c>
      <c r="P568" s="1" t="str">
        <f t="shared" si="24"/>
        <v>Approved</v>
      </c>
      <c r="Q568" s="1" t="str">
        <f t="shared" si="25"/>
        <v>High Risk</v>
      </c>
      <c r="R568" s="2">
        <f t="shared" si="26"/>
        <v>2949.7335869950925</v>
      </c>
    </row>
    <row r="569" spans="1:18" s="1" customFormat="1" ht="11.5" x14ac:dyDescent="0.25">
      <c r="A569" s="1" t="s">
        <v>600</v>
      </c>
      <c r="B569" s="1" t="s">
        <v>52</v>
      </c>
      <c r="C569" s="1" t="s">
        <v>22</v>
      </c>
      <c r="D569" s="1">
        <v>2</v>
      </c>
      <c r="E569" s="1" t="s">
        <v>17</v>
      </c>
      <c r="F569" s="1" t="s">
        <v>22</v>
      </c>
      <c r="G569" s="1">
        <v>5601</v>
      </c>
      <c r="H569" s="1">
        <v>3619</v>
      </c>
      <c r="I569" s="1">
        <v>512</v>
      </c>
      <c r="J569" s="1">
        <v>360</v>
      </c>
      <c r="K569" s="1">
        <v>0</v>
      </c>
      <c r="L569" s="1" t="s">
        <v>19</v>
      </c>
      <c r="M569" s="1">
        <f>Table1[[#This Row],[ApplicantIncome]]+Table1[[#This Row],[CoapplicantIncome]]</f>
        <v>9220</v>
      </c>
      <c r="N569" s="1" t="s">
        <v>26</v>
      </c>
      <c r="O569" s="1" t="str">
        <f>IF(Table1[[#This Row],[Total_Income]]&lt;3000,"Low",IF(Table1[[#This Row],[Total_Income]]&lt;7000,"Medium","High"))</f>
        <v>High</v>
      </c>
      <c r="P569" s="1" t="str">
        <f t="shared" si="24"/>
        <v>Rejected</v>
      </c>
      <c r="Q569" s="1" t="str">
        <f t="shared" si="25"/>
        <v>High Risk</v>
      </c>
      <c r="R569" s="2">
        <f t="shared" si="26"/>
        <v>3756.8746182624059</v>
      </c>
    </row>
    <row r="570" spans="1:18" s="1" customFormat="1" ht="11.5" x14ac:dyDescent="0.25">
      <c r="A570" s="1" t="s">
        <v>601</v>
      </c>
      <c r="B570" s="1" t="s">
        <v>28</v>
      </c>
      <c r="C570" s="1" t="s">
        <v>29</v>
      </c>
      <c r="D570" s="1" t="s">
        <v>16</v>
      </c>
      <c r="E570" s="1" t="s">
        <v>25</v>
      </c>
      <c r="F570" s="1" t="s">
        <v>29</v>
      </c>
      <c r="G570" s="1">
        <v>13420</v>
      </c>
      <c r="H570" s="1">
        <v>6083</v>
      </c>
      <c r="I570" s="1">
        <v>59</v>
      </c>
      <c r="J570" s="1">
        <v>180</v>
      </c>
      <c r="K570" s="1">
        <v>1</v>
      </c>
      <c r="L570" s="1" t="s">
        <v>30</v>
      </c>
      <c r="M570" s="1">
        <f>Table1[[#This Row],[ApplicantIncome]]+Table1[[#This Row],[CoapplicantIncome]]</f>
        <v>19503</v>
      </c>
      <c r="N570" s="1" t="s">
        <v>26</v>
      </c>
      <c r="O570" s="1" t="str">
        <f>IF(Table1[[#This Row],[Total_Income]]&lt;3000,"Low",IF(Table1[[#This Row],[Total_Income]]&lt;7000,"Medium","High"))</f>
        <v>High</v>
      </c>
      <c r="P570" s="1" t="str">
        <f t="shared" si="24"/>
        <v>Rejected</v>
      </c>
      <c r="Q570" s="1" t="str">
        <f t="shared" si="25"/>
        <v>Low Risk</v>
      </c>
      <c r="R570" s="2">
        <f t="shared" si="26"/>
        <v>563.83472975490736</v>
      </c>
    </row>
    <row r="571" spans="1:18" s="1" customFormat="1" ht="11.5" x14ac:dyDescent="0.25">
      <c r="A571" s="1" t="s">
        <v>602</v>
      </c>
      <c r="B571" s="1" t="s">
        <v>52</v>
      </c>
      <c r="C571" s="1" t="s">
        <v>22</v>
      </c>
      <c r="D571" s="1">
        <v>2</v>
      </c>
      <c r="E571" s="1" t="s">
        <v>17</v>
      </c>
      <c r="F571" s="1" t="s">
        <v>29</v>
      </c>
      <c r="G571" s="1">
        <v>18019</v>
      </c>
      <c r="H571" s="1">
        <v>815</v>
      </c>
      <c r="I571" s="1">
        <v>257</v>
      </c>
      <c r="J571" s="1">
        <v>180</v>
      </c>
      <c r="K571" s="1">
        <v>1</v>
      </c>
      <c r="L571" s="1" t="s">
        <v>19</v>
      </c>
      <c r="M571" s="1">
        <f>Table1[[#This Row],[ApplicantIncome]]+Table1[[#This Row],[CoapplicantIncome]]</f>
        <v>18834</v>
      </c>
      <c r="N571" s="1" t="s">
        <v>26</v>
      </c>
      <c r="O571" s="1" t="str">
        <f>IF(Table1[[#This Row],[Total_Income]]&lt;3000,"Low",IF(Table1[[#This Row],[Total_Income]]&lt;7000,"Medium","High"))</f>
        <v>High</v>
      </c>
      <c r="P571" s="1" t="str">
        <f t="shared" si="24"/>
        <v>Rejected</v>
      </c>
      <c r="Q571" s="1" t="str">
        <f t="shared" si="25"/>
        <v>Low Risk</v>
      </c>
      <c r="R571" s="2">
        <f t="shared" si="26"/>
        <v>2456.0258567290034</v>
      </c>
    </row>
    <row r="572" spans="1:18" s="1" customFormat="1" ht="11.5" x14ac:dyDescent="0.25">
      <c r="A572" s="1" t="s">
        <v>603</v>
      </c>
      <c r="B572" s="1" t="s">
        <v>1238</v>
      </c>
      <c r="C572" s="1" t="s">
        <v>22</v>
      </c>
      <c r="D572" s="1">
        <v>1</v>
      </c>
      <c r="E572" s="1" t="s">
        <v>25</v>
      </c>
      <c r="F572" s="1" t="s">
        <v>22</v>
      </c>
      <c r="G572" s="1">
        <v>7954</v>
      </c>
      <c r="H572" s="1">
        <v>348</v>
      </c>
      <c r="I572" s="1">
        <v>215</v>
      </c>
      <c r="J572" s="1">
        <v>180</v>
      </c>
      <c r="K572" s="1">
        <v>0</v>
      </c>
      <c r="L572" s="1" t="s">
        <v>19</v>
      </c>
      <c r="M572" s="1">
        <f>Table1[[#This Row],[ApplicantIncome]]+Table1[[#This Row],[CoapplicantIncome]]</f>
        <v>8302</v>
      </c>
      <c r="N572" s="1" t="s">
        <v>20</v>
      </c>
      <c r="O572" s="1" t="str">
        <f>IF(Table1[[#This Row],[Total_Income]]&lt;3000,"Low",IF(Table1[[#This Row],[Total_Income]]&lt;7000,"Medium","High"))</f>
        <v>High</v>
      </c>
      <c r="P572" s="1" t="str">
        <f t="shared" si="24"/>
        <v>Approved</v>
      </c>
      <c r="Q572" s="1" t="str">
        <f t="shared" si="25"/>
        <v>High Risk</v>
      </c>
      <c r="R572" s="2">
        <f t="shared" si="26"/>
        <v>2054.6519813102555</v>
      </c>
    </row>
    <row r="573" spans="1:18" s="1" customFormat="1" ht="11.5" x14ac:dyDescent="0.25">
      <c r="A573" s="1" t="s">
        <v>604</v>
      </c>
      <c r="B573" s="1" t="s">
        <v>1238</v>
      </c>
      <c r="C573" s="1" t="s">
        <v>22</v>
      </c>
      <c r="D573" s="1">
        <v>2</v>
      </c>
      <c r="E573" s="1" t="s">
        <v>25</v>
      </c>
      <c r="F573" s="1" t="s">
        <v>29</v>
      </c>
      <c r="G573" s="1">
        <v>15816</v>
      </c>
      <c r="H573" s="1">
        <v>1891</v>
      </c>
      <c r="I573" s="1">
        <v>147</v>
      </c>
      <c r="J573" s="1">
        <v>180</v>
      </c>
      <c r="K573" s="1">
        <v>1</v>
      </c>
      <c r="L573" s="1" t="s">
        <v>30</v>
      </c>
      <c r="M573" s="1">
        <f>Table1[[#This Row],[ApplicantIncome]]+Table1[[#This Row],[CoapplicantIncome]]</f>
        <v>17707</v>
      </c>
      <c r="N573" s="1" t="s">
        <v>20</v>
      </c>
      <c r="O573" s="1" t="str">
        <f>IF(Table1[[#This Row],[Total_Income]]&lt;3000,"Low",IF(Table1[[#This Row],[Total_Income]]&lt;7000,"Medium","High"))</f>
        <v>High</v>
      </c>
      <c r="P573" s="1" t="str">
        <f t="shared" si="24"/>
        <v>Approved</v>
      </c>
      <c r="Q573" s="1" t="str">
        <f t="shared" si="25"/>
        <v>Low Risk</v>
      </c>
      <c r="R573" s="2">
        <f t="shared" si="26"/>
        <v>1404.8085639656167</v>
      </c>
    </row>
    <row r="574" spans="1:18" s="1" customFormat="1" ht="11.5" x14ac:dyDescent="0.25">
      <c r="A574" s="1" t="s">
        <v>605</v>
      </c>
      <c r="B574" s="1" t="s">
        <v>28</v>
      </c>
      <c r="C574" s="1" t="s">
        <v>22</v>
      </c>
      <c r="D574" s="1" t="s">
        <v>16</v>
      </c>
      <c r="E574" s="1" t="s">
        <v>17</v>
      </c>
      <c r="F574" s="1" t="s">
        <v>22</v>
      </c>
      <c r="G574" s="1">
        <v>12976</v>
      </c>
      <c r="H574" s="1">
        <v>6483</v>
      </c>
      <c r="I574" s="1">
        <v>172</v>
      </c>
      <c r="J574" s="1">
        <v>360</v>
      </c>
      <c r="K574" s="1">
        <v>1</v>
      </c>
      <c r="L574" s="1" t="s">
        <v>41</v>
      </c>
      <c r="M574" s="1">
        <f>Table1[[#This Row],[ApplicantIncome]]+Table1[[#This Row],[CoapplicantIncome]]</f>
        <v>19459</v>
      </c>
      <c r="N574" s="1" t="s">
        <v>26</v>
      </c>
      <c r="O574" s="1" t="str">
        <f>IF(Table1[[#This Row],[Total_Income]]&lt;3000,"Low",IF(Table1[[#This Row],[Total_Income]]&lt;7000,"Medium","High"))</f>
        <v>High</v>
      </c>
      <c r="P574" s="1" t="str">
        <f t="shared" si="24"/>
        <v>Rejected</v>
      </c>
      <c r="Q574" s="1" t="str">
        <f t="shared" si="25"/>
        <v>Low Risk</v>
      </c>
      <c r="R574" s="2">
        <f t="shared" si="26"/>
        <v>1262.0750670725272</v>
      </c>
    </row>
    <row r="575" spans="1:18" s="1" customFormat="1" ht="11.5" x14ac:dyDescent="0.25">
      <c r="A575" s="1" t="s">
        <v>606</v>
      </c>
      <c r="B575" s="1" t="s">
        <v>1238</v>
      </c>
      <c r="C575" s="1" t="s">
        <v>29</v>
      </c>
      <c r="D575" s="1">
        <v>1</v>
      </c>
      <c r="E575" s="1" t="s">
        <v>25</v>
      </c>
      <c r="F575" s="1" t="s">
        <v>22</v>
      </c>
      <c r="G575" s="1">
        <v>17813</v>
      </c>
      <c r="H575" s="1">
        <v>6184</v>
      </c>
      <c r="I575" s="1">
        <v>88</v>
      </c>
      <c r="J575" s="1">
        <v>120</v>
      </c>
      <c r="K575" s="1">
        <v>0</v>
      </c>
      <c r="L575" s="1" t="s">
        <v>41</v>
      </c>
      <c r="M575" s="1">
        <f>Table1[[#This Row],[ApplicantIncome]]+Table1[[#This Row],[CoapplicantIncome]]</f>
        <v>23997</v>
      </c>
      <c r="N575" s="1" t="s">
        <v>20</v>
      </c>
      <c r="O575" s="1" t="str">
        <f>IF(Table1[[#This Row],[Total_Income]]&lt;3000,"Low",IF(Table1[[#This Row],[Total_Income]]&lt;7000,"Medium","High"))</f>
        <v>High</v>
      </c>
      <c r="P575" s="1" t="str">
        <f t="shared" si="24"/>
        <v>Approved</v>
      </c>
      <c r="Q575" s="1" t="str">
        <f t="shared" si="25"/>
        <v>High Risk</v>
      </c>
      <c r="R575" s="2">
        <f t="shared" si="26"/>
        <v>1067.6828303271409</v>
      </c>
    </row>
    <row r="576" spans="1:18" s="1" customFormat="1" ht="11.5" x14ac:dyDescent="0.25">
      <c r="A576" s="1" t="s">
        <v>607</v>
      </c>
      <c r="B576" s="1" t="s">
        <v>1238</v>
      </c>
      <c r="C576" s="1" t="s">
        <v>29</v>
      </c>
      <c r="D576" s="1">
        <v>2</v>
      </c>
      <c r="E576" s="1" t="s">
        <v>25</v>
      </c>
      <c r="F576" s="1" t="s">
        <v>22</v>
      </c>
      <c r="G576" s="1">
        <v>19484</v>
      </c>
      <c r="H576" s="1">
        <v>7532</v>
      </c>
      <c r="I576" s="1">
        <v>468</v>
      </c>
      <c r="J576" s="1">
        <v>120</v>
      </c>
      <c r="K576" s="1">
        <v>0</v>
      </c>
      <c r="L576" s="1" t="s">
        <v>19</v>
      </c>
      <c r="M576" s="1">
        <f>Table1[[#This Row],[ApplicantIncome]]+Table1[[#This Row],[CoapplicantIncome]]</f>
        <v>27016</v>
      </c>
      <c r="N576" s="1" t="s">
        <v>20</v>
      </c>
      <c r="O576" s="1" t="str">
        <f>IF(Table1[[#This Row],[Total_Income]]&lt;3000,"Low",IF(Table1[[#This Row],[Total_Income]]&lt;7000,"Medium","High"))</f>
        <v>High</v>
      </c>
      <c r="P576" s="1" t="str">
        <f t="shared" si="24"/>
        <v>Approved</v>
      </c>
      <c r="Q576" s="1" t="str">
        <f t="shared" si="25"/>
        <v>High Risk</v>
      </c>
      <c r="R576" s="2">
        <f t="shared" si="26"/>
        <v>5678.1314158307041</v>
      </c>
    </row>
    <row r="577" spans="1:18" s="1" customFormat="1" ht="11.5" x14ac:dyDescent="0.25">
      <c r="A577" s="1" t="s">
        <v>608</v>
      </c>
      <c r="B577" s="1" t="s">
        <v>28</v>
      </c>
      <c r="C577" s="1" t="s">
        <v>29</v>
      </c>
      <c r="D577" s="1">
        <v>0</v>
      </c>
      <c r="E577" s="1" t="s">
        <v>17</v>
      </c>
      <c r="F577" s="1" t="s">
        <v>22</v>
      </c>
      <c r="G577" s="1">
        <v>12275</v>
      </c>
      <c r="H577" s="1">
        <v>5874</v>
      </c>
      <c r="I577" s="1">
        <v>257</v>
      </c>
      <c r="J577" s="1">
        <v>180</v>
      </c>
      <c r="K577" s="1">
        <v>1</v>
      </c>
      <c r="L577" s="1" t="s">
        <v>41</v>
      </c>
      <c r="M577" s="1">
        <f>Table1[[#This Row],[ApplicantIncome]]+Table1[[#This Row],[CoapplicantIncome]]</f>
        <v>18149</v>
      </c>
      <c r="N577" s="1" t="s">
        <v>26</v>
      </c>
      <c r="O577" s="1" t="str">
        <f>IF(Table1[[#This Row],[Total_Income]]&lt;3000,"Low",IF(Table1[[#This Row],[Total_Income]]&lt;7000,"Medium","High"))</f>
        <v>High</v>
      </c>
      <c r="P577" s="1" t="str">
        <f t="shared" si="24"/>
        <v>Rejected</v>
      </c>
      <c r="Q577" s="1" t="str">
        <f t="shared" si="25"/>
        <v>Low Risk</v>
      </c>
      <c r="R577" s="2">
        <f t="shared" si="26"/>
        <v>2456.0258567290034</v>
      </c>
    </row>
    <row r="578" spans="1:18" s="1" customFormat="1" ht="11.5" x14ac:dyDescent="0.25">
      <c r="A578" s="1" t="s">
        <v>609</v>
      </c>
      <c r="B578" s="1" t="s">
        <v>52</v>
      </c>
      <c r="C578" s="1" t="s">
        <v>29</v>
      </c>
      <c r="D578" s="1">
        <v>2</v>
      </c>
      <c r="E578" s="1" t="s">
        <v>25</v>
      </c>
      <c r="F578" s="1" t="s">
        <v>22</v>
      </c>
      <c r="G578" s="1">
        <v>7597</v>
      </c>
      <c r="H578" s="1">
        <v>8775</v>
      </c>
      <c r="I578" s="1">
        <v>95</v>
      </c>
      <c r="J578" s="1">
        <v>360</v>
      </c>
      <c r="K578" s="1">
        <v>1</v>
      </c>
      <c r="L578" s="1" t="s">
        <v>41</v>
      </c>
      <c r="M578" s="1">
        <f>Table1[[#This Row],[ApplicantIncome]]+Table1[[#This Row],[CoapplicantIncome]]</f>
        <v>16372</v>
      </c>
      <c r="N578" s="1" t="s">
        <v>26</v>
      </c>
      <c r="O578" s="1" t="str">
        <f>IF(Table1[[#This Row],[Total_Income]]&lt;3000,"Low",IF(Table1[[#This Row],[Total_Income]]&lt;7000,"Medium","High"))</f>
        <v>High</v>
      </c>
      <c r="P578" s="1" t="str">
        <f t="shared" ref="P578:P641" si="27">IF(N578="Y","Approved","Rejected")</f>
        <v>Rejected</v>
      </c>
      <c r="Q578" s="1" t="str">
        <f t="shared" ref="Q578:Q641" si="28">IF(K578=1,"Low Risk","High Risk")</f>
        <v>Low Risk</v>
      </c>
      <c r="R578" s="2">
        <f t="shared" ref="R578:R641" si="29">-PMT(8%/12,J578,I578*1000)</f>
        <v>697.07634518540738</v>
      </c>
    </row>
    <row r="579" spans="1:18" s="1" customFormat="1" ht="11.5" x14ac:dyDescent="0.25">
      <c r="A579" s="1" t="s">
        <v>610</v>
      </c>
      <c r="B579" s="1" t="s">
        <v>52</v>
      </c>
      <c r="C579" s="1" t="s">
        <v>22</v>
      </c>
      <c r="D579" s="1">
        <v>2</v>
      </c>
      <c r="E579" s="1" t="s">
        <v>17</v>
      </c>
      <c r="F579" s="1" t="s">
        <v>22</v>
      </c>
      <c r="G579" s="1">
        <v>10147</v>
      </c>
      <c r="H579" s="1">
        <v>5856</v>
      </c>
      <c r="I579" s="1">
        <v>246</v>
      </c>
      <c r="J579" s="1">
        <v>360</v>
      </c>
      <c r="K579" s="1">
        <v>1</v>
      </c>
      <c r="L579" s="1" t="s">
        <v>41</v>
      </c>
      <c r="M579" s="1">
        <f>Table1[[#This Row],[ApplicantIncome]]+Table1[[#This Row],[CoapplicantIncome]]</f>
        <v>16003</v>
      </c>
      <c r="N579" s="1" t="s">
        <v>26</v>
      </c>
      <c r="O579" s="1" t="str">
        <f>IF(Table1[[#This Row],[Total_Income]]&lt;3000,"Low",IF(Table1[[#This Row],[Total_Income]]&lt;7000,"Medium","High"))</f>
        <v>High</v>
      </c>
      <c r="P579" s="1" t="str">
        <f t="shared" si="27"/>
        <v>Rejected</v>
      </c>
      <c r="Q579" s="1" t="str">
        <f t="shared" si="28"/>
        <v>Low Risk</v>
      </c>
      <c r="R579" s="2">
        <f t="shared" si="29"/>
        <v>1805.0608517432656</v>
      </c>
    </row>
    <row r="580" spans="1:18" s="1" customFormat="1" ht="11.5" x14ac:dyDescent="0.25">
      <c r="A580" s="1" t="s">
        <v>611</v>
      </c>
      <c r="B580" s="1" t="s">
        <v>1238</v>
      </c>
      <c r="C580" s="1" t="s">
        <v>29</v>
      </c>
      <c r="D580" s="1">
        <v>0</v>
      </c>
      <c r="E580" s="1" t="s">
        <v>25</v>
      </c>
      <c r="F580" s="1" t="s">
        <v>22</v>
      </c>
      <c r="G580" s="1">
        <v>10144</v>
      </c>
      <c r="H580" s="1">
        <v>6398</v>
      </c>
      <c r="I580" s="1">
        <v>654</v>
      </c>
      <c r="J580" s="1">
        <v>120</v>
      </c>
      <c r="K580" s="1">
        <v>1</v>
      </c>
      <c r="L580" s="1" t="s">
        <v>41</v>
      </c>
      <c r="M580" s="1">
        <f>Table1[[#This Row],[ApplicantIncome]]+Table1[[#This Row],[CoapplicantIncome]]</f>
        <v>16542</v>
      </c>
      <c r="N580" s="1" t="s">
        <v>26</v>
      </c>
      <c r="O580" s="1" t="str">
        <f>IF(Table1[[#This Row],[Total_Income]]&lt;3000,"Low",IF(Table1[[#This Row],[Total_Income]]&lt;7000,"Medium","High"))</f>
        <v>High</v>
      </c>
      <c r="P580" s="1" t="str">
        <f t="shared" si="27"/>
        <v>Rejected</v>
      </c>
      <c r="Q580" s="1" t="str">
        <f t="shared" si="28"/>
        <v>Low Risk</v>
      </c>
      <c r="R580" s="2">
        <f t="shared" si="29"/>
        <v>7934.8246708403422</v>
      </c>
    </row>
    <row r="581" spans="1:18" s="1" customFormat="1" ht="11.5" x14ac:dyDescent="0.25">
      <c r="A581" s="1" t="s">
        <v>612</v>
      </c>
      <c r="B581" s="1" t="s">
        <v>1238</v>
      </c>
      <c r="C581" s="1" t="s">
        <v>22</v>
      </c>
      <c r="D581" s="1" t="s">
        <v>16</v>
      </c>
      <c r="E581" s="1" t="s">
        <v>25</v>
      </c>
      <c r="F581" s="1" t="s">
        <v>22</v>
      </c>
      <c r="G581" s="1">
        <v>9179</v>
      </c>
      <c r="H581" s="1">
        <v>9030</v>
      </c>
      <c r="I581" s="1">
        <v>465</v>
      </c>
      <c r="J581" s="1">
        <v>360</v>
      </c>
      <c r="K581" s="1">
        <v>0</v>
      </c>
      <c r="L581" s="1" t="s">
        <v>30</v>
      </c>
      <c r="M581" s="1">
        <f>Table1[[#This Row],[ApplicantIncome]]+Table1[[#This Row],[CoapplicantIncome]]</f>
        <v>18209</v>
      </c>
      <c r="N581" s="1" t="s">
        <v>20</v>
      </c>
      <c r="O581" s="1" t="str">
        <f>IF(Table1[[#This Row],[Total_Income]]&lt;3000,"Low",IF(Table1[[#This Row],[Total_Income]]&lt;7000,"Medium","High"))</f>
        <v>High</v>
      </c>
      <c r="P581" s="1" t="str">
        <f t="shared" si="27"/>
        <v>Approved</v>
      </c>
      <c r="Q581" s="1" t="str">
        <f t="shared" si="28"/>
        <v>High Risk</v>
      </c>
      <c r="R581" s="2">
        <f t="shared" si="29"/>
        <v>3412.0052685390992</v>
      </c>
    </row>
    <row r="582" spans="1:18" s="1" customFormat="1" ht="11.5" x14ac:dyDescent="0.25">
      <c r="A582" s="1" t="s">
        <v>613</v>
      </c>
      <c r="B582" s="1" t="s">
        <v>28</v>
      </c>
      <c r="C582" s="1" t="s">
        <v>29</v>
      </c>
      <c r="D582" s="1" t="s">
        <v>16</v>
      </c>
      <c r="E582" s="1" t="s">
        <v>17</v>
      </c>
      <c r="F582" s="1" t="s">
        <v>29</v>
      </c>
      <c r="G582" s="1">
        <v>7657</v>
      </c>
      <c r="H582" s="1">
        <v>1445</v>
      </c>
      <c r="I582" s="1">
        <v>108</v>
      </c>
      <c r="J582" s="1">
        <v>120</v>
      </c>
      <c r="K582" s="1">
        <v>0</v>
      </c>
      <c r="L582" s="1" t="s">
        <v>30</v>
      </c>
      <c r="M582" s="1">
        <f>Table1[[#This Row],[ApplicantIncome]]+Table1[[#This Row],[CoapplicantIncome]]</f>
        <v>9102</v>
      </c>
      <c r="N582" s="1" t="s">
        <v>20</v>
      </c>
      <c r="O582" s="1" t="str">
        <f>IF(Table1[[#This Row],[Total_Income]]&lt;3000,"Low",IF(Table1[[#This Row],[Total_Income]]&lt;7000,"Medium","High"))</f>
        <v>High</v>
      </c>
      <c r="P582" s="1" t="str">
        <f t="shared" si="27"/>
        <v>Approved</v>
      </c>
      <c r="Q582" s="1" t="str">
        <f t="shared" si="28"/>
        <v>High Risk</v>
      </c>
      <c r="R582" s="2">
        <f t="shared" si="29"/>
        <v>1310.3380190378548</v>
      </c>
    </row>
    <row r="583" spans="1:18" s="1" customFormat="1" ht="11.5" x14ac:dyDescent="0.25">
      <c r="A583" s="1" t="s">
        <v>614</v>
      </c>
      <c r="B583" s="1" t="s">
        <v>28</v>
      </c>
      <c r="C583" s="1" t="s">
        <v>29</v>
      </c>
      <c r="D583" s="1">
        <v>0</v>
      </c>
      <c r="E583" s="1" t="s">
        <v>17</v>
      </c>
      <c r="F583" s="1" t="s">
        <v>22</v>
      </c>
      <c r="G583" s="1">
        <v>14052</v>
      </c>
      <c r="H583" s="1">
        <v>6872</v>
      </c>
      <c r="I583" s="1">
        <v>174</v>
      </c>
      <c r="J583" s="1">
        <v>120</v>
      </c>
      <c r="K583" s="1">
        <v>0</v>
      </c>
      <c r="L583" s="1" t="s">
        <v>19</v>
      </c>
      <c r="M583" s="1">
        <f>Table1[[#This Row],[ApplicantIncome]]+Table1[[#This Row],[CoapplicantIncome]]</f>
        <v>20924</v>
      </c>
      <c r="N583" s="1" t="s">
        <v>20</v>
      </c>
      <c r="O583" s="1" t="str">
        <f>IF(Table1[[#This Row],[Total_Income]]&lt;3000,"Low",IF(Table1[[#This Row],[Total_Income]]&lt;7000,"Medium","High"))</f>
        <v>High</v>
      </c>
      <c r="P583" s="1" t="str">
        <f t="shared" si="27"/>
        <v>Approved</v>
      </c>
      <c r="Q583" s="1" t="str">
        <f t="shared" si="28"/>
        <v>High Risk</v>
      </c>
      <c r="R583" s="2">
        <f t="shared" si="29"/>
        <v>2111.1001417832103</v>
      </c>
    </row>
    <row r="584" spans="1:18" s="1" customFormat="1" ht="11.5" x14ac:dyDescent="0.25">
      <c r="A584" s="1" t="s">
        <v>615</v>
      </c>
      <c r="B584" s="1" t="s">
        <v>1238</v>
      </c>
      <c r="C584" s="1" t="s">
        <v>22</v>
      </c>
      <c r="D584" s="1">
        <v>2</v>
      </c>
      <c r="E584" s="1" t="s">
        <v>25</v>
      </c>
      <c r="F584" s="1" t="s">
        <v>22</v>
      </c>
      <c r="G584" s="1">
        <v>9675</v>
      </c>
      <c r="H584" s="1">
        <v>5588</v>
      </c>
      <c r="I584" s="1">
        <v>66</v>
      </c>
      <c r="J584" s="1">
        <v>360</v>
      </c>
      <c r="K584" s="1">
        <v>1</v>
      </c>
      <c r="L584" s="1" t="s">
        <v>30</v>
      </c>
      <c r="M584" s="1">
        <f>Table1[[#This Row],[ApplicantIncome]]+Table1[[#This Row],[CoapplicantIncome]]</f>
        <v>15263</v>
      </c>
      <c r="N584" s="1" t="s">
        <v>26</v>
      </c>
      <c r="O584" s="1" t="str">
        <f>IF(Table1[[#This Row],[Total_Income]]&lt;3000,"Low",IF(Table1[[#This Row],[Total_Income]]&lt;7000,"Medium","High"))</f>
        <v>High</v>
      </c>
      <c r="P584" s="1" t="str">
        <f t="shared" si="27"/>
        <v>Rejected</v>
      </c>
      <c r="Q584" s="1" t="str">
        <f t="shared" si="28"/>
        <v>Low Risk</v>
      </c>
      <c r="R584" s="2">
        <f t="shared" si="29"/>
        <v>484.28461876038835</v>
      </c>
    </row>
    <row r="585" spans="1:18" s="1" customFormat="1" ht="11.5" x14ac:dyDescent="0.25">
      <c r="A585" s="1" t="s">
        <v>616</v>
      </c>
      <c r="B585" s="1" t="s">
        <v>1238</v>
      </c>
      <c r="C585" s="1" t="s">
        <v>29</v>
      </c>
      <c r="D585" s="1">
        <v>2</v>
      </c>
      <c r="E585" s="1" t="s">
        <v>17</v>
      </c>
      <c r="F585" s="1" t="s">
        <v>22</v>
      </c>
      <c r="G585" s="1">
        <v>5046</v>
      </c>
      <c r="H585" s="1">
        <v>8945</v>
      </c>
      <c r="I585" s="1">
        <v>364</v>
      </c>
      <c r="J585" s="1">
        <v>360</v>
      </c>
      <c r="K585" s="1">
        <v>0</v>
      </c>
      <c r="L585" s="1" t="s">
        <v>19</v>
      </c>
      <c r="M585" s="1">
        <f>Table1[[#This Row],[ApplicantIncome]]+Table1[[#This Row],[CoapplicantIncome]]</f>
        <v>13991</v>
      </c>
      <c r="N585" s="1" t="s">
        <v>20</v>
      </c>
      <c r="O585" s="1" t="str">
        <f>IF(Table1[[#This Row],[Total_Income]]&lt;3000,"Low",IF(Table1[[#This Row],[Total_Income]]&lt;7000,"Medium","High"))</f>
        <v>High</v>
      </c>
      <c r="P585" s="1" t="str">
        <f t="shared" si="27"/>
        <v>Approved</v>
      </c>
      <c r="Q585" s="1" t="str">
        <f t="shared" si="28"/>
        <v>High Risk</v>
      </c>
      <c r="R585" s="2">
        <f t="shared" si="29"/>
        <v>2670.903048920929</v>
      </c>
    </row>
    <row r="586" spans="1:18" s="1" customFormat="1" ht="11.5" x14ac:dyDescent="0.25">
      <c r="A586" s="1" t="s">
        <v>617</v>
      </c>
      <c r="B586" s="1" t="s">
        <v>1238</v>
      </c>
      <c r="C586" s="1" t="s">
        <v>22</v>
      </c>
      <c r="D586" s="1" t="s">
        <v>16</v>
      </c>
      <c r="E586" s="1" t="s">
        <v>25</v>
      </c>
      <c r="F586" s="1" t="s">
        <v>22</v>
      </c>
      <c r="G586" s="1">
        <v>2592</v>
      </c>
      <c r="H586" s="1">
        <v>9265</v>
      </c>
      <c r="I586" s="1">
        <v>460</v>
      </c>
      <c r="J586" s="1">
        <v>360</v>
      </c>
      <c r="K586" s="1">
        <v>1</v>
      </c>
      <c r="L586" s="1" t="s">
        <v>30</v>
      </c>
      <c r="M586" s="1">
        <f>Table1[[#This Row],[ApplicantIncome]]+Table1[[#This Row],[CoapplicantIncome]]</f>
        <v>11857</v>
      </c>
      <c r="N586" s="1" t="s">
        <v>26</v>
      </c>
      <c r="O586" s="1" t="str">
        <f>IF(Table1[[#This Row],[Total_Income]]&lt;3000,"Low",IF(Table1[[#This Row],[Total_Income]]&lt;7000,"Medium","High"))</f>
        <v>High</v>
      </c>
      <c r="P586" s="1" t="str">
        <f t="shared" si="27"/>
        <v>Rejected</v>
      </c>
      <c r="Q586" s="1" t="str">
        <f t="shared" si="28"/>
        <v>Low Risk</v>
      </c>
      <c r="R586" s="2">
        <f t="shared" si="29"/>
        <v>3375.3170398451307</v>
      </c>
    </row>
    <row r="587" spans="1:18" s="1" customFormat="1" ht="11.5" x14ac:dyDescent="0.25">
      <c r="A587" s="1" t="s">
        <v>618</v>
      </c>
      <c r="B587" s="1" t="s">
        <v>28</v>
      </c>
      <c r="C587" s="1" t="s">
        <v>29</v>
      </c>
      <c r="D587" s="1">
        <v>2</v>
      </c>
      <c r="E587" s="1" t="s">
        <v>17</v>
      </c>
      <c r="F587" s="1" t="s">
        <v>29</v>
      </c>
      <c r="G587" s="1">
        <v>4817</v>
      </c>
      <c r="H587" s="1">
        <v>4489</v>
      </c>
      <c r="I587" s="1">
        <v>63</v>
      </c>
      <c r="J587" s="1">
        <v>360</v>
      </c>
      <c r="K587" s="1">
        <v>0</v>
      </c>
      <c r="L587" s="1" t="s">
        <v>41</v>
      </c>
      <c r="M587" s="1">
        <f>Table1[[#This Row],[ApplicantIncome]]+Table1[[#This Row],[CoapplicantIncome]]</f>
        <v>9306</v>
      </c>
      <c r="N587" s="1" t="s">
        <v>20</v>
      </c>
      <c r="O587" s="1" t="str">
        <f>IF(Table1[[#This Row],[Total_Income]]&lt;3000,"Low",IF(Table1[[#This Row],[Total_Income]]&lt;7000,"Medium","High"))</f>
        <v>High</v>
      </c>
      <c r="P587" s="1" t="str">
        <f t="shared" si="27"/>
        <v>Approved</v>
      </c>
      <c r="Q587" s="1" t="str">
        <f t="shared" si="28"/>
        <v>High Risk</v>
      </c>
      <c r="R587" s="2">
        <f t="shared" si="29"/>
        <v>462.27168154400698</v>
      </c>
    </row>
    <row r="588" spans="1:18" s="1" customFormat="1" ht="11.5" x14ac:dyDescent="0.25">
      <c r="A588" s="1" t="s">
        <v>619</v>
      </c>
      <c r="B588" s="1" t="s">
        <v>28</v>
      </c>
      <c r="C588" s="1" t="s">
        <v>29</v>
      </c>
      <c r="D588" s="1">
        <v>0</v>
      </c>
      <c r="E588" s="1" t="s">
        <v>17</v>
      </c>
      <c r="F588" s="1" t="s">
        <v>22</v>
      </c>
      <c r="G588" s="1">
        <v>2060</v>
      </c>
      <c r="H588" s="1">
        <v>9471</v>
      </c>
      <c r="I588" s="1">
        <v>152</v>
      </c>
      <c r="J588" s="1">
        <v>360</v>
      </c>
      <c r="K588" s="1">
        <v>0</v>
      </c>
      <c r="L588" s="1" t="s">
        <v>30</v>
      </c>
      <c r="M588" s="1">
        <f>Table1[[#This Row],[ApplicantIncome]]+Table1[[#This Row],[CoapplicantIncome]]</f>
        <v>11531</v>
      </c>
      <c r="N588" s="1" t="s">
        <v>20</v>
      </c>
      <c r="O588" s="1" t="str">
        <f>IF(Table1[[#This Row],[Total_Income]]&lt;3000,"Low",IF(Table1[[#This Row],[Total_Income]]&lt;7000,"Medium","High"))</f>
        <v>High</v>
      </c>
      <c r="P588" s="1" t="str">
        <f t="shared" si="27"/>
        <v>Approved</v>
      </c>
      <c r="Q588" s="1" t="str">
        <f t="shared" si="28"/>
        <v>High Risk</v>
      </c>
      <c r="R588" s="2">
        <f t="shared" si="29"/>
        <v>1115.3221522966519</v>
      </c>
    </row>
    <row r="589" spans="1:18" s="1" customFormat="1" ht="11.5" x14ac:dyDescent="0.25">
      <c r="A589" s="1" t="s">
        <v>620</v>
      </c>
      <c r="B589" s="1" t="s">
        <v>1238</v>
      </c>
      <c r="C589" s="1" t="s">
        <v>22</v>
      </c>
      <c r="D589" s="1">
        <v>1</v>
      </c>
      <c r="E589" s="1" t="s">
        <v>17</v>
      </c>
      <c r="F589" s="1" t="s">
        <v>29</v>
      </c>
      <c r="G589" s="1">
        <v>3990</v>
      </c>
      <c r="H589" s="1">
        <v>5166</v>
      </c>
      <c r="I589" s="1">
        <v>567</v>
      </c>
      <c r="J589" s="1">
        <v>360</v>
      </c>
      <c r="K589" s="1">
        <v>0</v>
      </c>
      <c r="L589" s="1" t="s">
        <v>19</v>
      </c>
      <c r="M589" s="1">
        <f>Table1[[#This Row],[ApplicantIncome]]+Table1[[#This Row],[CoapplicantIncome]]</f>
        <v>9156</v>
      </c>
      <c r="N589" s="1" t="s">
        <v>26</v>
      </c>
      <c r="O589" s="1" t="str">
        <f>IF(Table1[[#This Row],[Total_Income]]&lt;3000,"Low",IF(Table1[[#This Row],[Total_Income]]&lt;7000,"Medium","High"))</f>
        <v>High</v>
      </c>
      <c r="P589" s="1" t="str">
        <f t="shared" si="27"/>
        <v>Rejected</v>
      </c>
      <c r="Q589" s="1" t="str">
        <f t="shared" si="28"/>
        <v>High Risk</v>
      </c>
      <c r="R589" s="2">
        <f t="shared" si="29"/>
        <v>4160.4451338960625</v>
      </c>
    </row>
    <row r="590" spans="1:18" s="1" customFormat="1" ht="11.5" x14ac:dyDescent="0.25">
      <c r="A590" s="1" t="s">
        <v>621</v>
      </c>
      <c r="B590" s="1" t="s">
        <v>28</v>
      </c>
      <c r="C590" s="1" t="s">
        <v>29</v>
      </c>
      <c r="D590" s="1">
        <v>0</v>
      </c>
      <c r="E590" s="1" t="s">
        <v>17</v>
      </c>
      <c r="F590" s="1" t="s">
        <v>29</v>
      </c>
      <c r="G590" s="1">
        <v>11311</v>
      </c>
      <c r="H590" s="1">
        <v>4940</v>
      </c>
      <c r="I590" s="1">
        <v>204</v>
      </c>
      <c r="J590" s="1">
        <v>180</v>
      </c>
      <c r="K590" s="1">
        <v>0</v>
      </c>
      <c r="L590" s="1" t="s">
        <v>41</v>
      </c>
      <c r="M590" s="1">
        <f>Table1[[#This Row],[ApplicantIncome]]+Table1[[#This Row],[CoapplicantIncome]]</f>
        <v>16251</v>
      </c>
      <c r="N590" s="1" t="s">
        <v>20</v>
      </c>
      <c r="O590" s="1" t="str">
        <f>IF(Table1[[#This Row],[Total_Income]]&lt;3000,"Low",IF(Table1[[#This Row],[Total_Income]]&lt;7000,"Medium","High"))</f>
        <v>High</v>
      </c>
      <c r="P590" s="1" t="str">
        <f t="shared" si="27"/>
        <v>Approved</v>
      </c>
      <c r="Q590" s="1" t="str">
        <f t="shared" si="28"/>
        <v>High Risk</v>
      </c>
      <c r="R590" s="2">
        <f t="shared" si="29"/>
        <v>1949.5302520339169</v>
      </c>
    </row>
    <row r="591" spans="1:18" s="1" customFormat="1" ht="11.5" x14ac:dyDescent="0.25">
      <c r="A591" s="1" t="s">
        <v>622</v>
      </c>
      <c r="B591" s="1" t="s">
        <v>28</v>
      </c>
      <c r="C591" s="1" t="s">
        <v>22</v>
      </c>
      <c r="D591" s="1">
        <v>0</v>
      </c>
      <c r="E591" s="1" t="s">
        <v>25</v>
      </c>
      <c r="F591" s="1" t="s">
        <v>22</v>
      </c>
      <c r="G591" s="1">
        <v>12727</v>
      </c>
      <c r="H591" s="1">
        <v>2491</v>
      </c>
      <c r="I591" s="1">
        <v>331</v>
      </c>
      <c r="J591" s="1">
        <v>360</v>
      </c>
      <c r="K591" s="1">
        <v>0</v>
      </c>
      <c r="L591" s="1" t="s">
        <v>19</v>
      </c>
      <c r="M591" s="1">
        <f>Table1[[#This Row],[ApplicantIncome]]+Table1[[#This Row],[CoapplicantIncome]]</f>
        <v>15218</v>
      </c>
      <c r="N591" s="1" t="s">
        <v>20</v>
      </c>
      <c r="O591" s="1" t="str">
        <f>IF(Table1[[#This Row],[Total_Income]]&lt;3000,"Low",IF(Table1[[#This Row],[Total_Income]]&lt;7000,"Medium","High"))</f>
        <v>High</v>
      </c>
      <c r="P591" s="1" t="str">
        <f t="shared" si="27"/>
        <v>Approved</v>
      </c>
      <c r="Q591" s="1" t="str">
        <f t="shared" si="28"/>
        <v>High Risk</v>
      </c>
      <c r="R591" s="2">
        <f t="shared" si="29"/>
        <v>2428.7607395407354</v>
      </c>
    </row>
    <row r="592" spans="1:18" s="1" customFormat="1" ht="11.5" x14ac:dyDescent="0.25">
      <c r="A592" s="1" t="s">
        <v>623</v>
      </c>
      <c r="B592" s="1" t="s">
        <v>1238</v>
      </c>
      <c r="C592" s="1" t="s">
        <v>22</v>
      </c>
      <c r="D592" s="1">
        <v>0</v>
      </c>
      <c r="E592" s="1" t="s">
        <v>17</v>
      </c>
      <c r="F592" s="1" t="s">
        <v>22</v>
      </c>
      <c r="G592" s="1">
        <v>13333</v>
      </c>
      <c r="H592" s="1">
        <v>218</v>
      </c>
      <c r="I592" s="1">
        <v>190</v>
      </c>
      <c r="J592" s="1">
        <v>360</v>
      </c>
      <c r="K592" s="1">
        <v>1</v>
      </c>
      <c r="L592" s="1" t="s">
        <v>30</v>
      </c>
      <c r="M592" s="1">
        <f>Table1[[#This Row],[ApplicantIncome]]+Table1[[#This Row],[CoapplicantIncome]]</f>
        <v>13551</v>
      </c>
      <c r="N592" s="1" t="s">
        <v>20</v>
      </c>
      <c r="O592" s="1" t="str">
        <f>IF(Table1[[#This Row],[Total_Income]]&lt;3000,"Low",IF(Table1[[#This Row],[Total_Income]]&lt;7000,"Medium","High"))</f>
        <v>High</v>
      </c>
      <c r="P592" s="1" t="str">
        <f t="shared" si="27"/>
        <v>Approved</v>
      </c>
      <c r="Q592" s="1" t="str">
        <f t="shared" si="28"/>
        <v>Low Risk</v>
      </c>
      <c r="R592" s="2">
        <f t="shared" si="29"/>
        <v>1394.1526903708148</v>
      </c>
    </row>
    <row r="593" spans="1:18" s="1" customFormat="1" ht="11.5" x14ac:dyDescent="0.25">
      <c r="A593" s="1" t="s">
        <v>624</v>
      </c>
      <c r="B593" s="1" t="s">
        <v>52</v>
      </c>
      <c r="C593" s="1" t="s">
        <v>29</v>
      </c>
      <c r="D593" s="1" t="s">
        <v>16</v>
      </c>
      <c r="E593" s="1" t="s">
        <v>17</v>
      </c>
      <c r="F593" s="1" t="s">
        <v>22</v>
      </c>
      <c r="G593" s="1">
        <v>9301</v>
      </c>
      <c r="H593" s="1">
        <v>9079</v>
      </c>
      <c r="I593" s="1">
        <v>56</v>
      </c>
      <c r="J593" s="1">
        <v>180</v>
      </c>
      <c r="K593" s="1">
        <v>0</v>
      </c>
      <c r="L593" s="1" t="s">
        <v>41</v>
      </c>
      <c r="M593" s="1">
        <f>Table1[[#This Row],[ApplicantIncome]]+Table1[[#This Row],[CoapplicantIncome]]</f>
        <v>18380</v>
      </c>
      <c r="N593" s="1" t="s">
        <v>26</v>
      </c>
      <c r="O593" s="1" t="str">
        <f>IF(Table1[[#This Row],[Total_Income]]&lt;3000,"Low",IF(Table1[[#This Row],[Total_Income]]&lt;7000,"Medium","High"))</f>
        <v>High</v>
      </c>
      <c r="P593" s="1" t="str">
        <f t="shared" si="27"/>
        <v>Rejected</v>
      </c>
      <c r="Q593" s="1" t="str">
        <f t="shared" si="28"/>
        <v>High Risk</v>
      </c>
      <c r="R593" s="2">
        <f t="shared" si="29"/>
        <v>535.16516722499682</v>
      </c>
    </row>
    <row r="594" spans="1:18" s="1" customFormat="1" ht="11.5" x14ac:dyDescent="0.25">
      <c r="A594" s="1" t="s">
        <v>625</v>
      </c>
      <c r="B594" s="1" t="s">
        <v>52</v>
      </c>
      <c r="C594" s="1" t="s">
        <v>29</v>
      </c>
      <c r="D594" s="1">
        <v>2</v>
      </c>
      <c r="E594" s="1" t="s">
        <v>25</v>
      </c>
      <c r="F594" s="1" t="s">
        <v>29</v>
      </c>
      <c r="G594" s="1">
        <v>13170</v>
      </c>
      <c r="H594" s="1">
        <v>7550</v>
      </c>
      <c r="I594" s="1">
        <v>104</v>
      </c>
      <c r="J594" s="1">
        <v>180</v>
      </c>
      <c r="K594" s="1">
        <v>0</v>
      </c>
      <c r="L594" s="1" t="s">
        <v>30</v>
      </c>
      <c r="M594" s="1">
        <f>Table1[[#This Row],[ApplicantIncome]]+Table1[[#This Row],[CoapplicantIncome]]</f>
        <v>20720</v>
      </c>
      <c r="N594" s="1" t="s">
        <v>20</v>
      </c>
      <c r="O594" s="1" t="str">
        <f>IF(Table1[[#This Row],[Total_Income]]&lt;3000,"Low",IF(Table1[[#This Row],[Total_Income]]&lt;7000,"Medium","High"))</f>
        <v>High</v>
      </c>
      <c r="P594" s="1" t="str">
        <f t="shared" si="27"/>
        <v>Approved</v>
      </c>
      <c r="Q594" s="1" t="str">
        <f t="shared" si="28"/>
        <v>High Risk</v>
      </c>
      <c r="R594" s="2">
        <f t="shared" si="29"/>
        <v>993.8781677035654</v>
      </c>
    </row>
    <row r="595" spans="1:18" s="1" customFormat="1" ht="11.5" x14ac:dyDescent="0.25">
      <c r="A595" s="1" t="s">
        <v>626</v>
      </c>
      <c r="B595" s="1" t="s">
        <v>28</v>
      </c>
      <c r="C595" s="1" t="s">
        <v>22</v>
      </c>
      <c r="D595" s="1">
        <v>2</v>
      </c>
      <c r="E595" s="1" t="s">
        <v>25</v>
      </c>
      <c r="F595" s="1" t="s">
        <v>29</v>
      </c>
      <c r="G595" s="1">
        <v>16502</v>
      </c>
      <c r="H595" s="1">
        <v>8067</v>
      </c>
      <c r="I595" s="1">
        <v>606</v>
      </c>
      <c r="J595" s="1">
        <v>360</v>
      </c>
      <c r="K595" s="1">
        <v>1</v>
      </c>
      <c r="L595" s="1" t="s">
        <v>41</v>
      </c>
      <c r="M595" s="1">
        <f>Table1[[#This Row],[ApplicantIncome]]+Table1[[#This Row],[CoapplicantIncome]]</f>
        <v>24569</v>
      </c>
      <c r="N595" s="1" t="s">
        <v>20</v>
      </c>
      <c r="O595" s="1" t="str">
        <f>IF(Table1[[#This Row],[Total_Income]]&lt;3000,"Low",IF(Table1[[#This Row],[Total_Income]]&lt;7000,"Medium","High"))</f>
        <v>High</v>
      </c>
      <c r="P595" s="1" t="str">
        <f t="shared" si="27"/>
        <v>Approved</v>
      </c>
      <c r="Q595" s="1" t="str">
        <f t="shared" si="28"/>
        <v>Low Risk</v>
      </c>
      <c r="R595" s="2">
        <f t="shared" si="29"/>
        <v>4446.6133177090196</v>
      </c>
    </row>
    <row r="596" spans="1:18" s="1" customFormat="1" ht="11.5" x14ac:dyDescent="0.25">
      <c r="A596" s="1" t="s">
        <v>627</v>
      </c>
      <c r="B596" s="1" t="s">
        <v>28</v>
      </c>
      <c r="C596" s="1" t="s">
        <v>22</v>
      </c>
      <c r="D596" s="1">
        <v>2</v>
      </c>
      <c r="E596" s="1" t="s">
        <v>25</v>
      </c>
      <c r="F596" s="1" t="s">
        <v>22</v>
      </c>
      <c r="G596" s="1">
        <v>14105</v>
      </c>
      <c r="H596" s="1">
        <v>2022</v>
      </c>
      <c r="I596" s="1">
        <v>211</v>
      </c>
      <c r="J596" s="1">
        <v>360</v>
      </c>
      <c r="K596" s="1">
        <v>0</v>
      </c>
      <c r="L596" s="1" t="s">
        <v>41</v>
      </c>
      <c r="M596" s="1">
        <f>Table1[[#This Row],[ApplicantIncome]]+Table1[[#This Row],[CoapplicantIncome]]</f>
        <v>16127</v>
      </c>
      <c r="N596" s="1" t="s">
        <v>20</v>
      </c>
      <c r="O596" s="1" t="str">
        <f>IF(Table1[[#This Row],[Total_Income]]&lt;3000,"Low",IF(Table1[[#This Row],[Total_Income]]&lt;7000,"Medium","High"))</f>
        <v>High</v>
      </c>
      <c r="P596" s="1" t="str">
        <f t="shared" si="27"/>
        <v>Approved</v>
      </c>
      <c r="Q596" s="1" t="str">
        <f t="shared" si="28"/>
        <v>High Risk</v>
      </c>
      <c r="R596" s="2">
        <f t="shared" si="29"/>
        <v>1548.2432508854838</v>
      </c>
    </row>
    <row r="597" spans="1:18" s="1" customFormat="1" ht="11.5" x14ac:dyDescent="0.25">
      <c r="A597" s="1" t="s">
        <v>628</v>
      </c>
      <c r="B597" s="1" t="s">
        <v>28</v>
      </c>
      <c r="C597" s="1" t="s">
        <v>22</v>
      </c>
      <c r="D597" s="1">
        <v>0</v>
      </c>
      <c r="E597" s="1" t="s">
        <v>25</v>
      </c>
      <c r="F597" s="1" t="s">
        <v>22</v>
      </c>
      <c r="G597" s="1">
        <v>4863</v>
      </c>
      <c r="H597" s="1">
        <v>3715</v>
      </c>
      <c r="I597" s="1">
        <v>500</v>
      </c>
      <c r="J597" s="1">
        <v>360</v>
      </c>
      <c r="K597" s="1">
        <v>1</v>
      </c>
      <c r="L597" s="1" t="s">
        <v>19</v>
      </c>
      <c r="M597" s="1">
        <f>Table1[[#This Row],[ApplicantIncome]]+Table1[[#This Row],[CoapplicantIncome]]</f>
        <v>8578</v>
      </c>
      <c r="N597" s="1" t="s">
        <v>26</v>
      </c>
      <c r="O597" s="1" t="str">
        <f>IF(Table1[[#This Row],[Total_Income]]&lt;3000,"Low",IF(Table1[[#This Row],[Total_Income]]&lt;7000,"Medium","High"))</f>
        <v>High</v>
      </c>
      <c r="P597" s="1" t="str">
        <f t="shared" si="27"/>
        <v>Rejected</v>
      </c>
      <c r="Q597" s="1" t="str">
        <f t="shared" si="28"/>
        <v>Low Risk</v>
      </c>
      <c r="R597" s="2">
        <f t="shared" si="29"/>
        <v>3668.8228693968813</v>
      </c>
    </row>
    <row r="598" spans="1:18" s="1" customFormat="1" ht="11.5" x14ac:dyDescent="0.25">
      <c r="A598" s="1" t="s">
        <v>629</v>
      </c>
      <c r="B598" s="1" t="s">
        <v>52</v>
      </c>
      <c r="C598" s="1" t="s">
        <v>22</v>
      </c>
      <c r="D598" s="1">
        <v>2</v>
      </c>
      <c r="E598" s="1" t="s">
        <v>25</v>
      </c>
      <c r="F598" s="1" t="s">
        <v>22</v>
      </c>
      <c r="G598" s="1">
        <v>13606</v>
      </c>
      <c r="H598" s="1">
        <v>1422</v>
      </c>
      <c r="I598" s="1">
        <v>229</v>
      </c>
      <c r="J598" s="1">
        <v>180</v>
      </c>
      <c r="K598" s="1">
        <v>0</v>
      </c>
      <c r="L598" s="1" t="s">
        <v>41</v>
      </c>
      <c r="M598" s="1">
        <f>Table1[[#This Row],[ApplicantIncome]]+Table1[[#This Row],[CoapplicantIncome]]</f>
        <v>15028</v>
      </c>
      <c r="N598" s="1" t="s">
        <v>26</v>
      </c>
      <c r="O598" s="1" t="str">
        <f>IF(Table1[[#This Row],[Total_Income]]&lt;3000,"Low",IF(Table1[[#This Row],[Total_Income]]&lt;7000,"Medium","High"))</f>
        <v>High</v>
      </c>
      <c r="P598" s="1" t="str">
        <f t="shared" si="27"/>
        <v>Rejected</v>
      </c>
      <c r="Q598" s="1" t="str">
        <f t="shared" si="28"/>
        <v>High Risk</v>
      </c>
      <c r="R598" s="2">
        <f t="shared" si="29"/>
        <v>2188.4432731165048</v>
      </c>
    </row>
    <row r="599" spans="1:18" s="1" customFormat="1" ht="11.5" x14ac:dyDescent="0.25">
      <c r="A599" s="1" t="s">
        <v>630</v>
      </c>
      <c r="B599" s="1" t="s">
        <v>28</v>
      </c>
      <c r="C599" s="1" t="s">
        <v>29</v>
      </c>
      <c r="D599" s="1">
        <v>0</v>
      </c>
      <c r="E599" s="1" t="s">
        <v>17</v>
      </c>
      <c r="F599" s="1" t="s">
        <v>22</v>
      </c>
      <c r="G599" s="1">
        <v>2624</v>
      </c>
      <c r="H599" s="1">
        <v>5754</v>
      </c>
      <c r="I599" s="1">
        <v>628</v>
      </c>
      <c r="J599" s="1">
        <v>180</v>
      </c>
      <c r="K599" s="1">
        <v>0</v>
      </c>
      <c r="L599" s="1" t="s">
        <v>19</v>
      </c>
      <c r="M599" s="1">
        <f>Table1[[#This Row],[ApplicantIncome]]+Table1[[#This Row],[CoapplicantIncome]]</f>
        <v>8378</v>
      </c>
      <c r="N599" s="1" t="s">
        <v>20</v>
      </c>
      <c r="O599" s="1" t="str">
        <f>IF(Table1[[#This Row],[Total_Income]]&lt;3000,"Low",IF(Table1[[#This Row],[Total_Income]]&lt;7000,"Medium","High"))</f>
        <v>High</v>
      </c>
      <c r="P599" s="1" t="str">
        <f t="shared" si="27"/>
        <v>Approved</v>
      </c>
      <c r="Q599" s="1" t="str">
        <f t="shared" si="28"/>
        <v>High Risk</v>
      </c>
      <c r="R599" s="2">
        <f t="shared" si="29"/>
        <v>6001.4950895946076</v>
      </c>
    </row>
    <row r="600" spans="1:18" s="1" customFormat="1" ht="11.5" x14ac:dyDescent="0.25">
      <c r="A600" s="1" t="s">
        <v>631</v>
      </c>
      <c r="B600" s="1" t="s">
        <v>28</v>
      </c>
      <c r="C600" s="1" t="s">
        <v>29</v>
      </c>
      <c r="D600" s="1">
        <v>0</v>
      </c>
      <c r="E600" s="1" t="s">
        <v>17</v>
      </c>
      <c r="F600" s="1" t="s">
        <v>29</v>
      </c>
      <c r="G600" s="1">
        <v>11640</v>
      </c>
      <c r="H600" s="1">
        <v>9597</v>
      </c>
      <c r="I600" s="1">
        <v>656</v>
      </c>
      <c r="J600" s="1">
        <v>120</v>
      </c>
      <c r="K600" s="1">
        <v>0</v>
      </c>
      <c r="L600" s="1" t="s">
        <v>30</v>
      </c>
      <c r="M600" s="1">
        <f>Table1[[#This Row],[ApplicantIncome]]+Table1[[#This Row],[CoapplicantIncome]]</f>
        <v>21237</v>
      </c>
      <c r="N600" s="1" t="s">
        <v>26</v>
      </c>
      <c r="O600" s="1" t="str">
        <f>IF(Table1[[#This Row],[Total_Income]]&lt;3000,"Low",IF(Table1[[#This Row],[Total_Income]]&lt;7000,"Medium","High"))</f>
        <v>High</v>
      </c>
      <c r="P600" s="1" t="str">
        <f t="shared" si="27"/>
        <v>Rejected</v>
      </c>
      <c r="Q600" s="1" t="str">
        <f t="shared" si="28"/>
        <v>High Risk</v>
      </c>
      <c r="R600" s="2">
        <f t="shared" si="29"/>
        <v>7959.0901897114145</v>
      </c>
    </row>
    <row r="601" spans="1:18" s="1" customFormat="1" ht="11.5" x14ac:dyDescent="0.25">
      <c r="A601" s="1" t="s">
        <v>632</v>
      </c>
      <c r="B601" s="1" t="s">
        <v>1238</v>
      </c>
      <c r="C601" s="1" t="s">
        <v>29</v>
      </c>
      <c r="D601" s="1">
        <v>1</v>
      </c>
      <c r="E601" s="1" t="s">
        <v>17</v>
      </c>
      <c r="F601" s="1" t="s">
        <v>29</v>
      </c>
      <c r="G601" s="1">
        <v>17343</v>
      </c>
      <c r="H601" s="1">
        <v>3788</v>
      </c>
      <c r="I601" s="1">
        <v>674</v>
      </c>
      <c r="J601" s="1">
        <v>360</v>
      </c>
      <c r="K601" s="1">
        <v>1</v>
      </c>
      <c r="L601" s="1" t="s">
        <v>30</v>
      </c>
      <c r="M601" s="1">
        <f>Table1[[#This Row],[ApplicantIncome]]+Table1[[#This Row],[CoapplicantIncome]]</f>
        <v>21131</v>
      </c>
      <c r="N601" s="1" t="s">
        <v>26</v>
      </c>
      <c r="O601" s="1" t="str">
        <f>IF(Table1[[#This Row],[Total_Income]]&lt;3000,"Low",IF(Table1[[#This Row],[Total_Income]]&lt;7000,"Medium","High"))</f>
        <v>High</v>
      </c>
      <c r="P601" s="1" t="str">
        <f t="shared" si="27"/>
        <v>Rejected</v>
      </c>
      <c r="Q601" s="1" t="str">
        <f t="shared" si="28"/>
        <v>Low Risk</v>
      </c>
      <c r="R601" s="2">
        <f t="shared" si="29"/>
        <v>4945.5732279469948</v>
      </c>
    </row>
    <row r="602" spans="1:18" s="1" customFormat="1" ht="11.5" x14ac:dyDescent="0.25">
      <c r="A602" s="1" t="s">
        <v>633</v>
      </c>
      <c r="B602" s="1" t="s">
        <v>1238</v>
      </c>
      <c r="C602" s="1" t="s">
        <v>22</v>
      </c>
      <c r="D602" s="1">
        <v>1</v>
      </c>
      <c r="E602" s="1" t="s">
        <v>25</v>
      </c>
      <c r="F602" s="1" t="s">
        <v>22</v>
      </c>
      <c r="G602" s="1">
        <v>2985</v>
      </c>
      <c r="H602" s="1">
        <v>2448</v>
      </c>
      <c r="I602" s="1">
        <v>142</v>
      </c>
      <c r="J602" s="1">
        <v>180</v>
      </c>
      <c r="K602" s="1">
        <v>0</v>
      </c>
      <c r="L602" s="1" t="s">
        <v>41</v>
      </c>
      <c r="M602" s="1">
        <f>Table1[[#This Row],[ApplicantIncome]]+Table1[[#This Row],[CoapplicantIncome]]</f>
        <v>5433</v>
      </c>
      <c r="N602" s="1" t="s">
        <v>26</v>
      </c>
      <c r="O602" s="1" t="str">
        <f>IF(Table1[[#This Row],[Total_Income]]&lt;3000,"Low",IF(Table1[[#This Row],[Total_Income]]&lt;7000,"Medium","High"))</f>
        <v>Medium</v>
      </c>
      <c r="P602" s="1" t="str">
        <f t="shared" si="27"/>
        <v>Rejected</v>
      </c>
      <c r="Q602" s="1" t="str">
        <f t="shared" si="28"/>
        <v>High Risk</v>
      </c>
      <c r="R602" s="2">
        <f t="shared" si="29"/>
        <v>1357.025959749099</v>
      </c>
    </row>
    <row r="603" spans="1:18" s="1" customFormat="1" ht="11.5" x14ac:dyDescent="0.25">
      <c r="A603" s="1" t="s">
        <v>634</v>
      </c>
      <c r="B603" s="1" t="s">
        <v>52</v>
      </c>
      <c r="C603" s="1" t="s">
        <v>29</v>
      </c>
      <c r="D603" s="1" t="s">
        <v>16</v>
      </c>
      <c r="E603" s="1" t="s">
        <v>25</v>
      </c>
      <c r="F603" s="1" t="s">
        <v>29</v>
      </c>
      <c r="G603" s="1">
        <v>16805</v>
      </c>
      <c r="H603" s="1">
        <v>9430</v>
      </c>
      <c r="I603" s="1">
        <v>201</v>
      </c>
      <c r="J603" s="1">
        <v>180</v>
      </c>
      <c r="K603" s="1">
        <v>1</v>
      </c>
      <c r="L603" s="1" t="s">
        <v>30</v>
      </c>
      <c r="M603" s="1">
        <f>Table1[[#This Row],[ApplicantIncome]]+Table1[[#This Row],[CoapplicantIncome]]</f>
        <v>26235</v>
      </c>
      <c r="N603" s="1" t="s">
        <v>26</v>
      </c>
      <c r="O603" s="1" t="str">
        <f>IF(Table1[[#This Row],[Total_Income]]&lt;3000,"Low",IF(Table1[[#This Row],[Total_Income]]&lt;7000,"Medium","High"))</f>
        <v>High</v>
      </c>
      <c r="P603" s="1" t="str">
        <f t="shared" si="27"/>
        <v>Rejected</v>
      </c>
      <c r="Q603" s="1" t="str">
        <f t="shared" si="28"/>
        <v>Low Risk</v>
      </c>
      <c r="R603" s="2">
        <f t="shared" si="29"/>
        <v>1920.8606895040061</v>
      </c>
    </row>
    <row r="604" spans="1:18" s="1" customFormat="1" ht="11.5" x14ac:dyDescent="0.25">
      <c r="A604" s="1" t="s">
        <v>635</v>
      </c>
      <c r="B604" s="1" t="s">
        <v>28</v>
      </c>
      <c r="C604" s="1" t="s">
        <v>22</v>
      </c>
      <c r="D604" s="1">
        <v>0</v>
      </c>
      <c r="E604" s="1" t="s">
        <v>25</v>
      </c>
      <c r="F604" s="1" t="s">
        <v>22</v>
      </c>
      <c r="G604" s="1">
        <v>16995</v>
      </c>
      <c r="H604" s="1">
        <v>3772</v>
      </c>
      <c r="I604" s="1">
        <v>199</v>
      </c>
      <c r="J604" s="1">
        <v>120</v>
      </c>
      <c r="K604" s="1">
        <v>1</v>
      </c>
      <c r="L604" s="1" t="s">
        <v>19</v>
      </c>
      <c r="M604" s="1">
        <f>Table1[[#This Row],[ApplicantIncome]]+Table1[[#This Row],[CoapplicantIncome]]</f>
        <v>20767</v>
      </c>
      <c r="N604" s="1" t="s">
        <v>26</v>
      </c>
      <c r="O604" s="1" t="str">
        <f>IF(Table1[[#This Row],[Total_Income]]&lt;3000,"Low",IF(Table1[[#This Row],[Total_Income]]&lt;7000,"Medium","High"))</f>
        <v>High</v>
      </c>
      <c r="P604" s="1" t="str">
        <f t="shared" si="27"/>
        <v>Rejected</v>
      </c>
      <c r="Q604" s="1" t="str">
        <f t="shared" si="28"/>
        <v>Low Risk</v>
      </c>
      <c r="R604" s="2">
        <f t="shared" si="29"/>
        <v>2414.4191276716028</v>
      </c>
    </row>
    <row r="605" spans="1:18" s="1" customFormat="1" ht="11.5" x14ac:dyDescent="0.25">
      <c r="A605" s="1" t="s">
        <v>636</v>
      </c>
      <c r="B605" s="1" t="s">
        <v>28</v>
      </c>
      <c r="C605" s="1" t="s">
        <v>22</v>
      </c>
      <c r="D605" s="1">
        <v>1</v>
      </c>
      <c r="E605" s="1" t="s">
        <v>25</v>
      </c>
      <c r="F605" s="1" t="s">
        <v>22</v>
      </c>
      <c r="G605" s="1">
        <v>17613</v>
      </c>
      <c r="H605" s="1">
        <v>9553</v>
      </c>
      <c r="I605" s="1">
        <v>520</v>
      </c>
      <c r="J605" s="1">
        <v>180</v>
      </c>
      <c r="K605" s="1">
        <v>0</v>
      </c>
      <c r="L605" s="1" t="s">
        <v>19</v>
      </c>
      <c r="M605" s="1">
        <f>Table1[[#This Row],[ApplicantIncome]]+Table1[[#This Row],[CoapplicantIncome]]</f>
        <v>27166</v>
      </c>
      <c r="N605" s="1" t="s">
        <v>26</v>
      </c>
      <c r="O605" s="1" t="str">
        <f>IF(Table1[[#This Row],[Total_Income]]&lt;3000,"Low",IF(Table1[[#This Row],[Total_Income]]&lt;7000,"Medium","High"))</f>
        <v>High</v>
      </c>
      <c r="P605" s="1" t="str">
        <f t="shared" si="27"/>
        <v>Rejected</v>
      </c>
      <c r="Q605" s="1" t="str">
        <f t="shared" si="28"/>
        <v>High Risk</v>
      </c>
      <c r="R605" s="2">
        <f t="shared" si="29"/>
        <v>4969.3908385178274</v>
      </c>
    </row>
    <row r="606" spans="1:18" s="1" customFormat="1" ht="11.5" x14ac:dyDescent="0.25">
      <c r="A606" s="1" t="s">
        <v>637</v>
      </c>
      <c r="B606" s="1" t="s">
        <v>28</v>
      </c>
      <c r="C606" s="1" t="s">
        <v>22</v>
      </c>
      <c r="D606" s="1">
        <v>1</v>
      </c>
      <c r="E606" s="1" t="s">
        <v>17</v>
      </c>
      <c r="F606" s="1" t="s">
        <v>22</v>
      </c>
      <c r="G606" s="1">
        <v>14089</v>
      </c>
      <c r="H606" s="1">
        <v>3027</v>
      </c>
      <c r="I606" s="1">
        <v>329</v>
      </c>
      <c r="J606" s="1">
        <v>180</v>
      </c>
      <c r="K606" s="1">
        <v>0</v>
      </c>
      <c r="L606" s="1" t="s">
        <v>41</v>
      </c>
      <c r="M606" s="1">
        <f>Table1[[#This Row],[ApplicantIncome]]+Table1[[#This Row],[CoapplicantIncome]]</f>
        <v>17116</v>
      </c>
      <c r="N606" s="1" t="s">
        <v>26</v>
      </c>
      <c r="O606" s="1" t="str">
        <f>IF(Table1[[#This Row],[Total_Income]]&lt;3000,"Low",IF(Table1[[#This Row],[Total_Income]]&lt;7000,"Medium","High"))</f>
        <v>High</v>
      </c>
      <c r="P606" s="1" t="str">
        <f t="shared" si="27"/>
        <v>Rejected</v>
      </c>
      <c r="Q606" s="1" t="str">
        <f t="shared" si="28"/>
        <v>High Risk</v>
      </c>
      <c r="R606" s="2">
        <f t="shared" si="29"/>
        <v>3144.0953574468563</v>
      </c>
    </row>
    <row r="607" spans="1:18" s="1" customFormat="1" ht="11.5" x14ac:dyDescent="0.25">
      <c r="A607" s="1" t="s">
        <v>638</v>
      </c>
      <c r="B607" s="1" t="s">
        <v>52</v>
      </c>
      <c r="C607" s="1" t="s">
        <v>29</v>
      </c>
      <c r="D607" s="1">
        <v>2</v>
      </c>
      <c r="E607" s="1" t="s">
        <v>25</v>
      </c>
      <c r="F607" s="1" t="s">
        <v>22</v>
      </c>
      <c r="G607" s="1">
        <v>3384</v>
      </c>
      <c r="H607" s="1">
        <v>1196</v>
      </c>
      <c r="I607" s="1">
        <v>571</v>
      </c>
      <c r="J607" s="1">
        <v>120</v>
      </c>
      <c r="K607" s="1">
        <v>0</v>
      </c>
      <c r="L607" s="1" t="s">
        <v>41</v>
      </c>
      <c r="M607" s="1">
        <f>Table1[[#This Row],[ApplicantIncome]]+Table1[[#This Row],[CoapplicantIncome]]</f>
        <v>4580</v>
      </c>
      <c r="N607" s="1" t="s">
        <v>20</v>
      </c>
      <c r="O607" s="1" t="str">
        <f>IF(Table1[[#This Row],[Total_Income]]&lt;3000,"Low",IF(Table1[[#This Row],[Total_Income]]&lt;7000,"Medium","High"))</f>
        <v>Medium</v>
      </c>
      <c r="P607" s="1" t="str">
        <f t="shared" si="27"/>
        <v>Approved</v>
      </c>
      <c r="Q607" s="1" t="str">
        <f t="shared" si="28"/>
        <v>High Risk</v>
      </c>
      <c r="R607" s="2">
        <f t="shared" si="29"/>
        <v>6927.8056376908798</v>
      </c>
    </row>
    <row r="608" spans="1:18" s="1" customFormat="1" ht="11.5" x14ac:dyDescent="0.25">
      <c r="A608" s="1" t="s">
        <v>639</v>
      </c>
      <c r="B608" s="1" t="s">
        <v>52</v>
      </c>
      <c r="C608" s="1" t="s">
        <v>29</v>
      </c>
      <c r="D608" s="1">
        <v>0</v>
      </c>
      <c r="E608" s="1" t="s">
        <v>25</v>
      </c>
      <c r="F608" s="1" t="s">
        <v>29</v>
      </c>
      <c r="G608" s="1">
        <v>11903</v>
      </c>
      <c r="H608" s="1">
        <v>5407</v>
      </c>
      <c r="I608" s="1">
        <v>588</v>
      </c>
      <c r="J608" s="1">
        <v>180</v>
      </c>
      <c r="K608" s="1">
        <v>1</v>
      </c>
      <c r="L608" s="1" t="s">
        <v>19</v>
      </c>
      <c r="M608" s="1">
        <f>Table1[[#This Row],[ApplicantIncome]]+Table1[[#This Row],[CoapplicantIncome]]</f>
        <v>17310</v>
      </c>
      <c r="N608" s="1" t="s">
        <v>20</v>
      </c>
      <c r="O608" s="1" t="str">
        <f>IF(Table1[[#This Row],[Total_Income]]&lt;3000,"Low",IF(Table1[[#This Row],[Total_Income]]&lt;7000,"Medium","High"))</f>
        <v>High</v>
      </c>
      <c r="P608" s="1" t="str">
        <f t="shared" si="27"/>
        <v>Approved</v>
      </c>
      <c r="Q608" s="1" t="str">
        <f t="shared" si="28"/>
        <v>Low Risk</v>
      </c>
      <c r="R608" s="2">
        <f t="shared" si="29"/>
        <v>5619.2342558624669</v>
      </c>
    </row>
    <row r="609" spans="1:18" s="1" customFormat="1" ht="11.5" x14ac:dyDescent="0.25">
      <c r="A609" s="1" t="s">
        <v>640</v>
      </c>
      <c r="B609" s="1" t="s">
        <v>28</v>
      </c>
      <c r="C609" s="1" t="s">
        <v>22</v>
      </c>
      <c r="D609" s="1">
        <v>1</v>
      </c>
      <c r="E609" s="1" t="s">
        <v>25</v>
      </c>
      <c r="F609" s="1" t="s">
        <v>22</v>
      </c>
      <c r="G609" s="1">
        <v>6131</v>
      </c>
      <c r="H609" s="1">
        <v>5944</v>
      </c>
      <c r="I609" s="1">
        <v>370</v>
      </c>
      <c r="J609" s="1">
        <v>360</v>
      </c>
      <c r="K609" s="1">
        <v>0</v>
      </c>
      <c r="L609" s="1" t="s">
        <v>30</v>
      </c>
      <c r="M609" s="1">
        <f>Table1[[#This Row],[ApplicantIncome]]+Table1[[#This Row],[CoapplicantIncome]]</f>
        <v>12075</v>
      </c>
      <c r="N609" s="1" t="s">
        <v>26</v>
      </c>
      <c r="O609" s="1" t="str">
        <f>IF(Table1[[#This Row],[Total_Income]]&lt;3000,"Low",IF(Table1[[#This Row],[Total_Income]]&lt;7000,"Medium","High"))</f>
        <v>High</v>
      </c>
      <c r="P609" s="1" t="str">
        <f t="shared" si="27"/>
        <v>Rejected</v>
      </c>
      <c r="Q609" s="1" t="str">
        <f t="shared" si="28"/>
        <v>High Risk</v>
      </c>
      <c r="R609" s="2">
        <f t="shared" si="29"/>
        <v>2714.928923353692</v>
      </c>
    </row>
    <row r="610" spans="1:18" s="1" customFormat="1" ht="11.5" x14ac:dyDescent="0.25">
      <c r="A610" s="1" t="s">
        <v>641</v>
      </c>
      <c r="B610" s="1" t="s">
        <v>28</v>
      </c>
      <c r="C610" s="1" t="s">
        <v>22</v>
      </c>
      <c r="D610" s="1">
        <v>1</v>
      </c>
      <c r="E610" s="1" t="s">
        <v>25</v>
      </c>
      <c r="F610" s="1" t="s">
        <v>22</v>
      </c>
      <c r="G610" s="1">
        <v>8769</v>
      </c>
      <c r="H610" s="1">
        <v>8899</v>
      </c>
      <c r="I610" s="1">
        <v>164</v>
      </c>
      <c r="J610" s="1">
        <v>360</v>
      </c>
      <c r="K610" s="1">
        <v>0</v>
      </c>
      <c r="L610" s="1" t="s">
        <v>41</v>
      </c>
      <c r="M610" s="1">
        <f>Table1[[#This Row],[ApplicantIncome]]+Table1[[#This Row],[CoapplicantIncome]]</f>
        <v>17668</v>
      </c>
      <c r="N610" s="1" t="s">
        <v>20</v>
      </c>
      <c r="O610" s="1" t="str">
        <f>IF(Table1[[#This Row],[Total_Income]]&lt;3000,"Low",IF(Table1[[#This Row],[Total_Income]]&lt;7000,"Medium","High"))</f>
        <v>High</v>
      </c>
      <c r="P610" s="1" t="str">
        <f t="shared" si="27"/>
        <v>Approved</v>
      </c>
      <c r="Q610" s="1" t="str">
        <f t="shared" si="28"/>
        <v>High Risk</v>
      </c>
      <c r="R610" s="2">
        <f t="shared" si="29"/>
        <v>1203.3739011621769</v>
      </c>
    </row>
    <row r="611" spans="1:18" s="1" customFormat="1" ht="11.5" x14ac:dyDescent="0.25">
      <c r="A611" s="1" t="s">
        <v>642</v>
      </c>
      <c r="B611" s="1" t="s">
        <v>52</v>
      </c>
      <c r="C611" s="1" t="s">
        <v>29</v>
      </c>
      <c r="D611" s="1">
        <v>2</v>
      </c>
      <c r="E611" s="1" t="s">
        <v>25</v>
      </c>
      <c r="F611" s="1" t="s">
        <v>22</v>
      </c>
      <c r="G611" s="1">
        <v>11458</v>
      </c>
      <c r="H611" s="1">
        <v>509</v>
      </c>
      <c r="I611" s="1">
        <v>610</v>
      </c>
      <c r="J611" s="1">
        <v>360</v>
      </c>
      <c r="K611" s="1">
        <v>0</v>
      </c>
      <c r="L611" s="1" t="s">
        <v>41</v>
      </c>
      <c r="M611" s="1">
        <f>Table1[[#This Row],[ApplicantIncome]]+Table1[[#This Row],[CoapplicantIncome]]</f>
        <v>11967</v>
      </c>
      <c r="N611" s="1" t="s">
        <v>26</v>
      </c>
      <c r="O611" s="1" t="str">
        <f>IF(Table1[[#This Row],[Total_Income]]&lt;3000,"Low",IF(Table1[[#This Row],[Total_Income]]&lt;7000,"Medium","High"))</f>
        <v>High</v>
      </c>
      <c r="P611" s="1" t="str">
        <f t="shared" si="27"/>
        <v>Rejected</v>
      </c>
      <c r="Q611" s="1" t="str">
        <f t="shared" si="28"/>
        <v>High Risk</v>
      </c>
      <c r="R611" s="2">
        <f t="shared" si="29"/>
        <v>4475.9639006641946</v>
      </c>
    </row>
    <row r="612" spans="1:18" s="1" customFormat="1" ht="11.5" x14ac:dyDescent="0.25">
      <c r="A612" s="1" t="s">
        <v>643</v>
      </c>
      <c r="B612" s="1" t="s">
        <v>52</v>
      </c>
      <c r="C612" s="1" t="s">
        <v>29</v>
      </c>
      <c r="D612" s="1">
        <v>2</v>
      </c>
      <c r="E612" s="1" t="s">
        <v>17</v>
      </c>
      <c r="F612" s="1" t="s">
        <v>22</v>
      </c>
      <c r="G612" s="1">
        <v>5438</v>
      </c>
      <c r="H612" s="1">
        <v>5539</v>
      </c>
      <c r="I612" s="1">
        <v>120</v>
      </c>
      <c r="J612" s="1">
        <v>180</v>
      </c>
      <c r="K612" s="1">
        <v>1</v>
      </c>
      <c r="L612" s="1" t="s">
        <v>19</v>
      </c>
      <c r="M612" s="1">
        <f>Table1[[#This Row],[ApplicantIncome]]+Table1[[#This Row],[CoapplicantIncome]]</f>
        <v>10977</v>
      </c>
      <c r="N612" s="1" t="s">
        <v>26</v>
      </c>
      <c r="O612" s="1" t="str">
        <f>IF(Table1[[#This Row],[Total_Income]]&lt;3000,"Low",IF(Table1[[#This Row],[Total_Income]]&lt;7000,"Medium","High"))</f>
        <v>High</v>
      </c>
      <c r="P612" s="1" t="str">
        <f t="shared" si="27"/>
        <v>Rejected</v>
      </c>
      <c r="Q612" s="1" t="str">
        <f t="shared" si="28"/>
        <v>Low Risk</v>
      </c>
      <c r="R612" s="2">
        <f t="shared" si="29"/>
        <v>1146.7825011964217</v>
      </c>
    </row>
    <row r="613" spans="1:18" s="1" customFormat="1" ht="11.5" x14ac:dyDescent="0.25">
      <c r="A613" s="1" t="s">
        <v>644</v>
      </c>
      <c r="B613" s="1" t="s">
        <v>28</v>
      </c>
      <c r="C613" s="1" t="s">
        <v>22</v>
      </c>
      <c r="D613" s="1">
        <v>0</v>
      </c>
      <c r="E613" s="1" t="s">
        <v>17</v>
      </c>
      <c r="F613" s="1" t="s">
        <v>29</v>
      </c>
      <c r="G613" s="1">
        <v>13243</v>
      </c>
      <c r="H613" s="1">
        <v>1934</v>
      </c>
      <c r="I613" s="1">
        <v>666</v>
      </c>
      <c r="J613" s="1">
        <v>120</v>
      </c>
      <c r="K613" s="1">
        <v>0</v>
      </c>
      <c r="L613" s="1" t="s">
        <v>19</v>
      </c>
      <c r="M613" s="1">
        <f>Table1[[#This Row],[ApplicantIncome]]+Table1[[#This Row],[CoapplicantIncome]]</f>
        <v>15177</v>
      </c>
      <c r="N613" s="1" t="s">
        <v>26</v>
      </c>
      <c r="O613" s="1" t="str">
        <f>IF(Table1[[#This Row],[Total_Income]]&lt;3000,"Low",IF(Table1[[#This Row],[Total_Income]]&lt;7000,"Medium","High"))</f>
        <v>High</v>
      </c>
      <c r="P613" s="1" t="str">
        <f t="shared" si="27"/>
        <v>Rejected</v>
      </c>
      <c r="Q613" s="1" t="str">
        <f t="shared" si="28"/>
        <v>High Risk</v>
      </c>
      <c r="R613" s="2">
        <f t="shared" si="29"/>
        <v>8080.4177840667717</v>
      </c>
    </row>
    <row r="614" spans="1:18" s="1" customFormat="1" ht="11.5" x14ac:dyDescent="0.25">
      <c r="A614" s="1" t="s">
        <v>645</v>
      </c>
      <c r="B614" s="1" t="s">
        <v>52</v>
      </c>
      <c r="C614" s="1" t="s">
        <v>29</v>
      </c>
      <c r="D614" s="1">
        <v>2</v>
      </c>
      <c r="E614" s="1" t="s">
        <v>25</v>
      </c>
      <c r="F614" s="1" t="s">
        <v>22</v>
      </c>
      <c r="G614" s="1">
        <v>19224</v>
      </c>
      <c r="H614" s="1">
        <v>7369</v>
      </c>
      <c r="I614" s="1">
        <v>207</v>
      </c>
      <c r="J614" s="1">
        <v>180</v>
      </c>
      <c r="K614" s="1">
        <v>0</v>
      </c>
      <c r="L614" s="1" t="s">
        <v>30</v>
      </c>
      <c r="M614" s="1">
        <f>Table1[[#This Row],[ApplicantIncome]]+Table1[[#This Row],[CoapplicantIncome]]</f>
        <v>26593</v>
      </c>
      <c r="N614" s="1" t="s">
        <v>20</v>
      </c>
      <c r="O614" s="1" t="str">
        <f>IF(Table1[[#This Row],[Total_Income]]&lt;3000,"Low",IF(Table1[[#This Row],[Total_Income]]&lt;7000,"Medium","High"))</f>
        <v>High</v>
      </c>
      <c r="P614" s="1" t="str">
        <f t="shared" si="27"/>
        <v>Approved</v>
      </c>
      <c r="Q614" s="1" t="str">
        <f t="shared" si="28"/>
        <v>High Risk</v>
      </c>
      <c r="R614" s="2">
        <f t="shared" si="29"/>
        <v>1978.1998145638277</v>
      </c>
    </row>
    <row r="615" spans="1:18" s="1" customFormat="1" ht="11.5" x14ac:dyDescent="0.25">
      <c r="A615" s="1" t="s">
        <v>646</v>
      </c>
      <c r="B615" s="1" t="s">
        <v>28</v>
      </c>
      <c r="C615" s="1" t="s">
        <v>29</v>
      </c>
      <c r="D615" s="1">
        <v>1</v>
      </c>
      <c r="E615" s="1" t="s">
        <v>17</v>
      </c>
      <c r="F615" s="1" t="s">
        <v>22</v>
      </c>
      <c r="G615" s="1">
        <v>19714</v>
      </c>
      <c r="H615" s="1">
        <v>2917</v>
      </c>
      <c r="I615" s="1">
        <v>291</v>
      </c>
      <c r="J615" s="1">
        <v>360</v>
      </c>
      <c r="K615" s="1">
        <v>1</v>
      </c>
      <c r="L615" s="1" t="s">
        <v>41</v>
      </c>
      <c r="M615" s="1">
        <f>Table1[[#This Row],[ApplicantIncome]]+Table1[[#This Row],[CoapplicantIncome]]</f>
        <v>22631</v>
      </c>
      <c r="N615" s="1" t="s">
        <v>26</v>
      </c>
      <c r="O615" s="1" t="str">
        <f>IF(Table1[[#This Row],[Total_Income]]&lt;3000,"Low",IF(Table1[[#This Row],[Total_Income]]&lt;7000,"Medium","High"))</f>
        <v>High</v>
      </c>
      <c r="P615" s="1" t="str">
        <f t="shared" si="27"/>
        <v>Rejected</v>
      </c>
      <c r="Q615" s="1" t="str">
        <f t="shared" si="28"/>
        <v>Low Risk</v>
      </c>
      <c r="R615" s="2">
        <f t="shared" si="29"/>
        <v>2135.2549099889848</v>
      </c>
    </row>
    <row r="616" spans="1:18" s="1" customFormat="1" ht="11.5" x14ac:dyDescent="0.25">
      <c r="A616" s="1" t="s">
        <v>647</v>
      </c>
      <c r="B616" s="1" t="s">
        <v>28</v>
      </c>
      <c r="C616" s="1" t="s">
        <v>22</v>
      </c>
      <c r="D616" s="1">
        <v>1</v>
      </c>
      <c r="E616" s="1" t="s">
        <v>17</v>
      </c>
      <c r="F616" s="1" t="s">
        <v>29</v>
      </c>
      <c r="G616" s="1">
        <v>14347</v>
      </c>
      <c r="H616" s="1">
        <v>942</v>
      </c>
      <c r="I616" s="1">
        <v>207</v>
      </c>
      <c r="J616" s="1">
        <v>360</v>
      </c>
      <c r="K616" s="1">
        <v>1</v>
      </c>
      <c r="L616" s="1" t="s">
        <v>19</v>
      </c>
      <c r="M616" s="1">
        <f>Table1[[#This Row],[ApplicantIncome]]+Table1[[#This Row],[CoapplicantIncome]]</f>
        <v>15289</v>
      </c>
      <c r="N616" s="1" t="s">
        <v>20</v>
      </c>
      <c r="O616" s="1" t="str">
        <f>IF(Table1[[#This Row],[Total_Income]]&lt;3000,"Low",IF(Table1[[#This Row],[Total_Income]]&lt;7000,"Medium","High"))</f>
        <v>High</v>
      </c>
      <c r="P616" s="1" t="str">
        <f t="shared" si="27"/>
        <v>Approved</v>
      </c>
      <c r="Q616" s="1" t="str">
        <f t="shared" si="28"/>
        <v>Low Risk</v>
      </c>
      <c r="R616" s="2">
        <f t="shared" si="29"/>
        <v>1518.8926679303086</v>
      </c>
    </row>
    <row r="617" spans="1:18" s="1" customFormat="1" ht="11.5" x14ac:dyDescent="0.25">
      <c r="A617" s="1" t="s">
        <v>648</v>
      </c>
      <c r="B617" s="1" t="s">
        <v>52</v>
      </c>
      <c r="C617" s="1" t="s">
        <v>22</v>
      </c>
      <c r="D617" s="1">
        <v>2</v>
      </c>
      <c r="E617" s="1" t="s">
        <v>17</v>
      </c>
      <c r="F617" s="1" t="s">
        <v>22</v>
      </c>
      <c r="G617" s="1">
        <v>19179</v>
      </c>
      <c r="H617" s="1">
        <v>187</v>
      </c>
      <c r="I617" s="1">
        <v>79</v>
      </c>
      <c r="J617" s="1">
        <v>360</v>
      </c>
      <c r="K617" s="1">
        <v>0</v>
      </c>
      <c r="L617" s="1" t="s">
        <v>41</v>
      </c>
      <c r="M617" s="1">
        <f>Table1[[#This Row],[ApplicantIncome]]+Table1[[#This Row],[CoapplicantIncome]]</f>
        <v>19366</v>
      </c>
      <c r="N617" s="1" t="s">
        <v>26</v>
      </c>
      <c r="O617" s="1" t="str">
        <f>IF(Table1[[#This Row],[Total_Income]]&lt;3000,"Low",IF(Table1[[#This Row],[Total_Income]]&lt;7000,"Medium","High"))</f>
        <v>High</v>
      </c>
      <c r="P617" s="1" t="str">
        <f t="shared" si="27"/>
        <v>Rejected</v>
      </c>
      <c r="Q617" s="1" t="str">
        <f t="shared" si="28"/>
        <v>High Risk</v>
      </c>
      <c r="R617" s="2">
        <f t="shared" si="29"/>
        <v>579.67401336470721</v>
      </c>
    </row>
    <row r="618" spans="1:18" s="1" customFormat="1" ht="11.5" x14ac:dyDescent="0.25">
      <c r="A618" s="1" t="s">
        <v>649</v>
      </c>
      <c r="B618" s="1" t="s">
        <v>28</v>
      </c>
      <c r="C618" s="1" t="s">
        <v>22</v>
      </c>
      <c r="D618" s="1" t="s">
        <v>16</v>
      </c>
      <c r="E618" s="1" t="s">
        <v>17</v>
      </c>
      <c r="F618" s="1" t="s">
        <v>29</v>
      </c>
      <c r="G618" s="1">
        <v>6199</v>
      </c>
      <c r="H618" s="1">
        <v>7288</v>
      </c>
      <c r="I618" s="1">
        <v>314</v>
      </c>
      <c r="J618" s="1">
        <v>120</v>
      </c>
      <c r="K618" s="1">
        <v>0</v>
      </c>
      <c r="L618" s="1" t="s">
        <v>30</v>
      </c>
      <c r="M618" s="1">
        <f>Table1[[#This Row],[ApplicantIncome]]+Table1[[#This Row],[CoapplicantIncome]]</f>
        <v>13487</v>
      </c>
      <c r="N618" s="1" t="s">
        <v>26</v>
      </c>
      <c r="O618" s="1" t="str">
        <f>IF(Table1[[#This Row],[Total_Income]]&lt;3000,"Low",IF(Table1[[#This Row],[Total_Income]]&lt;7000,"Medium","High"))</f>
        <v>High</v>
      </c>
      <c r="P618" s="1" t="str">
        <f t="shared" si="27"/>
        <v>Rejected</v>
      </c>
      <c r="Q618" s="1" t="str">
        <f t="shared" si="28"/>
        <v>High Risk</v>
      </c>
      <c r="R618" s="2">
        <f t="shared" si="29"/>
        <v>3809.6864627582077</v>
      </c>
    </row>
    <row r="619" spans="1:18" s="1" customFormat="1" ht="11.5" x14ac:dyDescent="0.25">
      <c r="A619" s="1" t="s">
        <v>650</v>
      </c>
      <c r="B619" s="1" t="s">
        <v>1238</v>
      </c>
      <c r="C619" s="1" t="s">
        <v>29</v>
      </c>
      <c r="D619" s="1">
        <v>1</v>
      </c>
      <c r="E619" s="1" t="s">
        <v>25</v>
      </c>
      <c r="F619" s="1" t="s">
        <v>22</v>
      </c>
      <c r="G619" s="1">
        <v>5598</v>
      </c>
      <c r="H619" s="1">
        <v>9730</v>
      </c>
      <c r="I619" s="1">
        <v>50</v>
      </c>
      <c r="J619" s="1">
        <v>180</v>
      </c>
      <c r="K619" s="1">
        <v>0</v>
      </c>
      <c r="L619" s="1" t="s">
        <v>30</v>
      </c>
      <c r="M619" s="1">
        <f>Table1[[#This Row],[ApplicantIncome]]+Table1[[#This Row],[CoapplicantIncome]]</f>
        <v>15328</v>
      </c>
      <c r="N619" s="1" t="s">
        <v>20</v>
      </c>
      <c r="O619" s="1" t="str">
        <f>IF(Table1[[#This Row],[Total_Income]]&lt;3000,"Low",IF(Table1[[#This Row],[Total_Income]]&lt;7000,"Medium","High"))</f>
        <v>High</v>
      </c>
      <c r="P619" s="1" t="str">
        <f t="shared" si="27"/>
        <v>Approved</v>
      </c>
      <c r="Q619" s="1" t="str">
        <f t="shared" si="28"/>
        <v>High Risk</v>
      </c>
      <c r="R619" s="2">
        <f t="shared" si="29"/>
        <v>477.82604216517575</v>
      </c>
    </row>
    <row r="620" spans="1:18" s="1" customFormat="1" ht="11.5" x14ac:dyDescent="0.25">
      <c r="A620" s="1" t="s">
        <v>651</v>
      </c>
      <c r="B620" s="1" t="s">
        <v>28</v>
      </c>
      <c r="C620" s="1" t="s">
        <v>22</v>
      </c>
      <c r="D620" s="1">
        <v>2</v>
      </c>
      <c r="E620" s="1" t="s">
        <v>17</v>
      </c>
      <c r="F620" s="1" t="s">
        <v>22</v>
      </c>
      <c r="G620" s="1">
        <v>13300</v>
      </c>
      <c r="H620" s="1">
        <v>315</v>
      </c>
      <c r="I620" s="1">
        <v>686</v>
      </c>
      <c r="J620" s="1">
        <v>360</v>
      </c>
      <c r="K620" s="1">
        <v>0</v>
      </c>
      <c r="L620" s="1" t="s">
        <v>41</v>
      </c>
      <c r="M620" s="1">
        <f>Table1[[#This Row],[ApplicantIncome]]+Table1[[#This Row],[CoapplicantIncome]]</f>
        <v>13615</v>
      </c>
      <c r="N620" s="1" t="s">
        <v>26</v>
      </c>
      <c r="O620" s="1" t="str">
        <f>IF(Table1[[#This Row],[Total_Income]]&lt;3000,"Low",IF(Table1[[#This Row],[Total_Income]]&lt;7000,"Medium","High"))</f>
        <v>High</v>
      </c>
      <c r="P620" s="1" t="str">
        <f t="shared" si="27"/>
        <v>Rejected</v>
      </c>
      <c r="Q620" s="1" t="str">
        <f t="shared" si="28"/>
        <v>High Risk</v>
      </c>
      <c r="R620" s="2">
        <f t="shared" si="29"/>
        <v>5033.6249768125208</v>
      </c>
    </row>
    <row r="621" spans="1:18" s="1" customFormat="1" ht="11.5" x14ac:dyDescent="0.25">
      <c r="A621" s="1" t="s">
        <v>652</v>
      </c>
      <c r="B621" s="1" t="s">
        <v>28</v>
      </c>
      <c r="C621" s="1" t="s">
        <v>22</v>
      </c>
      <c r="D621" s="1">
        <v>2</v>
      </c>
      <c r="E621" s="1" t="s">
        <v>17</v>
      </c>
      <c r="F621" s="1" t="s">
        <v>22</v>
      </c>
      <c r="G621" s="1">
        <v>5636</v>
      </c>
      <c r="H621" s="1">
        <v>8714</v>
      </c>
      <c r="I621" s="1">
        <v>82</v>
      </c>
      <c r="J621" s="1">
        <v>360</v>
      </c>
      <c r="K621" s="1">
        <v>0</v>
      </c>
      <c r="L621" s="1" t="s">
        <v>30</v>
      </c>
      <c r="M621" s="1">
        <f>Table1[[#This Row],[ApplicantIncome]]+Table1[[#This Row],[CoapplicantIncome]]</f>
        <v>14350</v>
      </c>
      <c r="N621" s="1" t="s">
        <v>20</v>
      </c>
      <c r="O621" s="1" t="str">
        <f>IF(Table1[[#This Row],[Total_Income]]&lt;3000,"Low",IF(Table1[[#This Row],[Total_Income]]&lt;7000,"Medium","High"))</f>
        <v>High</v>
      </c>
      <c r="P621" s="1" t="str">
        <f t="shared" si="27"/>
        <v>Approved</v>
      </c>
      <c r="Q621" s="1" t="str">
        <f t="shared" si="28"/>
        <v>High Risk</v>
      </c>
      <c r="R621" s="2">
        <f t="shared" si="29"/>
        <v>601.68695058108847</v>
      </c>
    </row>
    <row r="622" spans="1:18" s="1" customFormat="1" ht="11.5" x14ac:dyDescent="0.25">
      <c r="A622" s="1" t="s">
        <v>653</v>
      </c>
      <c r="B622" s="1" t="s">
        <v>28</v>
      </c>
      <c r="C622" s="1" t="s">
        <v>29</v>
      </c>
      <c r="D622" s="1" t="s">
        <v>16</v>
      </c>
      <c r="E622" s="1" t="s">
        <v>17</v>
      </c>
      <c r="F622" s="1" t="s">
        <v>29</v>
      </c>
      <c r="G622" s="1">
        <v>6867</v>
      </c>
      <c r="H622" s="1">
        <v>7685</v>
      </c>
      <c r="I622" s="1">
        <v>574</v>
      </c>
      <c r="J622" s="1">
        <v>180</v>
      </c>
      <c r="K622" s="1">
        <v>0</v>
      </c>
      <c r="L622" s="1" t="s">
        <v>30</v>
      </c>
      <c r="M622" s="1">
        <f>Table1[[#This Row],[ApplicantIncome]]+Table1[[#This Row],[CoapplicantIncome]]</f>
        <v>14552</v>
      </c>
      <c r="N622" s="1" t="s">
        <v>20</v>
      </c>
      <c r="O622" s="1" t="str">
        <f>IF(Table1[[#This Row],[Total_Income]]&lt;3000,"Low",IF(Table1[[#This Row],[Total_Income]]&lt;7000,"Medium","High"))</f>
        <v>High</v>
      </c>
      <c r="P622" s="1" t="str">
        <f t="shared" si="27"/>
        <v>Approved</v>
      </c>
      <c r="Q622" s="1" t="str">
        <f t="shared" si="28"/>
        <v>High Risk</v>
      </c>
      <c r="R622" s="2">
        <f t="shared" si="29"/>
        <v>5485.4429640562175</v>
      </c>
    </row>
    <row r="623" spans="1:18" s="1" customFormat="1" ht="11.5" x14ac:dyDescent="0.25">
      <c r="A623" s="1" t="s">
        <v>654</v>
      </c>
      <c r="B623" s="1" t="s">
        <v>52</v>
      </c>
      <c r="C623" s="1" t="s">
        <v>22</v>
      </c>
      <c r="D623" s="1" t="s">
        <v>16</v>
      </c>
      <c r="E623" s="1" t="s">
        <v>25</v>
      </c>
      <c r="F623" s="1" t="s">
        <v>22</v>
      </c>
      <c r="G623" s="1">
        <v>11701</v>
      </c>
      <c r="H623" s="1">
        <v>8929</v>
      </c>
      <c r="I623" s="1">
        <v>650</v>
      </c>
      <c r="J623" s="1">
        <v>360</v>
      </c>
      <c r="K623" s="1">
        <v>1</v>
      </c>
      <c r="L623" s="1" t="s">
        <v>19</v>
      </c>
      <c r="M623" s="1">
        <f>Table1[[#This Row],[ApplicantIncome]]+Table1[[#This Row],[CoapplicantIncome]]</f>
        <v>20630</v>
      </c>
      <c r="N623" s="1" t="s">
        <v>26</v>
      </c>
      <c r="O623" s="1" t="str">
        <f>IF(Table1[[#This Row],[Total_Income]]&lt;3000,"Low",IF(Table1[[#This Row],[Total_Income]]&lt;7000,"Medium","High"))</f>
        <v>High</v>
      </c>
      <c r="P623" s="1" t="str">
        <f t="shared" si="27"/>
        <v>Rejected</v>
      </c>
      <c r="Q623" s="1" t="str">
        <f t="shared" si="28"/>
        <v>Low Risk</v>
      </c>
      <c r="R623" s="2">
        <f t="shared" si="29"/>
        <v>4769.4697302159457</v>
      </c>
    </row>
    <row r="624" spans="1:18" s="1" customFormat="1" ht="11.5" x14ac:dyDescent="0.25">
      <c r="A624" s="1" t="s">
        <v>655</v>
      </c>
      <c r="B624" s="1" t="s">
        <v>1238</v>
      </c>
      <c r="C624" s="1" t="s">
        <v>29</v>
      </c>
      <c r="D624" s="1">
        <v>2</v>
      </c>
      <c r="E624" s="1" t="s">
        <v>25</v>
      </c>
      <c r="F624" s="1" t="s">
        <v>22</v>
      </c>
      <c r="G624" s="1">
        <v>3792</v>
      </c>
      <c r="H624" s="1">
        <v>9508</v>
      </c>
      <c r="I624" s="1">
        <v>169</v>
      </c>
      <c r="J624" s="1">
        <v>180</v>
      </c>
      <c r="K624" s="1">
        <v>0</v>
      </c>
      <c r="L624" s="1" t="s">
        <v>41</v>
      </c>
      <c r="M624" s="1">
        <f>Table1[[#This Row],[ApplicantIncome]]+Table1[[#This Row],[CoapplicantIncome]]</f>
        <v>13300</v>
      </c>
      <c r="N624" s="1" t="s">
        <v>26</v>
      </c>
      <c r="O624" s="1" t="str">
        <f>IF(Table1[[#This Row],[Total_Income]]&lt;3000,"Low",IF(Table1[[#This Row],[Total_Income]]&lt;7000,"Medium","High"))</f>
        <v>High</v>
      </c>
      <c r="P624" s="1" t="str">
        <f t="shared" si="27"/>
        <v>Rejected</v>
      </c>
      <c r="Q624" s="1" t="str">
        <f t="shared" si="28"/>
        <v>High Risk</v>
      </c>
      <c r="R624" s="2">
        <f t="shared" si="29"/>
        <v>1615.0520225182938</v>
      </c>
    </row>
    <row r="625" spans="1:18" s="1" customFormat="1" ht="11.5" x14ac:dyDescent="0.25">
      <c r="A625" s="1" t="s">
        <v>656</v>
      </c>
      <c r="B625" s="1" t="s">
        <v>1238</v>
      </c>
      <c r="C625" s="1" t="s">
        <v>22</v>
      </c>
      <c r="D625" s="1" t="s">
        <v>16</v>
      </c>
      <c r="E625" s="1" t="s">
        <v>25</v>
      </c>
      <c r="F625" s="1" t="s">
        <v>29</v>
      </c>
      <c r="G625" s="1">
        <v>4776</v>
      </c>
      <c r="H625" s="1">
        <v>7535</v>
      </c>
      <c r="I625" s="1">
        <v>452</v>
      </c>
      <c r="J625" s="1">
        <v>360</v>
      </c>
      <c r="K625" s="1">
        <v>0</v>
      </c>
      <c r="L625" s="1" t="s">
        <v>19</v>
      </c>
      <c r="M625" s="1">
        <f>Table1[[#This Row],[ApplicantIncome]]+Table1[[#This Row],[CoapplicantIncome]]</f>
        <v>12311</v>
      </c>
      <c r="N625" s="1" t="s">
        <v>20</v>
      </c>
      <c r="O625" s="1" t="str">
        <f>IF(Table1[[#This Row],[Total_Income]]&lt;3000,"Low",IF(Table1[[#This Row],[Total_Income]]&lt;7000,"Medium","High"))</f>
        <v>High</v>
      </c>
      <c r="P625" s="1" t="str">
        <f t="shared" si="27"/>
        <v>Approved</v>
      </c>
      <c r="Q625" s="1" t="str">
        <f t="shared" si="28"/>
        <v>High Risk</v>
      </c>
      <c r="R625" s="2">
        <f t="shared" si="29"/>
        <v>3316.6158739347807</v>
      </c>
    </row>
    <row r="626" spans="1:18" s="1" customFormat="1" ht="11.5" x14ac:dyDescent="0.25">
      <c r="A626" s="1" t="s">
        <v>657</v>
      </c>
      <c r="B626" s="1" t="s">
        <v>28</v>
      </c>
      <c r="C626" s="1" t="s">
        <v>29</v>
      </c>
      <c r="D626" s="1">
        <v>1</v>
      </c>
      <c r="E626" s="1" t="s">
        <v>25</v>
      </c>
      <c r="F626" s="1" t="s">
        <v>22</v>
      </c>
      <c r="G626" s="1">
        <v>4819</v>
      </c>
      <c r="H626" s="1">
        <v>1894</v>
      </c>
      <c r="I626" s="1">
        <v>648</v>
      </c>
      <c r="J626" s="1">
        <v>120</v>
      </c>
      <c r="K626" s="1">
        <v>0</v>
      </c>
      <c r="L626" s="1" t="s">
        <v>19</v>
      </c>
      <c r="M626" s="1">
        <f>Table1[[#This Row],[ApplicantIncome]]+Table1[[#This Row],[CoapplicantIncome]]</f>
        <v>6713</v>
      </c>
      <c r="N626" s="1" t="s">
        <v>20</v>
      </c>
      <c r="O626" s="1" t="str">
        <f>IF(Table1[[#This Row],[Total_Income]]&lt;3000,"Low",IF(Table1[[#This Row],[Total_Income]]&lt;7000,"Medium","High"))</f>
        <v>Medium</v>
      </c>
      <c r="P626" s="1" t="str">
        <f t="shared" si="27"/>
        <v>Approved</v>
      </c>
      <c r="Q626" s="1" t="str">
        <f t="shared" si="28"/>
        <v>High Risk</v>
      </c>
      <c r="R626" s="2">
        <f t="shared" si="29"/>
        <v>7862.0281142271288</v>
      </c>
    </row>
    <row r="627" spans="1:18" s="1" customFormat="1" ht="11.5" x14ac:dyDescent="0.25">
      <c r="A627" s="1" t="s">
        <v>658</v>
      </c>
      <c r="B627" s="1" t="s">
        <v>52</v>
      </c>
      <c r="C627" s="1" t="s">
        <v>22</v>
      </c>
      <c r="D627" s="1">
        <v>2</v>
      </c>
      <c r="E627" s="1" t="s">
        <v>17</v>
      </c>
      <c r="F627" s="1" t="s">
        <v>22</v>
      </c>
      <c r="G627" s="1">
        <v>19796</v>
      </c>
      <c r="H627" s="1">
        <v>5257</v>
      </c>
      <c r="I627" s="1">
        <v>616</v>
      </c>
      <c r="J627" s="1">
        <v>180</v>
      </c>
      <c r="K627" s="1">
        <v>0</v>
      </c>
      <c r="L627" s="1" t="s">
        <v>19</v>
      </c>
      <c r="M627" s="1">
        <f>Table1[[#This Row],[ApplicantIncome]]+Table1[[#This Row],[CoapplicantIncome]]</f>
        <v>25053</v>
      </c>
      <c r="N627" s="1" t="s">
        <v>26</v>
      </c>
      <c r="O627" s="1" t="str">
        <f>IF(Table1[[#This Row],[Total_Income]]&lt;3000,"Low",IF(Table1[[#This Row],[Total_Income]]&lt;7000,"Medium","High"))</f>
        <v>High</v>
      </c>
      <c r="P627" s="1" t="str">
        <f t="shared" si="27"/>
        <v>Rejected</v>
      </c>
      <c r="Q627" s="1" t="str">
        <f t="shared" si="28"/>
        <v>High Risk</v>
      </c>
      <c r="R627" s="2">
        <f t="shared" si="29"/>
        <v>5886.8168394749646</v>
      </c>
    </row>
    <row r="628" spans="1:18" s="1" customFormat="1" ht="11.5" x14ac:dyDescent="0.25">
      <c r="A628" s="1" t="s">
        <v>659</v>
      </c>
      <c r="B628" s="1" t="s">
        <v>52</v>
      </c>
      <c r="C628" s="1" t="s">
        <v>22</v>
      </c>
      <c r="D628" s="1">
        <v>2</v>
      </c>
      <c r="E628" s="1" t="s">
        <v>17</v>
      </c>
      <c r="F628" s="1" t="s">
        <v>22</v>
      </c>
      <c r="G628" s="1">
        <v>5804</v>
      </c>
      <c r="H628" s="1">
        <v>9474</v>
      </c>
      <c r="I628" s="1">
        <v>640</v>
      </c>
      <c r="J628" s="1">
        <v>360</v>
      </c>
      <c r="K628" s="1">
        <v>0</v>
      </c>
      <c r="L628" s="1" t="s">
        <v>19</v>
      </c>
      <c r="M628" s="1">
        <f>Table1[[#This Row],[ApplicantIncome]]+Table1[[#This Row],[CoapplicantIncome]]</f>
        <v>15278</v>
      </c>
      <c r="N628" s="1" t="s">
        <v>26</v>
      </c>
      <c r="O628" s="1" t="str">
        <f>IF(Table1[[#This Row],[Total_Income]]&lt;3000,"Low",IF(Table1[[#This Row],[Total_Income]]&lt;7000,"Medium","High"))</f>
        <v>High</v>
      </c>
      <c r="P628" s="1" t="str">
        <f t="shared" si="27"/>
        <v>Rejected</v>
      </c>
      <c r="Q628" s="1" t="str">
        <f t="shared" si="28"/>
        <v>High Risk</v>
      </c>
      <c r="R628" s="2">
        <f t="shared" si="29"/>
        <v>4696.0932728280077</v>
      </c>
    </row>
    <row r="629" spans="1:18" s="1" customFormat="1" ht="11.5" x14ac:dyDescent="0.25">
      <c r="A629" s="1" t="s">
        <v>660</v>
      </c>
      <c r="B629" s="1" t="s">
        <v>28</v>
      </c>
      <c r="C629" s="1" t="s">
        <v>22</v>
      </c>
      <c r="D629" s="1">
        <v>2</v>
      </c>
      <c r="E629" s="1" t="s">
        <v>17</v>
      </c>
      <c r="F629" s="1" t="s">
        <v>22</v>
      </c>
      <c r="G629" s="1">
        <v>10721</v>
      </c>
      <c r="H629" s="1">
        <v>1640</v>
      </c>
      <c r="I629" s="1">
        <v>441</v>
      </c>
      <c r="J629" s="1">
        <v>360</v>
      </c>
      <c r="K629" s="1">
        <v>1</v>
      </c>
      <c r="L629" s="1" t="s">
        <v>41</v>
      </c>
      <c r="M629" s="1">
        <f>Table1[[#This Row],[ApplicantIncome]]+Table1[[#This Row],[CoapplicantIncome]]</f>
        <v>12361</v>
      </c>
      <c r="N629" s="1" t="s">
        <v>20</v>
      </c>
      <c r="O629" s="1" t="str">
        <f>IF(Table1[[#This Row],[Total_Income]]&lt;3000,"Low",IF(Table1[[#This Row],[Total_Income]]&lt;7000,"Medium","High"))</f>
        <v>High</v>
      </c>
      <c r="P629" s="1" t="str">
        <f t="shared" si="27"/>
        <v>Approved</v>
      </c>
      <c r="Q629" s="1" t="str">
        <f t="shared" si="28"/>
        <v>Low Risk</v>
      </c>
      <c r="R629" s="2">
        <f t="shared" si="29"/>
        <v>3235.9017708080487</v>
      </c>
    </row>
    <row r="630" spans="1:18" s="1" customFormat="1" ht="11.5" x14ac:dyDescent="0.25">
      <c r="A630" s="1" t="s">
        <v>661</v>
      </c>
      <c r="B630" s="1" t="s">
        <v>1238</v>
      </c>
      <c r="C630" s="1" t="s">
        <v>22</v>
      </c>
      <c r="D630" s="1">
        <v>1</v>
      </c>
      <c r="E630" s="1" t="s">
        <v>17</v>
      </c>
      <c r="F630" s="1" t="s">
        <v>22</v>
      </c>
      <c r="G630" s="1">
        <v>11277</v>
      </c>
      <c r="H630" s="1">
        <v>5535</v>
      </c>
      <c r="I630" s="1">
        <v>364</v>
      </c>
      <c r="J630" s="1">
        <v>180</v>
      </c>
      <c r="K630" s="1">
        <v>0</v>
      </c>
      <c r="L630" s="1" t="s">
        <v>41</v>
      </c>
      <c r="M630" s="1">
        <f>Table1[[#This Row],[ApplicantIncome]]+Table1[[#This Row],[CoapplicantIncome]]</f>
        <v>16812</v>
      </c>
      <c r="N630" s="1" t="s">
        <v>26</v>
      </c>
      <c r="O630" s="1" t="str">
        <f>IF(Table1[[#This Row],[Total_Income]]&lt;3000,"Low",IF(Table1[[#This Row],[Total_Income]]&lt;7000,"Medium","High"))</f>
        <v>High</v>
      </c>
      <c r="P630" s="1" t="str">
        <f t="shared" si="27"/>
        <v>Rejected</v>
      </c>
      <c r="Q630" s="1" t="str">
        <f t="shared" si="28"/>
        <v>High Risk</v>
      </c>
      <c r="R630" s="2">
        <f t="shared" si="29"/>
        <v>3478.5735869624796</v>
      </c>
    </row>
    <row r="631" spans="1:18" s="1" customFormat="1" ht="11.5" x14ac:dyDescent="0.25">
      <c r="A631" s="1" t="s">
        <v>662</v>
      </c>
      <c r="B631" s="1" t="s">
        <v>28</v>
      </c>
      <c r="C631" s="1" t="s">
        <v>22</v>
      </c>
      <c r="D631" s="1">
        <v>0</v>
      </c>
      <c r="E631" s="1" t="s">
        <v>17</v>
      </c>
      <c r="F631" s="1" t="s">
        <v>29</v>
      </c>
      <c r="G631" s="1">
        <v>2700</v>
      </c>
      <c r="H631" s="1">
        <v>1267</v>
      </c>
      <c r="I631" s="1">
        <v>318</v>
      </c>
      <c r="J631" s="1">
        <v>180</v>
      </c>
      <c r="K631" s="1">
        <v>1</v>
      </c>
      <c r="L631" s="1" t="s">
        <v>41</v>
      </c>
      <c r="M631" s="1">
        <f>Table1[[#This Row],[ApplicantIncome]]+Table1[[#This Row],[CoapplicantIncome]]</f>
        <v>3967</v>
      </c>
      <c r="N631" s="1" t="s">
        <v>26</v>
      </c>
      <c r="O631" s="1" t="str">
        <f>IF(Table1[[#This Row],[Total_Income]]&lt;3000,"Low",IF(Table1[[#This Row],[Total_Income]]&lt;7000,"Medium","High"))</f>
        <v>Medium</v>
      </c>
      <c r="P631" s="1" t="str">
        <f t="shared" si="27"/>
        <v>Rejected</v>
      </c>
      <c r="Q631" s="1" t="str">
        <f t="shared" si="28"/>
        <v>Low Risk</v>
      </c>
      <c r="R631" s="2">
        <f t="shared" si="29"/>
        <v>3038.9736281705177</v>
      </c>
    </row>
    <row r="632" spans="1:18" s="1" customFormat="1" ht="11.5" x14ac:dyDescent="0.25">
      <c r="A632" s="1" t="s">
        <v>663</v>
      </c>
      <c r="B632" s="1" t="s">
        <v>52</v>
      </c>
      <c r="C632" s="1" t="s">
        <v>29</v>
      </c>
      <c r="D632" s="1">
        <v>0</v>
      </c>
      <c r="E632" s="1" t="s">
        <v>25</v>
      </c>
      <c r="F632" s="1" t="s">
        <v>22</v>
      </c>
      <c r="G632" s="1">
        <v>4994</v>
      </c>
      <c r="H632" s="1">
        <v>1753</v>
      </c>
      <c r="I632" s="1">
        <v>119</v>
      </c>
      <c r="J632" s="1">
        <v>180</v>
      </c>
      <c r="K632" s="1">
        <v>1</v>
      </c>
      <c r="L632" s="1" t="s">
        <v>41</v>
      </c>
      <c r="M632" s="1">
        <f>Table1[[#This Row],[ApplicantIncome]]+Table1[[#This Row],[CoapplicantIncome]]</f>
        <v>6747</v>
      </c>
      <c r="N632" s="1" t="s">
        <v>20</v>
      </c>
      <c r="O632" s="1" t="str">
        <f>IF(Table1[[#This Row],[Total_Income]]&lt;3000,"Low",IF(Table1[[#This Row],[Total_Income]]&lt;7000,"Medium","High"))</f>
        <v>Medium</v>
      </c>
      <c r="P632" s="1" t="str">
        <f t="shared" si="27"/>
        <v>Approved</v>
      </c>
      <c r="Q632" s="1" t="str">
        <f t="shared" si="28"/>
        <v>Low Risk</v>
      </c>
      <c r="R632" s="2">
        <f t="shared" si="29"/>
        <v>1137.2259803531181</v>
      </c>
    </row>
    <row r="633" spans="1:18" s="1" customFormat="1" ht="11.5" x14ac:dyDescent="0.25">
      <c r="A633" s="1" t="s">
        <v>664</v>
      </c>
      <c r="B633" s="1" t="s">
        <v>1238</v>
      </c>
      <c r="C633" s="1" t="s">
        <v>29</v>
      </c>
      <c r="D633" s="1">
        <v>2</v>
      </c>
      <c r="E633" s="1" t="s">
        <v>25</v>
      </c>
      <c r="F633" s="1" t="s">
        <v>29</v>
      </c>
      <c r="G633" s="1">
        <v>11704</v>
      </c>
      <c r="H633" s="1">
        <v>821</v>
      </c>
      <c r="I633" s="1">
        <v>460</v>
      </c>
      <c r="J633" s="1">
        <v>360</v>
      </c>
      <c r="K633" s="1">
        <v>0</v>
      </c>
      <c r="L633" s="1" t="s">
        <v>30</v>
      </c>
      <c r="M633" s="1">
        <f>Table1[[#This Row],[ApplicantIncome]]+Table1[[#This Row],[CoapplicantIncome]]</f>
        <v>12525</v>
      </c>
      <c r="N633" s="1" t="s">
        <v>26</v>
      </c>
      <c r="O633" s="1" t="str">
        <f>IF(Table1[[#This Row],[Total_Income]]&lt;3000,"Low",IF(Table1[[#This Row],[Total_Income]]&lt;7000,"Medium","High"))</f>
        <v>High</v>
      </c>
      <c r="P633" s="1" t="str">
        <f t="shared" si="27"/>
        <v>Rejected</v>
      </c>
      <c r="Q633" s="1" t="str">
        <f t="shared" si="28"/>
        <v>High Risk</v>
      </c>
      <c r="R633" s="2">
        <f t="shared" si="29"/>
        <v>3375.3170398451307</v>
      </c>
    </row>
    <row r="634" spans="1:18" s="1" customFormat="1" ht="11.5" x14ac:dyDescent="0.25">
      <c r="A634" s="1" t="s">
        <v>665</v>
      </c>
      <c r="B634" s="1" t="s">
        <v>52</v>
      </c>
      <c r="C634" s="1" t="s">
        <v>22</v>
      </c>
      <c r="D634" s="1">
        <v>0</v>
      </c>
      <c r="E634" s="1" t="s">
        <v>17</v>
      </c>
      <c r="F634" s="1" t="s">
        <v>29</v>
      </c>
      <c r="G634" s="1">
        <v>5480</v>
      </c>
      <c r="H634" s="1">
        <v>2233</v>
      </c>
      <c r="I634" s="1">
        <v>528</v>
      </c>
      <c r="J634" s="1">
        <v>360</v>
      </c>
      <c r="K634" s="1">
        <v>1</v>
      </c>
      <c r="L634" s="1" t="s">
        <v>19</v>
      </c>
      <c r="M634" s="1">
        <f>Table1[[#This Row],[ApplicantIncome]]+Table1[[#This Row],[CoapplicantIncome]]</f>
        <v>7713</v>
      </c>
      <c r="N634" s="1" t="s">
        <v>26</v>
      </c>
      <c r="O634" s="1" t="str">
        <f>IF(Table1[[#This Row],[Total_Income]]&lt;3000,"Low",IF(Table1[[#This Row],[Total_Income]]&lt;7000,"Medium","High"))</f>
        <v>High</v>
      </c>
      <c r="P634" s="1" t="str">
        <f t="shared" si="27"/>
        <v>Rejected</v>
      </c>
      <c r="Q634" s="1" t="str">
        <f t="shared" si="28"/>
        <v>Low Risk</v>
      </c>
      <c r="R634" s="2">
        <f t="shared" si="29"/>
        <v>3874.2769500831068</v>
      </c>
    </row>
    <row r="635" spans="1:18" s="1" customFormat="1" ht="11.5" x14ac:dyDescent="0.25">
      <c r="A635" s="1" t="s">
        <v>666</v>
      </c>
      <c r="B635" s="1" t="s">
        <v>28</v>
      </c>
      <c r="C635" s="1" t="s">
        <v>29</v>
      </c>
      <c r="D635" s="1" t="s">
        <v>16</v>
      </c>
      <c r="E635" s="1" t="s">
        <v>25</v>
      </c>
      <c r="F635" s="1" t="s">
        <v>29</v>
      </c>
      <c r="G635" s="1">
        <v>10557</v>
      </c>
      <c r="H635" s="1">
        <v>9419</v>
      </c>
      <c r="I635" s="1">
        <v>156</v>
      </c>
      <c r="J635" s="1">
        <v>360</v>
      </c>
      <c r="K635" s="1">
        <v>0</v>
      </c>
      <c r="L635" s="1" t="s">
        <v>19</v>
      </c>
      <c r="M635" s="1">
        <f>Table1[[#This Row],[ApplicantIncome]]+Table1[[#This Row],[CoapplicantIncome]]</f>
        <v>19976</v>
      </c>
      <c r="N635" s="1" t="s">
        <v>26</v>
      </c>
      <c r="O635" s="1" t="str">
        <f>IF(Table1[[#This Row],[Total_Income]]&lt;3000,"Low",IF(Table1[[#This Row],[Total_Income]]&lt;7000,"Medium","High"))</f>
        <v>High</v>
      </c>
      <c r="P635" s="1" t="str">
        <f t="shared" si="27"/>
        <v>Rejected</v>
      </c>
      <c r="Q635" s="1" t="str">
        <f t="shared" si="28"/>
        <v>High Risk</v>
      </c>
      <c r="R635" s="2">
        <f t="shared" si="29"/>
        <v>1144.6727352518269</v>
      </c>
    </row>
    <row r="636" spans="1:18" s="1" customFormat="1" ht="11.5" x14ac:dyDescent="0.25">
      <c r="A636" s="1" t="s">
        <v>667</v>
      </c>
      <c r="B636" s="1" t="s">
        <v>28</v>
      </c>
      <c r="C636" s="1" t="s">
        <v>22</v>
      </c>
      <c r="D636" s="1">
        <v>0</v>
      </c>
      <c r="E636" s="1" t="s">
        <v>17</v>
      </c>
      <c r="F636" s="1" t="s">
        <v>22</v>
      </c>
      <c r="G636" s="1">
        <v>4159</v>
      </c>
      <c r="H636" s="1">
        <v>7581</v>
      </c>
      <c r="I636" s="1">
        <v>516</v>
      </c>
      <c r="J636" s="1">
        <v>180</v>
      </c>
      <c r="K636" s="1">
        <v>1</v>
      </c>
      <c r="L636" s="1" t="s">
        <v>41</v>
      </c>
      <c r="M636" s="1">
        <f>Table1[[#This Row],[ApplicantIncome]]+Table1[[#This Row],[CoapplicantIncome]]</f>
        <v>11740</v>
      </c>
      <c r="N636" s="1" t="s">
        <v>20</v>
      </c>
      <c r="O636" s="1" t="str">
        <f>IF(Table1[[#This Row],[Total_Income]]&lt;3000,"Low",IF(Table1[[#This Row],[Total_Income]]&lt;7000,"Medium","High"))</f>
        <v>High</v>
      </c>
      <c r="P636" s="1" t="str">
        <f t="shared" si="27"/>
        <v>Approved</v>
      </c>
      <c r="Q636" s="1" t="str">
        <f t="shared" si="28"/>
        <v>Low Risk</v>
      </c>
      <c r="R636" s="2">
        <f t="shared" si="29"/>
        <v>4931.1647551446131</v>
      </c>
    </row>
    <row r="637" spans="1:18" s="1" customFormat="1" ht="11.5" x14ac:dyDescent="0.25">
      <c r="A637" s="1" t="s">
        <v>668</v>
      </c>
      <c r="B637" s="1" t="s">
        <v>52</v>
      </c>
      <c r="C637" s="1" t="s">
        <v>22</v>
      </c>
      <c r="D637" s="1">
        <v>1</v>
      </c>
      <c r="E637" s="1" t="s">
        <v>17</v>
      </c>
      <c r="F637" s="1" t="s">
        <v>22</v>
      </c>
      <c r="G637" s="1">
        <v>12832</v>
      </c>
      <c r="H637" s="1">
        <v>8260</v>
      </c>
      <c r="I637" s="1">
        <v>135</v>
      </c>
      <c r="J637" s="1">
        <v>360</v>
      </c>
      <c r="K637" s="1">
        <v>1</v>
      </c>
      <c r="L637" s="1" t="s">
        <v>30</v>
      </c>
      <c r="M637" s="1">
        <f>Table1[[#This Row],[ApplicantIncome]]+Table1[[#This Row],[CoapplicantIncome]]</f>
        <v>21092</v>
      </c>
      <c r="N637" s="1" t="s">
        <v>26</v>
      </c>
      <c r="O637" s="1" t="str">
        <f>IF(Table1[[#This Row],[Total_Income]]&lt;3000,"Low",IF(Table1[[#This Row],[Total_Income]]&lt;7000,"Medium","High"))</f>
        <v>High</v>
      </c>
      <c r="P637" s="1" t="str">
        <f t="shared" si="27"/>
        <v>Rejected</v>
      </c>
      <c r="Q637" s="1" t="str">
        <f t="shared" si="28"/>
        <v>Low Risk</v>
      </c>
      <c r="R637" s="2">
        <f t="shared" si="29"/>
        <v>990.58217473715786</v>
      </c>
    </row>
    <row r="638" spans="1:18" s="1" customFormat="1" ht="11.5" x14ac:dyDescent="0.25">
      <c r="A638" s="1" t="s">
        <v>669</v>
      </c>
      <c r="B638" s="1" t="s">
        <v>1238</v>
      </c>
      <c r="C638" s="1" t="s">
        <v>22</v>
      </c>
      <c r="D638" s="1" t="s">
        <v>16</v>
      </c>
      <c r="E638" s="1" t="s">
        <v>25</v>
      </c>
      <c r="F638" s="1" t="s">
        <v>29</v>
      </c>
      <c r="G638" s="1">
        <v>4648</v>
      </c>
      <c r="H638" s="1">
        <v>1954</v>
      </c>
      <c r="I638" s="1">
        <v>275</v>
      </c>
      <c r="J638" s="1">
        <v>360</v>
      </c>
      <c r="K638" s="1">
        <v>0</v>
      </c>
      <c r="L638" s="1" t="s">
        <v>41</v>
      </c>
      <c r="M638" s="1">
        <f>Table1[[#This Row],[ApplicantIncome]]+Table1[[#This Row],[CoapplicantIncome]]</f>
        <v>6602</v>
      </c>
      <c r="N638" s="1" t="s">
        <v>26</v>
      </c>
      <c r="O638" s="1" t="str">
        <f>IF(Table1[[#This Row],[Total_Income]]&lt;3000,"Low",IF(Table1[[#This Row],[Total_Income]]&lt;7000,"Medium","High"))</f>
        <v>Medium</v>
      </c>
      <c r="P638" s="1" t="str">
        <f t="shared" si="27"/>
        <v>Rejected</v>
      </c>
      <c r="Q638" s="1" t="str">
        <f t="shared" si="28"/>
        <v>High Risk</v>
      </c>
      <c r="R638" s="2">
        <f t="shared" si="29"/>
        <v>2017.8525781682845</v>
      </c>
    </row>
    <row r="639" spans="1:18" s="1" customFormat="1" ht="11.5" x14ac:dyDescent="0.25">
      <c r="A639" s="1" t="s">
        <v>670</v>
      </c>
      <c r="B639" s="1" t="s">
        <v>28</v>
      </c>
      <c r="C639" s="1" t="s">
        <v>22</v>
      </c>
      <c r="D639" s="1">
        <v>2</v>
      </c>
      <c r="E639" s="1" t="s">
        <v>17</v>
      </c>
      <c r="F639" s="1" t="s">
        <v>22</v>
      </c>
      <c r="G639" s="1">
        <v>5436</v>
      </c>
      <c r="H639" s="1">
        <v>3855</v>
      </c>
      <c r="I639" s="1">
        <v>171</v>
      </c>
      <c r="J639" s="1">
        <v>120</v>
      </c>
      <c r="K639" s="1">
        <v>0</v>
      </c>
      <c r="L639" s="1" t="s">
        <v>41</v>
      </c>
      <c r="M639" s="1">
        <f>Table1[[#This Row],[ApplicantIncome]]+Table1[[#This Row],[CoapplicantIncome]]</f>
        <v>9291</v>
      </c>
      <c r="N639" s="1" t="s">
        <v>26</v>
      </c>
      <c r="O639" s="1" t="str">
        <f>IF(Table1[[#This Row],[Total_Income]]&lt;3000,"Low",IF(Table1[[#This Row],[Total_Income]]&lt;7000,"Medium","High"))</f>
        <v>High</v>
      </c>
      <c r="P639" s="1" t="str">
        <f t="shared" si="27"/>
        <v>Rejected</v>
      </c>
      <c r="Q639" s="1" t="str">
        <f t="shared" si="28"/>
        <v>High Risk</v>
      </c>
      <c r="R639" s="2">
        <f t="shared" si="29"/>
        <v>2074.7018634766036</v>
      </c>
    </row>
    <row r="640" spans="1:18" s="1" customFormat="1" ht="11.5" x14ac:dyDescent="0.25">
      <c r="A640" s="1" t="s">
        <v>671</v>
      </c>
      <c r="B640" s="1" t="s">
        <v>1238</v>
      </c>
      <c r="C640" s="1" t="s">
        <v>22</v>
      </c>
      <c r="D640" s="1">
        <v>1</v>
      </c>
      <c r="E640" s="1" t="s">
        <v>25</v>
      </c>
      <c r="F640" s="1" t="s">
        <v>22</v>
      </c>
      <c r="G640" s="1">
        <v>4966</v>
      </c>
      <c r="H640" s="1">
        <v>7207</v>
      </c>
      <c r="I640" s="1">
        <v>182</v>
      </c>
      <c r="J640" s="1">
        <v>120</v>
      </c>
      <c r="K640" s="1">
        <v>0</v>
      </c>
      <c r="L640" s="1" t="s">
        <v>41</v>
      </c>
      <c r="M640" s="1">
        <f>Table1[[#This Row],[ApplicantIncome]]+Table1[[#This Row],[CoapplicantIncome]]</f>
        <v>12173</v>
      </c>
      <c r="N640" s="1" t="s">
        <v>26</v>
      </c>
      <c r="O640" s="1" t="str">
        <f>IF(Table1[[#This Row],[Total_Income]]&lt;3000,"Low",IF(Table1[[#This Row],[Total_Income]]&lt;7000,"Medium","High"))</f>
        <v>High</v>
      </c>
      <c r="P640" s="1" t="str">
        <f t="shared" si="27"/>
        <v>Rejected</v>
      </c>
      <c r="Q640" s="1" t="str">
        <f t="shared" si="28"/>
        <v>High Risk</v>
      </c>
      <c r="R640" s="2">
        <f t="shared" si="29"/>
        <v>2208.1622172674961</v>
      </c>
    </row>
    <row r="641" spans="1:18" s="1" customFormat="1" ht="11.5" x14ac:dyDescent="0.25">
      <c r="A641" s="1" t="s">
        <v>672</v>
      </c>
      <c r="B641" s="1" t="s">
        <v>28</v>
      </c>
      <c r="C641" s="1" t="s">
        <v>22</v>
      </c>
      <c r="D641" s="1">
        <v>0</v>
      </c>
      <c r="E641" s="1" t="s">
        <v>17</v>
      </c>
      <c r="F641" s="1" t="s">
        <v>22</v>
      </c>
      <c r="G641" s="1">
        <v>7118</v>
      </c>
      <c r="H641" s="1">
        <v>8206</v>
      </c>
      <c r="I641" s="1">
        <v>613</v>
      </c>
      <c r="J641" s="1">
        <v>360</v>
      </c>
      <c r="K641" s="1">
        <v>0</v>
      </c>
      <c r="L641" s="1" t="s">
        <v>30</v>
      </c>
      <c r="M641" s="1">
        <f>Table1[[#This Row],[ApplicantIncome]]+Table1[[#This Row],[CoapplicantIncome]]</f>
        <v>15324</v>
      </c>
      <c r="N641" s="1" t="s">
        <v>26</v>
      </c>
      <c r="O641" s="1" t="str">
        <f>IF(Table1[[#This Row],[Total_Income]]&lt;3000,"Low",IF(Table1[[#This Row],[Total_Income]]&lt;7000,"Medium","High"))</f>
        <v>High</v>
      </c>
      <c r="P641" s="1" t="str">
        <f t="shared" si="27"/>
        <v>Rejected</v>
      </c>
      <c r="Q641" s="1" t="str">
        <f t="shared" si="28"/>
        <v>High Risk</v>
      </c>
      <c r="R641" s="2">
        <f t="shared" si="29"/>
        <v>4497.9768378805757</v>
      </c>
    </row>
    <row r="642" spans="1:18" s="1" customFormat="1" ht="11.5" x14ac:dyDescent="0.25">
      <c r="A642" s="1" t="s">
        <v>673</v>
      </c>
      <c r="B642" s="1" t="s">
        <v>52</v>
      </c>
      <c r="C642" s="1" t="s">
        <v>29</v>
      </c>
      <c r="D642" s="1">
        <v>2</v>
      </c>
      <c r="E642" s="1" t="s">
        <v>17</v>
      </c>
      <c r="F642" s="1" t="s">
        <v>29</v>
      </c>
      <c r="G642" s="1">
        <v>17872</v>
      </c>
      <c r="H642" s="1">
        <v>4904</v>
      </c>
      <c r="I642" s="1">
        <v>472</v>
      </c>
      <c r="J642" s="1">
        <v>360</v>
      </c>
      <c r="K642" s="1">
        <v>0</v>
      </c>
      <c r="L642" s="1" t="s">
        <v>19</v>
      </c>
      <c r="M642" s="1">
        <f>Table1[[#This Row],[ApplicantIncome]]+Table1[[#This Row],[CoapplicantIncome]]</f>
        <v>22776</v>
      </c>
      <c r="N642" s="1" t="s">
        <v>20</v>
      </c>
      <c r="O642" s="1" t="str">
        <f>IF(Table1[[#This Row],[Total_Income]]&lt;3000,"Low",IF(Table1[[#This Row],[Total_Income]]&lt;7000,"Medium","High"))</f>
        <v>High</v>
      </c>
      <c r="P642" s="1" t="str">
        <f t="shared" ref="P642:P705" si="30">IF(N642="Y","Approved","Rejected")</f>
        <v>Approved</v>
      </c>
      <c r="Q642" s="1" t="str">
        <f t="shared" ref="Q642:Q705" si="31">IF(K642=1,"Low Risk","High Risk")</f>
        <v>High Risk</v>
      </c>
      <c r="R642" s="2">
        <f t="shared" ref="R642:R705" si="32">-PMT(8%/12,J642,I642*1000)</f>
        <v>3463.3687887106553</v>
      </c>
    </row>
    <row r="643" spans="1:18" s="1" customFormat="1" ht="11.5" x14ac:dyDescent="0.25">
      <c r="A643" s="1" t="s">
        <v>674</v>
      </c>
      <c r="B643" s="1" t="s">
        <v>28</v>
      </c>
      <c r="C643" s="1" t="s">
        <v>22</v>
      </c>
      <c r="D643" s="1">
        <v>1</v>
      </c>
      <c r="E643" s="1" t="s">
        <v>17</v>
      </c>
      <c r="F643" s="1" t="s">
        <v>22</v>
      </c>
      <c r="G643" s="1">
        <v>10938</v>
      </c>
      <c r="H643" s="1">
        <v>3271</v>
      </c>
      <c r="I643" s="1">
        <v>91</v>
      </c>
      <c r="J643" s="1">
        <v>360</v>
      </c>
      <c r="K643" s="1">
        <v>1</v>
      </c>
      <c r="L643" s="1" t="s">
        <v>41</v>
      </c>
      <c r="M643" s="1">
        <f>Table1[[#This Row],[ApplicantIncome]]+Table1[[#This Row],[CoapplicantIncome]]</f>
        <v>14209</v>
      </c>
      <c r="N643" s="1" t="s">
        <v>26</v>
      </c>
      <c r="O643" s="1" t="str">
        <f>IF(Table1[[#This Row],[Total_Income]]&lt;3000,"Low",IF(Table1[[#This Row],[Total_Income]]&lt;7000,"Medium","High"))</f>
        <v>High</v>
      </c>
      <c r="P643" s="1" t="str">
        <f t="shared" si="30"/>
        <v>Rejected</v>
      </c>
      <c r="Q643" s="1" t="str">
        <f t="shared" si="31"/>
        <v>Low Risk</v>
      </c>
      <c r="R643" s="2">
        <f t="shared" si="32"/>
        <v>667.72576223023225</v>
      </c>
    </row>
    <row r="644" spans="1:18" s="1" customFormat="1" ht="11.5" x14ac:dyDescent="0.25">
      <c r="A644" s="1" t="s">
        <v>675</v>
      </c>
      <c r="B644" s="1" t="s">
        <v>1238</v>
      </c>
      <c r="C644" s="1" t="s">
        <v>22</v>
      </c>
      <c r="D644" s="1">
        <v>0</v>
      </c>
      <c r="E644" s="1" t="s">
        <v>25</v>
      </c>
      <c r="F644" s="1" t="s">
        <v>22</v>
      </c>
      <c r="G644" s="1">
        <v>12429</v>
      </c>
      <c r="H644" s="1">
        <v>2110</v>
      </c>
      <c r="I644" s="1">
        <v>368</v>
      </c>
      <c r="J644" s="1">
        <v>120</v>
      </c>
      <c r="K644" s="1">
        <v>1</v>
      </c>
      <c r="L644" s="1" t="s">
        <v>30</v>
      </c>
      <c r="M644" s="1">
        <f>Table1[[#This Row],[ApplicantIncome]]+Table1[[#This Row],[CoapplicantIncome]]</f>
        <v>14539</v>
      </c>
      <c r="N644" s="1" t="s">
        <v>26</v>
      </c>
      <c r="O644" s="1" t="str">
        <f>IF(Table1[[#This Row],[Total_Income]]&lt;3000,"Low",IF(Table1[[#This Row],[Total_Income]]&lt;7000,"Medium","High"))</f>
        <v>High</v>
      </c>
      <c r="P644" s="1" t="str">
        <f t="shared" si="30"/>
        <v>Rejected</v>
      </c>
      <c r="Q644" s="1" t="str">
        <f t="shared" si="31"/>
        <v>Low Risk</v>
      </c>
      <c r="R644" s="2">
        <f t="shared" si="32"/>
        <v>4464.855472277135</v>
      </c>
    </row>
    <row r="645" spans="1:18" s="1" customFormat="1" ht="11.5" x14ac:dyDescent="0.25">
      <c r="A645" s="1" t="s">
        <v>676</v>
      </c>
      <c r="B645" s="1" t="s">
        <v>28</v>
      </c>
      <c r="C645" s="1" t="s">
        <v>29</v>
      </c>
      <c r="D645" s="1">
        <v>1</v>
      </c>
      <c r="E645" s="1" t="s">
        <v>17</v>
      </c>
      <c r="F645" s="1" t="s">
        <v>22</v>
      </c>
      <c r="G645" s="1">
        <v>10393</v>
      </c>
      <c r="H645" s="1">
        <v>2766</v>
      </c>
      <c r="I645" s="1">
        <v>246</v>
      </c>
      <c r="J645" s="1">
        <v>120</v>
      </c>
      <c r="K645" s="1">
        <v>0</v>
      </c>
      <c r="L645" s="1" t="s">
        <v>41</v>
      </c>
      <c r="M645" s="1">
        <f>Table1[[#This Row],[ApplicantIncome]]+Table1[[#This Row],[CoapplicantIncome]]</f>
        <v>13159</v>
      </c>
      <c r="N645" s="1" t="s">
        <v>26</v>
      </c>
      <c r="O645" s="1" t="str">
        <f>IF(Table1[[#This Row],[Total_Income]]&lt;3000,"Low",IF(Table1[[#This Row],[Total_Income]]&lt;7000,"Medium","High"))</f>
        <v>High</v>
      </c>
      <c r="P645" s="1" t="str">
        <f t="shared" si="30"/>
        <v>Rejected</v>
      </c>
      <c r="Q645" s="1" t="str">
        <f t="shared" si="31"/>
        <v>High Risk</v>
      </c>
      <c r="R645" s="2">
        <f t="shared" si="32"/>
        <v>2984.6588211417807</v>
      </c>
    </row>
    <row r="646" spans="1:18" s="1" customFormat="1" ht="11.5" x14ac:dyDescent="0.25">
      <c r="A646" s="1" t="s">
        <v>677</v>
      </c>
      <c r="B646" s="1" t="s">
        <v>28</v>
      </c>
      <c r="C646" s="1" t="s">
        <v>22</v>
      </c>
      <c r="D646" s="1" t="s">
        <v>16</v>
      </c>
      <c r="E646" s="1" t="s">
        <v>25</v>
      </c>
      <c r="F646" s="1" t="s">
        <v>22</v>
      </c>
      <c r="G646" s="1">
        <v>7336</v>
      </c>
      <c r="H646" s="1">
        <v>3478</v>
      </c>
      <c r="I646" s="1">
        <v>492</v>
      </c>
      <c r="J646" s="1">
        <v>360</v>
      </c>
      <c r="K646" s="1">
        <v>0</v>
      </c>
      <c r="L646" s="1" t="s">
        <v>41</v>
      </c>
      <c r="M646" s="1">
        <f>Table1[[#This Row],[ApplicantIncome]]+Table1[[#This Row],[CoapplicantIncome]]</f>
        <v>10814</v>
      </c>
      <c r="N646" s="1" t="s">
        <v>26</v>
      </c>
      <c r="O646" s="1" t="str">
        <f>IF(Table1[[#This Row],[Total_Income]]&lt;3000,"Low",IF(Table1[[#This Row],[Total_Income]]&lt;7000,"Medium","High"))</f>
        <v>High</v>
      </c>
      <c r="P646" s="1" t="str">
        <f t="shared" si="30"/>
        <v>Rejected</v>
      </c>
      <c r="Q646" s="1" t="str">
        <f t="shared" si="31"/>
        <v>High Risk</v>
      </c>
      <c r="R646" s="2">
        <f t="shared" si="32"/>
        <v>3610.1217034865313</v>
      </c>
    </row>
    <row r="647" spans="1:18" s="1" customFormat="1" ht="11.5" x14ac:dyDescent="0.25">
      <c r="A647" s="1" t="s">
        <v>678</v>
      </c>
      <c r="B647" s="1" t="s">
        <v>28</v>
      </c>
      <c r="C647" s="1" t="s">
        <v>22</v>
      </c>
      <c r="D647" s="1">
        <v>2</v>
      </c>
      <c r="E647" s="1" t="s">
        <v>25</v>
      </c>
      <c r="F647" s="1" t="s">
        <v>22</v>
      </c>
      <c r="G647" s="1">
        <v>9071</v>
      </c>
      <c r="H647" s="1">
        <v>9584</v>
      </c>
      <c r="I647" s="1">
        <v>310</v>
      </c>
      <c r="J647" s="1">
        <v>360</v>
      </c>
      <c r="K647" s="1">
        <v>1</v>
      </c>
      <c r="L647" s="1" t="s">
        <v>41</v>
      </c>
      <c r="M647" s="1">
        <f>Table1[[#This Row],[ApplicantIncome]]+Table1[[#This Row],[CoapplicantIncome]]</f>
        <v>18655</v>
      </c>
      <c r="N647" s="1" t="s">
        <v>20</v>
      </c>
      <c r="O647" s="1" t="str">
        <f>IF(Table1[[#This Row],[Total_Income]]&lt;3000,"Low",IF(Table1[[#This Row],[Total_Income]]&lt;7000,"Medium","High"))</f>
        <v>High</v>
      </c>
      <c r="P647" s="1" t="str">
        <f t="shared" si="30"/>
        <v>Approved</v>
      </c>
      <c r="Q647" s="1" t="str">
        <f t="shared" si="31"/>
        <v>Low Risk</v>
      </c>
      <c r="R647" s="2">
        <f t="shared" si="32"/>
        <v>2274.6701790260663</v>
      </c>
    </row>
    <row r="648" spans="1:18" s="1" customFormat="1" ht="11.5" x14ac:dyDescent="0.25">
      <c r="A648" s="1" t="s">
        <v>679</v>
      </c>
      <c r="B648" s="1" t="s">
        <v>52</v>
      </c>
      <c r="C648" s="1" t="s">
        <v>29</v>
      </c>
      <c r="D648" s="1">
        <v>0</v>
      </c>
      <c r="E648" s="1" t="s">
        <v>25</v>
      </c>
      <c r="F648" s="1" t="s">
        <v>22</v>
      </c>
      <c r="G648" s="1">
        <v>13124</v>
      </c>
      <c r="H648" s="1">
        <v>1932</v>
      </c>
      <c r="I648" s="1">
        <v>321</v>
      </c>
      <c r="J648" s="1">
        <v>120</v>
      </c>
      <c r="K648" s="1">
        <v>1</v>
      </c>
      <c r="L648" s="1" t="s">
        <v>19</v>
      </c>
      <c r="M648" s="1">
        <f>Table1[[#This Row],[ApplicantIncome]]+Table1[[#This Row],[CoapplicantIncome]]</f>
        <v>15056</v>
      </c>
      <c r="N648" s="1" t="s">
        <v>20</v>
      </c>
      <c r="O648" s="1" t="str">
        <f>IF(Table1[[#This Row],[Total_Income]]&lt;3000,"Low",IF(Table1[[#This Row],[Total_Income]]&lt;7000,"Medium","High"))</f>
        <v>High</v>
      </c>
      <c r="P648" s="1" t="str">
        <f t="shared" si="30"/>
        <v>Approved</v>
      </c>
      <c r="Q648" s="1" t="str">
        <f t="shared" si="31"/>
        <v>Low Risk</v>
      </c>
      <c r="R648" s="2">
        <f t="shared" si="32"/>
        <v>3894.6157788069572</v>
      </c>
    </row>
    <row r="649" spans="1:18" s="1" customFormat="1" ht="11.5" x14ac:dyDescent="0.25">
      <c r="A649" s="1" t="s">
        <v>680</v>
      </c>
      <c r="B649" s="1" t="s">
        <v>52</v>
      </c>
      <c r="C649" s="1" t="s">
        <v>29</v>
      </c>
      <c r="D649" s="1">
        <v>1</v>
      </c>
      <c r="E649" s="1" t="s">
        <v>17</v>
      </c>
      <c r="F649" s="1" t="s">
        <v>22</v>
      </c>
      <c r="G649" s="1">
        <v>6423</v>
      </c>
      <c r="H649" s="1">
        <v>6791</v>
      </c>
      <c r="I649" s="1">
        <v>90</v>
      </c>
      <c r="J649" s="1">
        <v>360</v>
      </c>
      <c r="K649" s="1">
        <v>1</v>
      </c>
      <c r="L649" s="1" t="s">
        <v>19</v>
      </c>
      <c r="M649" s="1">
        <f>Table1[[#This Row],[ApplicantIncome]]+Table1[[#This Row],[CoapplicantIncome]]</f>
        <v>13214</v>
      </c>
      <c r="N649" s="1" t="s">
        <v>26</v>
      </c>
      <c r="O649" s="1" t="str">
        <f>IF(Table1[[#This Row],[Total_Income]]&lt;3000,"Low",IF(Table1[[#This Row],[Total_Income]]&lt;7000,"Medium","High"))</f>
        <v>High</v>
      </c>
      <c r="P649" s="1" t="str">
        <f t="shared" si="30"/>
        <v>Rejected</v>
      </c>
      <c r="Q649" s="1" t="str">
        <f t="shared" si="31"/>
        <v>Low Risk</v>
      </c>
      <c r="R649" s="2">
        <f t="shared" si="32"/>
        <v>660.38811649143861</v>
      </c>
    </row>
    <row r="650" spans="1:18" s="1" customFormat="1" ht="11.5" x14ac:dyDescent="0.25">
      <c r="A650" s="1" t="s">
        <v>681</v>
      </c>
      <c r="B650" s="1" t="s">
        <v>1238</v>
      </c>
      <c r="C650" s="1" t="s">
        <v>22</v>
      </c>
      <c r="D650" s="1" t="s">
        <v>16</v>
      </c>
      <c r="E650" s="1" t="s">
        <v>25</v>
      </c>
      <c r="F650" s="1" t="s">
        <v>22</v>
      </c>
      <c r="G650" s="1">
        <v>1550</v>
      </c>
      <c r="H650" s="1">
        <v>9104</v>
      </c>
      <c r="I650" s="1">
        <v>99</v>
      </c>
      <c r="J650" s="1">
        <v>360</v>
      </c>
      <c r="K650" s="1">
        <v>1</v>
      </c>
      <c r="L650" s="1" t="s">
        <v>30</v>
      </c>
      <c r="M650" s="1">
        <f>Table1[[#This Row],[ApplicantIncome]]+Table1[[#This Row],[CoapplicantIncome]]</f>
        <v>10654</v>
      </c>
      <c r="N650" s="1" t="s">
        <v>20</v>
      </c>
      <c r="O650" s="1" t="str">
        <f>IF(Table1[[#This Row],[Total_Income]]&lt;3000,"Low",IF(Table1[[#This Row],[Total_Income]]&lt;7000,"Medium","High"))</f>
        <v>High</v>
      </c>
      <c r="P650" s="1" t="str">
        <f t="shared" si="30"/>
        <v>Approved</v>
      </c>
      <c r="Q650" s="1" t="str">
        <f t="shared" si="31"/>
        <v>Low Risk</v>
      </c>
      <c r="R650" s="2">
        <f t="shared" si="32"/>
        <v>726.42692814058239</v>
      </c>
    </row>
    <row r="651" spans="1:18" s="1" customFormat="1" ht="11.5" x14ac:dyDescent="0.25">
      <c r="A651" s="1" t="s">
        <v>682</v>
      </c>
      <c r="B651" s="1" t="s">
        <v>28</v>
      </c>
      <c r="C651" s="1" t="s">
        <v>22</v>
      </c>
      <c r="D651" s="1">
        <v>1</v>
      </c>
      <c r="E651" s="1" t="s">
        <v>25</v>
      </c>
      <c r="F651" s="1" t="s">
        <v>22</v>
      </c>
      <c r="G651" s="1">
        <v>10620</v>
      </c>
      <c r="H651" s="1">
        <v>6542</v>
      </c>
      <c r="I651" s="1">
        <v>317</v>
      </c>
      <c r="J651" s="1">
        <v>360</v>
      </c>
      <c r="K651" s="1">
        <v>0</v>
      </c>
      <c r="L651" s="1" t="s">
        <v>41</v>
      </c>
      <c r="M651" s="1">
        <f>Table1[[#This Row],[ApplicantIncome]]+Table1[[#This Row],[CoapplicantIncome]]</f>
        <v>17162</v>
      </c>
      <c r="N651" s="1" t="s">
        <v>20</v>
      </c>
      <c r="O651" s="1" t="str">
        <f>IF(Table1[[#This Row],[Total_Income]]&lt;3000,"Low",IF(Table1[[#This Row],[Total_Income]]&lt;7000,"Medium","High"))</f>
        <v>High</v>
      </c>
      <c r="P651" s="1" t="str">
        <f t="shared" si="30"/>
        <v>Approved</v>
      </c>
      <c r="Q651" s="1" t="str">
        <f t="shared" si="31"/>
        <v>High Risk</v>
      </c>
      <c r="R651" s="2">
        <f t="shared" si="32"/>
        <v>2326.0336991976228</v>
      </c>
    </row>
    <row r="652" spans="1:18" s="1" customFormat="1" ht="11.5" x14ac:dyDescent="0.25">
      <c r="A652" s="1" t="s">
        <v>683</v>
      </c>
      <c r="B652" s="1" t="s">
        <v>52</v>
      </c>
      <c r="C652" s="1" t="s">
        <v>22</v>
      </c>
      <c r="D652" s="1">
        <v>2</v>
      </c>
      <c r="E652" s="1" t="s">
        <v>25</v>
      </c>
      <c r="F652" s="1" t="s">
        <v>29</v>
      </c>
      <c r="G652" s="1">
        <v>12179</v>
      </c>
      <c r="H652" s="1">
        <v>8117</v>
      </c>
      <c r="I652" s="1">
        <v>280</v>
      </c>
      <c r="J652" s="1">
        <v>360</v>
      </c>
      <c r="K652" s="1">
        <v>1</v>
      </c>
      <c r="L652" s="1" t="s">
        <v>41</v>
      </c>
      <c r="M652" s="1">
        <f>Table1[[#This Row],[ApplicantIncome]]+Table1[[#This Row],[CoapplicantIncome]]</f>
        <v>20296</v>
      </c>
      <c r="N652" s="1" t="s">
        <v>26</v>
      </c>
      <c r="O652" s="1" t="str">
        <f>IF(Table1[[#This Row],[Total_Income]]&lt;3000,"Low",IF(Table1[[#This Row],[Total_Income]]&lt;7000,"Medium","High"))</f>
        <v>High</v>
      </c>
      <c r="P652" s="1" t="str">
        <f t="shared" si="30"/>
        <v>Rejected</v>
      </c>
      <c r="Q652" s="1" t="str">
        <f t="shared" si="31"/>
        <v>Low Risk</v>
      </c>
      <c r="R652" s="2">
        <f t="shared" si="32"/>
        <v>2054.5408068622532</v>
      </c>
    </row>
    <row r="653" spans="1:18" s="1" customFormat="1" ht="11.5" x14ac:dyDescent="0.25">
      <c r="A653" s="1" t="s">
        <v>684</v>
      </c>
      <c r="B653" s="1" t="s">
        <v>52</v>
      </c>
      <c r="C653" s="1" t="s">
        <v>22</v>
      </c>
      <c r="D653" s="1">
        <v>0</v>
      </c>
      <c r="E653" s="1" t="s">
        <v>17</v>
      </c>
      <c r="F653" s="1" t="s">
        <v>29</v>
      </c>
      <c r="G653" s="1">
        <v>10269</v>
      </c>
      <c r="H653" s="1">
        <v>2411</v>
      </c>
      <c r="I653" s="1">
        <v>136</v>
      </c>
      <c r="J653" s="1">
        <v>120</v>
      </c>
      <c r="K653" s="1">
        <v>1</v>
      </c>
      <c r="L653" s="1" t="s">
        <v>30</v>
      </c>
      <c r="M653" s="1">
        <f>Table1[[#This Row],[ApplicantIncome]]+Table1[[#This Row],[CoapplicantIncome]]</f>
        <v>12680</v>
      </c>
      <c r="N653" s="1" t="s">
        <v>26</v>
      </c>
      <c r="O653" s="1" t="str">
        <f>IF(Table1[[#This Row],[Total_Income]]&lt;3000,"Low",IF(Table1[[#This Row],[Total_Income]]&lt;7000,"Medium","High"))</f>
        <v>High</v>
      </c>
      <c r="P653" s="1" t="str">
        <f t="shared" si="30"/>
        <v>Rejected</v>
      </c>
      <c r="Q653" s="1" t="str">
        <f t="shared" si="31"/>
        <v>Low Risk</v>
      </c>
      <c r="R653" s="2">
        <f t="shared" si="32"/>
        <v>1650.0552832328542</v>
      </c>
    </row>
    <row r="654" spans="1:18" s="1" customFormat="1" ht="11.5" x14ac:dyDescent="0.25">
      <c r="A654" s="1" t="s">
        <v>685</v>
      </c>
      <c r="B654" s="1" t="s">
        <v>1238</v>
      </c>
      <c r="C654" s="1" t="s">
        <v>22</v>
      </c>
      <c r="D654" s="1">
        <v>2</v>
      </c>
      <c r="E654" s="1" t="s">
        <v>25</v>
      </c>
      <c r="F654" s="1" t="s">
        <v>29</v>
      </c>
      <c r="G654" s="1">
        <v>14944</v>
      </c>
      <c r="H654" s="1">
        <v>5645</v>
      </c>
      <c r="I654" s="1">
        <v>585</v>
      </c>
      <c r="J654" s="1">
        <v>180</v>
      </c>
      <c r="K654" s="1">
        <v>0</v>
      </c>
      <c r="L654" s="1" t="s">
        <v>30</v>
      </c>
      <c r="M654" s="1">
        <f>Table1[[#This Row],[ApplicantIncome]]+Table1[[#This Row],[CoapplicantIncome]]</f>
        <v>20589</v>
      </c>
      <c r="N654" s="1" t="s">
        <v>20</v>
      </c>
      <c r="O654" s="1" t="str">
        <f>IF(Table1[[#This Row],[Total_Income]]&lt;3000,"Low",IF(Table1[[#This Row],[Total_Income]]&lt;7000,"Medium","High"))</f>
        <v>High</v>
      </c>
      <c r="P654" s="1" t="str">
        <f t="shared" si="30"/>
        <v>Approved</v>
      </c>
      <c r="Q654" s="1" t="str">
        <f t="shared" si="31"/>
        <v>High Risk</v>
      </c>
      <c r="R654" s="2">
        <f t="shared" si="32"/>
        <v>5590.5646933325561</v>
      </c>
    </row>
    <row r="655" spans="1:18" s="1" customFormat="1" ht="11.5" x14ac:dyDescent="0.25">
      <c r="A655" s="1" t="s">
        <v>686</v>
      </c>
      <c r="B655" s="1" t="s">
        <v>28</v>
      </c>
      <c r="C655" s="1" t="s">
        <v>29</v>
      </c>
      <c r="D655" s="1">
        <v>0</v>
      </c>
      <c r="E655" s="1" t="s">
        <v>17</v>
      </c>
      <c r="F655" s="1" t="s">
        <v>22</v>
      </c>
      <c r="G655" s="1">
        <v>9291</v>
      </c>
      <c r="H655" s="1">
        <v>3740</v>
      </c>
      <c r="I655" s="1">
        <v>55</v>
      </c>
      <c r="J655" s="1">
        <v>360</v>
      </c>
      <c r="K655" s="1">
        <v>0</v>
      </c>
      <c r="L655" s="1" t="s">
        <v>41</v>
      </c>
      <c r="M655" s="1">
        <f>Table1[[#This Row],[ApplicantIncome]]+Table1[[#This Row],[CoapplicantIncome]]</f>
        <v>13031</v>
      </c>
      <c r="N655" s="1" t="s">
        <v>20</v>
      </c>
      <c r="O655" s="1" t="str">
        <f>IF(Table1[[#This Row],[Total_Income]]&lt;3000,"Low",IF(Table1[[#This Row],[Total_Income]]&lt;7000,"Medium","High"))</f>
        <v>High</v>
      </c>
      <c r="P655" s="1" t="str">
        <f t="shared" si="30"/>
        <v>Approved</v>
      </c>
      <c r="Q655" s="1" t="str">
        <f t="shared" si="31"/>
        <v>High Risk</v>
      </c>
      <c r="R655" s="2">
        <f t="shared" si="32"/>
        <v>403.57051563365695</v>
      </c>
    </row>
    <row r="656" spans="1:18" s="1" customFormat="1" ht="11.5" x14ac:dyDescent="0.25">
      <c r="A656" s="1" t="s">
        <v>687</v>
      </c>
      <c r="B656" s="1" t="s">
        <v>52</v>
      </c>
      <c r="C656" s="1" t="s">
        <v>22</v>
      </c>
      <c r="D656" s="1">
        <v>2</v>
      </c>
      <c r="E656" s="1" t="s">
        <v>17</v>
      </c>
      <c r="F656" s="1" t="s">
        <v>22</v>
      </c>
      <c r="G656" s="1">
        <v>11132</v>
      </c>
      <c r="H656" s="1">
        <v>7000</v>
      </c>
      <c r="I656" s="1">
        <v>484</v>
      </c>
      <c r="J656" s="1">
        <v>360</v>
      </c>
      <c r="K656" s="1">
        <v>0</v>
      </c>
      <c r="L656" s="1" t="s">
        <v>30</v>
      </c>
      <c r="M656" s="1">
        <f>Table1[[#This Row],[ApplicantIncome]]+Table1[[#This Row],[CoapplicantIncome]]</f>
        <v>18132</v>
      </c>
      <c r="N656" s="1" t="s">
        <v>20</v>
      </c>
      <c r="O656" s="1" t="str">
        <f>IF(Table1[[#This Row],[Total_Income]]&lt;3000,"Low",IF(Table1[[#This Row],[Total_Income]]&lt;7000,"Medium","High"))</f>
        <v>High</v>
      </c>
      <c r="P656" s="1" t="str">
        <f t="shared" si="30"/>
        <v>Approved</v>
      </c>
      <c r="Q656" s="1" t="str">
        <f t="shared" si="31"/>
        <v>High Risk</v>
      </c>
      <c r="R656" s="2">
        <f t="shared" si="32"/>
        <v>3551.4205375761803</v>
      </c>
    </row>
    <row r="657" spans="1:18" s="1" customFormat="1" ht="11.5" x14ac:dyDescent="0.25">
      <c r="A657" s="1" t="s">
        <v>688</v>
      </c>
      <c r="B657" s="1" t="s">
        <v>1238</v>
      </c>
      <c r="C657" s="1" t="s">
        <v>22</v>
      </c>
      <c r="D657" s="1" t="s">
        <v>16</v>
      </c>
      <c r="E657" s="1" t="s">
        <v>17</v>
      </c>
      <c r="F657" s="1" t="s">
        <v>22</v>
      </c>
      <c r="G657" s="1">
        <v>14842</v>
      </c>
      <c r="H657" s="1">
        <v>6824</v>
      </c>
      <c r="I657" s="1">
        <v>481</v>
      </c>
      <c r="J657" s="1">
        <v>360</v>
      </c>
      <c r="K657" s="1">
        <v>0</v>
      </c>
      <c r="L657" s="1" t="s">
        <v>30</v>
      </c>
      <c r="M657" s="1">
        <f>Table1[[#This Row],[ApplicantIncome]]+Table1[[#This Row],[CoapplicantIncome]]</f>
        <v>21666</v>
      </c>
      <c r="N657" s="1" t="s">
        <v>26</v>
      </c>
      <c r="O657" s="1" t="str">
        <f>IF(Table1[[#This Row],[Total_Income]]&lt;3000,"Low",IF(Table1[[#This Row],[Total_Income]]&lt;7000,"Medium","High"))</f>
        <v>High</v>
      </c>
      <c r="P657" s="1" t="str">
        <f t="shared" si="30"/>
        <v>Rejected</v>
      </c>
      <c r="Q657" s="1" t="str">
        <f t="shared" si="31"/>
        <v>High Risk</v>
      </c>
      <c r="R657" s="2">
        <f t="shared" si="32"/>
        <v>3529.4076003597997</v>
      </c>
    </row>
    <row r="658" spans="1:18" s="1" customFormat="1" ht="11.5" x14ac:dyDescent="0.25">
      <c r="A658" s="1" t="s">
        <v>689</v>
      </c>
      <c r="B658" s="1" t="s">
        <v>28</v>
      </c>
      <c r="C658" s="1" t="s">
        <v>22</v>
      </c>
      <c r="D658" s="1">
        <v>0</v>
      </c>
      <c r="E658" s="1" t="s">
        <v>17</v>
      </c>
      <c r="F658" s="1" t="s">
        <v>29</v>
      </c>
      <c r="G658" s="1">
        <v>16867</v>
      </c>
      <c r="H658" s="1">
        <v>3280</v>
      </c>
      <c r="I658" s="1">
        <v>384</v>
      </c>
      <c r="J658" s="1">
        <v>180</v>
      </c>
      <c r="K658" s="1">
        <v>0</v>
      </c>
      <c r="L658" s="1" t="s">
        <v>19</v>
      </c>
      <c r="M658" s="1">
        <f>Table1[[#This Row],[ApplicantIncome]]+Table1[[#This Row],[CoapplicantIncome]]</f>
        <v>20147</v>
      </c>
      <c r="N658" s="1" t="s">
        <v>20</v>
      </c>
      <c r="O658" s="1" t="str">
        <f>IF(Table1[[#This Row],[Total_Income]]&lt;3000,"Low",IF(Table1[[#This Row],[Total_Income]]&lt;7000,"Medium","High"))</f>
        <v>High</v>
      </c>
      <c r="P658" s="1" t="str">
        <f t="shared" si="30"/>
        <v>Approved</v>
      </c>
      <c r="Q658" s="1" t="str">
        <f t="shared" si="31"/>
        <v>High Risk</v>
      </c>
      <c r="R658" s="2">
        <f t="shared" si="32"/>
        <v>3669.704003828549</v>
      </c>
    </row>
    <row r="659" spans="1:18" s="1" customFormat="1" ht="11.5" x14ac:dyDescent="0.25">
      <c r="A659" s="1" t="s">
        <v>690</v>
      </c>
      <c r="B659" s="1" t="s">
        <v>1238</v>
      </c>
      <c r="C659" s="1" t="s">
        <v>29</v>
      </c>
      <c r="D659" s="1">
        <v>2</v>
      </c>
      <c r="E659" s="1" t="s">
        <v>25</v>
      </c>
      <c r="F659" s="1" t="s">
        <v>29</v>
      </c>
      <c r="G659" s="1">
        <v>6356</v>
      </c>
      <c r="H659" s="1">
        <v>1692</v>
      </c>
      <c r="I659" s="1">
        <v>484</v>
      </c>
      <c r="J659" s="1">
        <v>120</v>
      </c>
      <c r="K659" s="1">
        <v>0</v>
      </c>
      <c r="L659" s="1" t="s">
        <v>30</v>
      </c>
      <c r="M659" s="1">
        <f>Table1[[#This Row],[ApplicantIncome]]+Table1[[#This Row],[CoapplicantIncome]]</f>
        <v>8048</v>
      </c>
      <c r="N659" s="1" t="s">
        <v>26</v>
      </c>
      <c r="O659" s="1" t="str">
        <f>IF(Table1[[#This Row],[Total_Income]]&lt;3000,"Low",IF(Table1[[#This Row],[Total_Income]]&lt;7000,"Medium","High"))</f>
        <v>High</v>
      </c>
      <c r="P659" s="1" t="str">
        <f t="shared" si="30"/>
        <v>Rejected</v>
      </c>
      <c r="Q659" s="1" t="str">
        <f t="shared" si="31"/>
        <v>High Risk</v>
      </c>
      <c r="R659" s="2">
        <f t="shared" si="32"/>
        <v>5872.2555667992756</v>
      </c>
    </row>
    <row r="660" spans="1:18" s="1" customFormat="1" ht="11.5" x14ac:dyDescent="0.25">
      <c r="A660" s="1" t="s">
        <v>691</v>
      </c>
      <c r="B660" s="1" t="s">
        <v>28</v>
      </c>
      <c r="C660" s="1" t="s">
        <v>22</v>
      </c>
      <c r="D660" s="1" t="s">
        <v>16</v>
      </c>
      <c r="E660" s="1" t="s">
        <v>25</v>
      </c>
      <c r="F660" s="1" t="s">
        <v>22</v>
      </c>
      <c r="G660" s="1">
        <v>1652</v>
      </c>
      <c r="H660" s="1">
        <v>1429</v>
      </c>
      <c r="I660" s="1">
        <v>172</v>
      </c>
      <c r="J660" s="1">
        <v>360</v>
      </c>
      <c r="K660" s="1">
        <v>0</v>
      </c>
      <c r="L660" s="1" t="s">
        <v>19</v>
      </c>
      <c r="M660" s="1">
        <f>Table1[[#This Row],[ApplicantIncome]]+Table1[[#This Row],[CoapplicantIncome]]</f>
        <v>3081</v>
      </c>
      <c r="N660" s="1" t="s">
        <v>26</v>
      </c>
      <c r="O660" s="1" t="str">
        <f>IF(Table1[[#This Row],[Total_Income]]&lt;3000,"Low",IF(Table1[[#This Row],[Total_Income]]&lt;7000,"Medium","High"))</f>
        <v>Medium</v>
      </c>
      <c r="P660" s="1" t="str">
        <f t="shared" si="30"/>
        <v>Rejected</v>
      </c>
      <c r="Q660" s="1" t="str">
        <f t="shared" si="31"/>
        <v>High Risk</v>
      </c>
      <c r="R660" s="2">
        <f t="shared" si="32"/>
        <v>1262.0750670725272</v>
      </c>
    </row>
    <row r="661" spans="1:18" s="1" customFormat="1" ht="11.5" x14ac:dyDescent="0.25">
      <c r="A661" s="1" t="s">
        <v>692</v>
      </c>
      <c r="B661" s="1" t="s">
        <v>1238</v>
      </c>
      <c r="C661" s="1" t="s">
        <v>22</v>
      </c>
      <c r="D661" s="1">
        <v>2</v>
      </c>
      <c r="E661" s="1" t="s">
        <v>25</v>
      </c>
      <c r="F661" s="1" t="s">
        <v>22</v>
      </c>
      <c r="G661" s="1">
        <v>10448</v>
      </c>
      <c r="H661" s="1">
        <v>8980</v>
      </c>
      <c r="I661" s="1">
        <v>663</v>
      </c>
      <c r="J661" s="1">
        <v>120</v>
      </c>
      <c r="K661" s="1">
        <v>0</v>
      </c>
      <c r="L661" s="1" t="s">
        <v>19</v>
      </c>
      <c r="M661" s="1">
        <f>Table1[[#This Row],[ApplicantIncome]]+Table1[[#This Row],[CoapplicantIncome]]</f>
        <v>19428</v>
      </c>
      <c r="N661" s="1" t="s">
        <v>26</v>
      </c>
      <c r="O661" s="1" t="str">
        <f>IF(Table1[[#This Row],[Total_Income]]&lt;3000,"Low",IF(Table1[[#This Row],[Total_Income]]&lt;7000,"Medium","High"))</f>
        <v>High</v>
      </c>
      <c r="P661" s="1" t="str">
        <f t="shared" si="30"/>
        <v>Rejected</v>
      </c>
      <c r="Q661" s="1" t="str">
        <f t="shared" si="31"/>
        <v>High Risk</v>
      </c>
      <c r="R661" s="2">
        <f t="shared" si="32"/>
        <v>8044.0195057601641</v>
      </c>
    </row>
    <row r="662" spans="1:18" s="1" customFormat="1" ht="11.5" x14ac:dyDescent="0.25">
      <c r="A662" s="1" t="s">
        <v>693</v>
      </c>
      <c r="B662" s="1" t="s">
        <v>28</v>
      </c>
      <c r="C662" s="1" t="s">
        <v>29</v>
      </c>
      <c r="D662" s="1">
        <v>0</v>
      </c>
      <c r="E662" s="1" t="s">
        <v>25</v>
      </c>
      <c r="F662" s="1" t="s">
        <v>29</v>
      </c>
      <c r="G662" s="1">
        <v>15685</v>
      </c>
      <c r="H662" s="1">
        <v>9992</v>
      </c>
      <c r="I662" s="1">
        <v>414</v>
      </c>
      <c r="J662" s="1">
        <v>180</v>
      </c>
      <c r="K662" s="1">
        <v>0</v>
      </c>
      <c r="L662" s="1" t="s">
        <v>19</v>
      </c>
      <c r="M662" s="1">
        <f>Table1[[#This Row],[ApplicantIncome]]+Table1[[#This Row],[CoapplicantIncome]]</f>
        <v>25677</v>
      </c>
      <c r="N662" s="1" t="s">
        <v>20</v>
      </c>
      <c r="O662" s="1" t="str">
        <f>IF(Table1[[#This Row],[Total_Income]]&lt;3000,"Low",IF(Table1[[#This Row],[Total_Income]]&lt;7000,"Medium","High"))</f>
        <v>High</v>
      </c>
      <c r="P662" s="1" t="str">
        <f t="shared" si="30"/>
        <v>Approved</v>
      </c>
      <c r="Q662" s="1" t="str">
        <f t="shared" si="31"/>
        <v>High Risk</v>
      </c>
      <c r="R662" s="2">
        <f t="shared" si="32"/>
        <v>3956.3996291276553</v>
      </c>
    </row>
    <row r="663" spans="1:18" s="1" customFormat="1" ht="11.5" x14ac:dyDescent="0.25">
      <c r="A663" s="1" t="s">
        <v>694</v>
      </c>
      <c r="B663" s="1" t="s">
        <v>1238</v>
      </c>
      <c r="C663" s="1" t="s">
        <v>22</v>
      </c>
      <c r="D663" s="1">
        <v>0</v>
      </c>
      <c r="E663" s="1" t="s">
        <v>17</v>
      </c>
      <c r="F663" s="1" t="s">
        <v>29</v>
      </c>
      <c r="G663" s="1">
        <v>3040</v>
      </c>
      <c r="H663" s="1">
        <v>8635</v>
      </c>
      <c r="I663" s="1">
        <v>475</v>
      </c>
      <c r="J663" s="1">
        <v>360</v>
      </c>
      <c r="K663" s="1">
        <v>1</v>
      </c>
      <c r="L663" s="1" t="s">
        <v>30</v>
      </c>
      <c r="M663" s="1">
        <f>Table1[[#This Row],[ApplicantIncome]]+Table1[[#This Row],[CoapplicantIncome]]</f>
        <v>11675</v>
      </c>
      <c r="N663" s="1" t="s">
        <v>26</v>
      </c>
      <c r="O663" s="1" t="str">
        <f>IF(Table1[[#This Row],[Total_Income]]&lt;3000,"Low",IF(Table1[[#This Row],[Total_Income]]&lt;7000,"Medium","High"))</f>
        <v>High</v>
      </c>
      <c r="P663" s="1" t="str">
        <f t="shared" si="30"/>
        <v>Rejected</v>
      </c>
      <c r="Q663" s="1" t="str">
        <f t="shared" si="31"/>
        <v>Low Risk</v>
      </c>
      <c r="R663" s="2">
        <f t="shared" si="32"/>
        <v>3485.3817259270372</v>
      </c>
    </row>
    <row r="664" spans="1:18" s="1" customFormat="1" ht="11.5" x14ac:dyDescent="0.25">
      <c r="A664" s="1" t="s">
        <v>695</v>
      </c>
      <c r="B664" s="1" t="s">
        <v>28</v>
      </c>
      <c r="C664" s="1" t="s">
        <v>22</v>
      </c>
      <c r="D664" s="1">
        <v>1</v>
      </c>
      <c r="E664" s="1" t="s">
        <v>17</v>
      </c>
      <c r="F664" s="1" t="s">
        <v>22</v>
      </c>
      <c r="G664" s="1">
        <v>12896</v>
      </c>
      <c r="H664" s="1">
        <v>5200</v>
      </c>
      <c r="I664" s="1">
        <v>208</v>
      </c>
      <c r="J664" s="1">
        <v>360</v>
      </c>
      <c r="K664" s="1">
        <v>0</v>
      </c>
      <c r="L664" s="1" t="s">
        <v>41</v>
      </c>
      <c r="M664" s="1">
        <f>Table1[[#This Row],[ApplicantIncome]]+Table1[[#This Row],[CoapplicantIncome]]</f>
        <v>18096</v>
      </c>
      <c r="N664" s="1" t="s">
        <v>20</v>
      </c>
      <c r="O664" s="1" t="str">
        <f>IF(Table1[[#This Row],[Total_Income]]&lt;3000,"Low",IF(Table1[[#This Row],[Total_Income]]&lt;7000,"Medium","High"))</f>
        <v>High</v>
      </c>
      <c r="P664" s="1" t="str">
        <f t="shared" si="30"/>
        <v>Approved</v>
      </c>
      <c r="Q664" s="1" t="str">
        <f t="shared" si="31"/>
        <v>High Risk</v>
      </c>
      <c r="R664" s="2">
        <f t="shared" si="32"/>
        <v>1526.2303136691025</v>
      </c>
    </row>
    <row r="665" spans="1:18" s="1" customFormat="1" ht="11.5" x14ac:dyDescent="0.25">
      <c r="A665" s="1" t="s">
        <v>696</v>
      </c>
      <c r="B665" s="1" t="s">
        <v>1238</v>
      </c>
      <c r="C665" s="1" t="s">
        <v>22</v>
      </c>
      <c r="D665" s="1">
        <v>0</v>
      </c>
      <c r="E665" s="1" t="s">
        <v>25</v>
      </c>
      <c r="F665" s="1" t="s">
        <v>29</v>
      </c>
      <c r="G665" s="1">
        <v>10185</v>
      </c>
      <c r="H665" s="1">
        <v>8311</v>
      </c>
      <c r="I665" s="1">
        <v>416</v>
      </c>
      <c r="J665" s="1">
        <v>120</v>
      </c>
      <c r="K665" s="1">
        <v>0</v>
      </c>
      <c r="L665" s="1" t="s">
        <v>19</v>
      </c>
      <c r="M665" s="1">
        <f>Table1[[#This Row],[ApplicantIncome]]+Table1[[#This Row],[CoapplicantIncome]]</f>
        <v>18496</v>
      </c>
      <c r="N665" s="1" t="s">
        <v>20</v>
      </c>
      <c r="O665" s="1" t="str">
        <f>IF(Table1[[#This Row],[Total_Income]]&lt;3000,"Low",IF(Table1[[#This Row],[Total_Income]]&lt;7000,"Medium","High"))</f>
        <v>High</v>
      </c>
      <c r="P665" s="1" t="str">
        <f t="shared" si="30"/>
        <v>Approved</v>
      </c>
      <c r="Q665" s="1" t="str">
        <f t="shared" si="31"/>
        <v>High Risk</v>
      </c>
      <c r="R665" s="2">
        <f t="shared" si="32"/>
        <v>5047.2279251828486</v>
      </c>
    </row>
    <row r="666" spans="1:18" s="1" customFormat="1" ht="11.5" x14ac:dyDescent="0.25">
      <c r="A666" s="1" t="s">
        <v>697</v>
      </c>
      <c r="B666" s="1" t="s">
        <v>1238</v>
      </c>
      <c r="C666" s="1" t="s">
        <v>29</v>
      </c>
      <c r="D666" s="1">
        <v>0</v>
      </c>
      <c r="E666" s="1" t="s">
        <v>25</v>
      </c>
      <c r="F666" s="1" t="s">
        <v>22</v>
      </c>
      <c r="G666" s="1">
        <v>6566</v>
      </c>
      <c r="H666" s="1">
        <v>8636</v>
      </c>
      <c r="I666" s="1">
        <v>461</v>
      </c>
      <c r="J666" s="1">
        <v>180</v>
      </c>
      <c r="K666" s="1">
        <v>1</v>
      </c>
      <c r="L666" s="1" t="s">
        <v>30</v>
      </c>
      <c r="M666" s="1">
        <f>Table1[[#This Row],[ApplicantIncome]]+Table1[[#This Row],[CoapplicantIncome]]</f>
        <v>15202</v>
      </c>
      <c r="N666" s="1" t="s">
        <v>20</v>
      </c>
      <c r="O666" s="1" t="str">
        <f>IF(Table1[[#This Row],[Total_Income]]&lt;3000,"Low",IF(Table1[[#This Row],[Total_Income]]&lt;7000,"Medium","High"))</f>
        <v>High</v>
      </c>
      <c r="P666" s="1" t="str">
        <f t="shared" si="30"/>
        <v>Approved</v>
      </c>
      <c r="Q666" s="1" t="str">
        <f t="shared" si="31"/>
        <v>Low Risk</v>
      </c>
      <c r="R666" s="2">
        <f t="shared" si="32"/>
        <v>4405.5561087629203</v>
      </c>
    </row>
    <row r="667" spans="1:18" s="1" customFormat="1" ht="11.5" x14ac:dyDescent="0.25">
      <c r="A667" s="1" t="s">
        <v>698</v>
      </c>
      <c r="B667" s="1" t="s">
        <v>28</v>
      </c>
      <c r="C667" s="1" t="s">
        <v>29</v>
      </c>
      <c r="D667" s="1" t="s">
        <v>16</v>
      </c>
      <c r="E667" s="1" t="s">
        <v>17</v>
      </c>
      <c r="F667" s="1" t="s">
        <v>29</v>
      </c>
      <c r="G667" s="1">
        <v>9053</v>
      </c>
      <c r="H667" s="1">
        <v>7805</v>
      </c>
      <c r="I667" s="1">
        <v>328</v>
      </c>
      <c r="J667" s="1">
        <v>180</v>
      </c>
      <c r="K667" s="1">
        <v>0</v>
      </c>
      <c r="L667" s="1" t="s">
        <v>41</v>
      </c>
      <c r="M667" s="1">
        <f>Table1[[#This Row],[ApplicantIncome]]+Table1[[#This Row],[CoapplicantIncome]]</f>
        <v>16858</v>
      </c>
      <c r="N667" s="1" t="s">
        <v>20</v>
      </c>
      <c r="O667" s="1" t="str">
        <f>IF(Table1[[#This Row],[Total_Income]]&lt;3000,"Low",IF(Table1[[#This Row],[Total_Income]]&lt;7000,"Medium","High"))</f>
        <v>High</v>
      </c>
      <c r="P667" s="1" t="str">
        <f t="shared" si="30"/>
        <v>Approved</v>
      </c>
      <c r="Q667" s="1" t="str">
        <f t="shared" si="31"/>
        <v>High Risk</v>
      </c>
      <c r="R667" s="2">
        <f t="shared" si="32"/>
        <v>3134.5388366035531</v>
      </c>
    </row>
    <row r="668" spans="1:18" s="1" customFormat="1" ht="11.5" x14ac:dyDescent="0.25">
      <c r="A668" s="1" t="s">
        <v>699</v>
      </c>
      <c r="B668" s="1" t="s">
        <v>28</v>
      </c>
      <c r="C668" s="1" t="s">
        <v>29</v>
      </c>
      <c r="D668" s="1">
        <v>2</v>
      </c>
      <c r="E668" s="1" t="s">
        <v>17</v>
      </c>
      <c r="F668" s="1" t="s">
        <v>29</v>
      </c>
      <c r="G668" s="1">
        <v>10124</v>
      </c>
      <c r="H668" s="1">
        <v>9688</v>
      </c>
      <c r="I668" s="1">
        <v>196</v>
      </c>
      <c r="J668" s="1">
        <v>120</v>
      </c>
      <c r="K668" s="1">
        <v>0</v>
      </c>
      <c r="L668" s="1" t="s">
        <v>19</v>
      </c>
      <c r="M668" s="1">
        <f>Table1[[#This Row],[ApplicantIncome]]+Table1[[#This Row],[CoapplicantIncome]]</f>
        <v>19812</v>
      </c>
      <c r="N668" s="1" t="s">
        <v>26</v>
      </c>
      <c r="O668" s="1" t="str">
        <f>IF(Table1[[#This Row],[Total_Income]]&lt;3000,"Low",IF(Table1[[#This Row],[Total_Income]]&lt;7000,"Medium","High"))</f>
        <v>High</v>
      </c>
      <c r="P668" s="1" t="str">
        <f t="shared" si="30"/>
        <v>Rejected</v>
      </c>
      <c r="Q668" s="1" t="str">
        <f t="shared" si="31"/>
        <v>High Risk</v>
      </c>
      <c r="R668" s="2">
        <f t="shared" si="32"/>
        <v>2378.0208493649957</v>
      </c>
    </row>
    <row r="669" spans="1:18" s="1" customFormat="1" ht="11.5" x14ac:dyDescent="0.25">
      <c r="A669" s="1" t="s">
        <v>700</v>
      </c>
      <c r="B669" s="1" t="s">
        <v>52</v>
      </c>
      <c r="C669" s="1" t="s">
        <v>29</v>
      </c>
      <c r="D669" s="1">
        <v>2</v>
      </c>
      <c r="E669" s="1" t="s">
        <v>25</v>
      </c>
      <c r="F669" s="1" t="s">
        <v>29</v>
      </c>
      <c r="G669" s="1">
        <v>17968</v>
      </c>
      <c r="H669" s="1">
        <v>658</v>
      </c>
      <c r="I669" s="1">
        <v>556</v>
      </c>
      <c r="J669" s="1">
        <v>360</v>
      </c>
      <c r="K669" s="1">
        <v>1</v>
      </c>
      <c r="L669" s="1" t="s">
        <v>30</v>
      </c>
      <c r="M669" s="1">
        <f>Table1[[#This Row],[ApplicantIncome]]+Table1[[#This Row],[CoapplicantIncome]]</f>
        <v>18626</v>
      </c>
      <c r="N669" s="1" t="s">
        <v>20</v>
      </c>
      <c r="O669" s="1" t="str">
        <f>IF(Table1[[#This Row],[Total_Income]]&lt;3000,"Low",IF(Table1[[#This Row],[Total_Income]]&lt;7000,"Medium","High"))</f>
        <v>High</v>
      </c>
      <c r="P669" s="1" t="str">
        <f t="shared" si="30"/>
        <v>Approved</v>
      </c>
      <c r="Q669" s="1" t="str">
        <f t="shared" si="31"/>
        <v>Low Risk</v>
      </c>
      <c r="R669" s="2">
        <f t="shared" si="32"/>
        <v>4079.7310307693315</v>
      </c>
    </row>
    <row r="670" spans="1:18" s="1" customFormat="1" ht="11.5" x14ac:dyDescent="0.25">
      <c r="A670" s="1" t="s">
        <v>701</v>
      </c>
      <c r="B670" s="1" t="s">
        <v>1238</v>
      </c>
      <c r="C670" s="1" t="s">
        <v>22</v>
      </c>
      <c r="D670" s="1">
        <v>0</v>
      </c>
      <c r="E670" s="1" t="s">
        <v>17</v>
      </c>
      <c r="F670" s="1" t="s">
        <v>29</v>
      </c>
      <c r="G670" s="1">
        <v>19099</v>
      </c>
      <c r="H670" s="1">
        <v>4126</v>
      </c>
      <c r="I670" s="1">
        <v>170</v>
      </c>
      <c r="J670" s="1">
        <v>180</v>
      </c>
      <c r="K670" s="1">
        <v>1</v>
      </c>
      <c r="L670" s="1" t="s">
        <v>19</v>
      </c>
      <c r="M670" s="1">
        <f>Table1[[#This Row],[ApplicantIncome]]+Table1[[#This Row],[CoapplicantIncome]]</f>
        <v>23225</v>
      </c>
      <c r="N670" s="1" t="s">
        <v>20</v>
      </c>
      <c r="O670" s="1" t="str">
        <f>IF(Table1[[#This Row],[Total_Income]]&lt;3000,"Low",IF(Table1[[#This Row],[Total_Income]]&lt;7000,"Medium","High"))</f>
        <v>High</v>
      </c>
      <c r="P670" s="1" t="str">
        <f t="shared" si="30"/>
        <v>Approved</v>
      </c>
      <c r="Q670" s="1" t="str">
        <f t="shared" si="31"/>
        <v>Low Risk</v>
      </c>
      <c r="R670" s="2">
        <f t="shared" si="32"/>
        <v>1624.6085433615974</v>
      </c>
    </row>
    <row r="671" spans="1:18" s="1" customFormat="1" ht="11.5" x14ac:dyDescent="0.25">
      <c r="A671" s="1" t="s">
        <v>702</v>
      </c>
      <c r="B671" s="1" t="s">
        <v>28</v>
      </c>
      <c r="C671" s="1" t="s">
        <v>22</v>
      </c>
      <c r="D671" s="1">
        <v>2</v>
      </c>
      <c r="E671" s="1" t="s">
        <v>17</v>
      </c>
      <c r="F671" s="1" t="s">
        <v>22</v>
      </c>
      <c r="G671" s="1">
        <v>15462</v>
      </c>
      <c r="H671" s="1">
        <v>926</v>
      </c>
      <c r="I671" s="1">
        <v>297</v>
      </c>
      <c r="J671" s="1">
        <v>180</v>
      </c>
      <c r="K671" s="1">
        <v>1</v>
      </c>
      <c r="L671" s="1" t="s">
        <v>19</v>
      </c>
      <c r="M671" s="1">
        <f>Table1[[#This Row],[ApplicantIncome]]+Table1[[#This Row],[CoapplicantIncome]]</f>
        <v>16388</v>
      </c>
      <c r="N671" s="1" t="s">
        <v>20</v>
      </c>
      <c r="O671" s="1" t="str">
        <f>IF(Table1[[#This Row],[Total_Income]]&lt;3000,"Low",IF(Table1[[#This Row],[Total_Income]]&lt;7000,"Medium","High"))</f>
        <v>High</v>
      </c>
      <c r="P671" s="1" t="str">
        <f t="shared" si="30"/>
        <v>Approved</v>
      </c>
      <c r="Q671" s="1" t="str">
        <f t="shared" si="31"/>
        <v>Low Risk</v>
      </c>
      <c r="R671" s="2">
        <f t="shared" si="32"/>
        <v>2838.2866904611437</v>
      </c>
    </row>
    <row r="672" spans="1:18" s="1" customFormat="1" ht="11.5" x14ac:dyDescent="0.25">
      <c r="A672" s="1" t="s">
        <v>703</v>
      </c>
      <c r="B672" s="1" t="s">
        <v>1238</v>
      </c>
      <c r="C672" s="1" t="s">
        <v>22</v>
      </c>
      <c r="D672" s="1">
        <v>0</v>
      </c>
      <c r="E672" s="1" t="s">
        <v>17</v>
      </c>
      <c r="F672" s="1" t="s">
        <v>22</v>
      </c>
      <c r="G672" s="1">
        <v>6724</v>
      </c>
      <c r="H672" s="1">
        <v>9432</v>
      </c>
      <c r="I672" s="1">
        <v>187</v>
      </c>
      <c r="J672" s="1">
        <v>360</v>
      </c>
      <c r="K672" s="1">
        <v>0</v>
      </c>
      <c r="L672" s="1" t="s">
        <v>19</v>
      </c>
      <c r="M672" s="1">
        <f>Table1[[#This Row],[ApplicantIncome]]+Table1[[#This Row],[CoapplicantIncome]]</f>
        <v>16156</v>
      </c>
      <c r="N672" s="1" t="s">
        <v>20</v>
      </c>
      <c r="O672" s="1" t="str">
        <f>IF(Table1[[#This Row],[Total_Income]]&lt;3000,"Low",IF(Table1[[#This Row],[Total_Income]]&lt;7000,"Medium","High"))</f>
        <v>High</v>
      </c>
      <c r="P672" s="1" t="str">
        <f t="shared" si="30"/>
        <v>Approved</v>
      </c>
      <c r="Q672" s="1" t="str">
        <f t="shared" si="31"/>
        <v>High Risk</v>
      </c>
      <c r="R672" s="2">
        <f t="shared" si="32"/>
        <v>1372.1397531544335</v>
      </c>
    </row>
    <row r="673" spans="1:18" s="1" customFormat="1" ht="11.5" x14ac:dyDescent="0.25">
      <c r="A673" s="1" t="s">
        <v>704</v>
      </c>
      <c r="B673" s="1" t="s">
        <v>28</v>
      </c>
      <c r="C673" s="1" t="s">
        <v>22</v>
      </c>
      <c r="D673" s="1" t="s">
        <v>16</v>
      </c>
      <c r="E673" s="1" t="s">
        <v>25</v>
      </c>
      <c r="F673" s="1" t="s">
        <v>22</v>
      </c>
      <c r="G673" s="1">
        <v>16042</v>
      </c>
      <c r="H673" s="1">
        <v>8133</v>
      </c>
      <c r="I673" s="1">
        <v>607</v>
      </c>
      <c r="J673" s="1">
        <v>360</v>
      </c>
      <c r="K673" s="1">
        <v>1</v>
      </c>
      <c r="L673" s="1" t="s">
        <v>30</v>
      </c>
      <c r="M673" s="1">
        <f>Table1[[#This Row],[ApplicantIncome]]+Table1[[#This Row],[CoapplicantIncome]]</f>
        <v>24175</v>
      </c>
      <c r="N673" s="1" t="s">
        <v>26</v>
      </c>
      <c r="O673" s="1" t="str">
        <f>IF(Table1[[#This Row],[Total_Income]]&lt;3000,"Low",IF(Table1[[#This Row],[Total_Income]]&lt;7000,"Medium","High"))</f>
        <v>High</v>
      </c>
      <c r="P673" s="1" t="str">
        <f t="shared" si="30"/>
        <v>Rejected</v>
      </c>
      <c r="Q673" s="1" t="str">
        <f t="shared" si="31"/>
        <v>Low Risk</v>
      </c>
      <c r="R673" s="2">
        <f t="shared" si="32"/>
        <v>4453.9509634478136</v>
      </c>
    </row>
    <row r="674" spans="1:18" s="1" customFormat="1" ht="11.5" x14ac:dyDescent="0.25">
      <c r="A674" s="1" t="s">
        <v>705</v>
      </c>
      <c r="B674" s="1" t="s">
        <v>28</v>
      </c>
      <c r="C674" s="1" t="s">
        <v>22</v>
      </c>
      <c r="D674" s="1">
        <v>2</v>
      </c>
      <c r="E674" s="1" t="s">
        <v>25</v>
      </c>
      <c r="F674" s="1" t="s">
        <v>22</v>
      </c>
      <c r="G674" s="1">
        <v>19480</v>
      </c>
      <c r="H674" s="1">
        <v>2790</v>
      </c>
      <c r="I674" s="1">
        <v>66</v>
      </c>
      <c r="J674" s="1">
        <v>360</v>
      </c>
      <c r="K674" s="1">
        <v>1</v>
      </c>
      <c r="L674" s="1" t="s">
        <v>41</v>
      </c>
      <c r="M674" s="1">
        <f>Table1[[#This Row],[ApplicantIncome]]+Table1[[#This Row],[CoapplicantIncome]]</f>
        <v>22270</v>
      </c>
      <c r="N674" s="1" t="s">
        <v>20</v>
      </c>
      <c r="O674" s="1" t="str">
        <f>IF(Table1[[#This Row],[Total_Income]]&lt;3000,"Low",IF(Table1[[#This Row],[Total_Income]]&lt;7000,"Medium","High"))</f>
        <v>High</v>
      </c>
      <c r="P674" s="1" t="str">
        <f t="shared" si="30"/>
        <v>Approved</v>
      </c>
      <c r="Q674" s="1" t="str">
        <f t="shared" si="31"/>
        <v>Low Risk</v>
      </c>
      <c r="R674" s="2">
        <f t="shared" si="32"/>
        <v>484.28461876038835</v>
      </c>
    </row>
    <row r="675" spans="1:18" s="1" customFormat="1" ht="11.5" x14ac:dyDescent="0.25">
      <c r="A675" s="1" t="s">
        <v>706</v>
      </c>
      <c r="B675" s="1" t="s">
        <v>28</v>
      </c>
      <c r="C675" s="1" t="s">
        <v>29</v>
      </c>
      <c r="D675" s="1">
        <v>1</v>
      </c>
      <c r="E675" s="1" t="s">
        <v>17</v>
      </c>
      <c r="F675" s="1" t="s">
        <v>22</v>
      </c>
      <c r="G675" s="1">
        <v>13558</v>
      </c>
      <c r="H675" s="1">
        <v>2608</v>
      </c>
      <c r="I675" s="1">
        <v>494</v>
      </c>
      <c r="J675" s="1">
        <v>180</v>
      </c>
      <c r="K675" s="1">
        <v>0</v>
      </c>
      <c r="L675" s="1" t="s">
        <v>41</v>
      </c>
      <c r="M675" s="1">
        <f>Table1[[#This Row],[ApplicantIncome]]+Table1[[#This Row],[CoapplicantIncome]]</f>
        <v>16166</v>
      </c>
      <c r="N675" s="1" t="s">
        <v>26</v>
      </c>
      <c r="O675" s="1" t="str">
        <f>IF(Table1[[#This Row],[Total_Income]]&lt;3000,"Low",IF(Table1[[#This Row],[Total_Income]]&lt;7000,"Medium","High"))</f>
        <v>High</v>
      </c>
      <c r="P675" s="1" t="str">
        <f t="shared" si="30"/>
        <v>Rejected</v>
      </c>
      <c r="Q675" s="1" t="str">
        <f t="shared" si="31"/>
        <v>High Risk</v>
      </c>
      <c r="R675" s="2">
        <f t="shared" si="32"/>
        <v>4720.921296591936</v>
      </c>
    </row>
    <row r="676" spans="1:18" s="1" customFormat="1" ht="11.5" x14ac:dyDescent="0.25">
      <c r="A676" s="1" t="s">
        <v>707</v>
      </c>
      <c r="B676" s="1" t="s">
        <v>1238</v>
      </c>
      <c r="C676" s="1" t="s">
        <v>22</v>
      </c>
      <c r="D676" s="1">
        <v>0</v>
      </c>
      <c r="E676" s="1" t="s">
        <v>17</v>
      </c>
      <c r="F676" s="1" t="s">
        <v>29</v>
      </c>
      <c r="G676" s="1">
        <v>6802</v>
      </c>
      <c r="H676" s="1">
        <v>3818</v>
      </c>
      <c r="I676" s="1">
        <v>168</v>
      </c>
      <c r="J676" s="1">
        <v>180</v>
      </c>
      <c r="K676" s="1">
        <v>0</v>
      </c>
      <c r="L676" s="1" t="s">
        <v>19</v>
      </c>
      <c r="M676" s="1">
        <f>Table1[[#This Row],[ApplicantIncome]]+Table1[[#This Row],[CoapplicantIncome]]</f>
        <v>10620</v>
      </c>
      <c r="N676" s="1" t="s">
        <v>20</v>
      </c>
      <c r="O676" s="1" t="str">
        <f>IF(Table1[[#This Row],[Total_Income]]&lt;3000,"Low",IF(Table1[[#This Row],[Total_Income]]&lt;7000,"Medium","High"))</f>
        <v>High</v>
      </c>
      <c r="P676" s="1" t="str">
        <f t="shared" si="30"/>
        <v>Approved</v>
      </c>
      <c r="Q676" s="1" t="str">
        <f t="shared" si="31"/>
        <v>High Risk</v>
      </c>
      <c r="R676" s="2">
        <f t="shared" si="32"/>
        <v>1605.4955016749905</v>
      </c>
    </row>
    <row r="677" spans="1:18" s="1" customFormat="1" ht="11.5" x14ac:dyDescent="0.25">
      <c r="A677" s="1" t="s">
        <v>708</v>
      </c>
      <c r="B677" s="1" t="s">
        <v>1238</v>
      </c>
      <c r="C677" s="1" t="s">
        <v>29</v>
      </c>
      <c r="D677" s="1">
        <v>0</v>
      </c>
      <c r="E677" s="1" t="s">
        <v>25</v>
      </c>
      <c r="F677" s="1" t="s">
        <v>22</v>
      </c>
      <c r="G677" s="1">
        <v>8183</v>
      </c>
      <c r="H677" s="1">
        <v>4026</v>
      </c>
      <c r="I677" s="1">
        <v>604</v>
      </c>
      <c r="J677" s="1">
        <v>180</v>
      </c>
      <c r="K677" s="1">
        <v>1</v>
      </c>
      <c r="L677" s="1" t="s">
        <v>30</v>
      </c>
      <c r="M677" s="1">
        <f>Table1[[#This Row],[ApplicantIncome]]+Table1[[#This Row],[CoapplicantIncome]]</f>
        <v>12209</v>
      </c>
      <c r="N677" s="1" t="s">
        <v>20</v>
      </c>
      <c r="O677" s="1" t="str">
        <f>IF(Table1[[#This Row],[Total_Income]]&lt;3000,"Low",IF(Table1[[#This Row],[Total_Income]]&lt;7000,"Medium","High"))</f>
        <v>High</v>
      </c>
      <c r="P677" s="1" t="str">
        <f t="shared" si="30"/>
        <v>Approved</v>
      </c>
      <c r="Q677" s="1" t="str">
        <f t="shared" si="31"/>
        <v>Low Risk</v>
      </c>
      <c r="R677" s="2">
        <f t="shared" si="32"/>
        <v>5772.1385893553224</v>
      </c>
    </row>
    <row r="678" spans="1:18" s="1" customFormat="1" ht="11.5" x14ac:dyDescent="0.25">
      <c r="A678" s="1" t="s">
        <v>709</v>
      </c>
      <c r="B678" s="1" t="s">
        <v>28</v>
      </c>
      <c r="C678" s="1" t="s">
        <v>22</v>
      </c>
      <c r="D678" s="1">
        <v>1</v>
      </c>
      <c r="E678" s="1" t="s">
        <v>25</v>
      </c>
      <c r="F678" s="1" t="s">
        <v>29</v>
      </c>
      <c r="G678" s="1">
        <v>4810</v>
      </c>
      <c r="H678" s="1">
        <v>6368</v>
      </c>
      <c r="I678" s="1">
        <v>495</v>
      </c>
      <c r="J678" s="1">
        <v>120</v>
      </c>
      <c r="K678" s="1">
        <v>0</v>
      </c>
      <c r="L678" s="1" t="s">
        <v>41</v>
      </c>
      <c r="M678" s="1">
        <f>Table1[[#This Row],[ApplicantIncome]]+Table1[[#This Row],[CoapplicantIncome]]</f>
        <v>11178</v>
      </c>
      <c r="N678" s="1" t="s">
        <v>20</v>
      </c>
      <c r="O678" s="1" t="str">
        <f>IF(Table1[[#This Row],[Total_Income]]&lt;3000,"Low",IF(Table1[[#This Row],[Total_Income]]&lt;7000,"Medium","High"))</f>
        <v>High</v>
      </c>
      <c r="P678" s="1" t="str">
        <f t="shared" si="30"/>
        <v>Approved</v>
      </c>
      <c r="Q678" s="1" t="str">
        <f t="shared" si="31"/>
        <v>High Risk</v>
      </c>
      <c r="R678" s="2">
        <f t="shared" si="32"/>
        <v>6005.715920590168</v>
      </c>
    </row>
    <row r="679" spans="1:18" s="1" customFormat="1" ht="11.5" x14ac:dyDescent="0.25">
      <c r="A679" s="1" t="s">
        <v>710</v>
      </c>
      <c r="B679" s="1" t="s">
        <v>52</v>
      </c>
      <c r="C679" s="1" t="s">
        <v>29</v>
      </c>
      <c r="D679" s="1" t="s">
        <v>16</v>
      </c>
      <c r="E679" s="1" t="s">
        <v>25</v>
      </c>
      <c r="F679" s="1" t="s">
        <v>22</v>
      </c>
      <c r="G679" s="1">
        <v>7923</v>
      </c>
      <c r="H679" s="1">
        <v>306</v>
      </c>
      <c r="I679" s="1">
        <v>631</v>
      </c>
      <c r="J679" s="1">
        <v>360</v>
      </c>
      <c r="K679" s="1">
        <v>0</v>
      </c>
      <c r="L679" s="1" t="s">
        <v>41</v>
      </c>
      <c r="M679" s="1">
        <f>Table1[[#This Row],[ApplicantIncome]]+Table1[[#This Row],[CoapplicantIncome]]</f>
        <v>8229</v>
      </c>
      <c r="N679" s="1" t="s">
        <v>26</v>
      </c>
      <c r="O679" s="1" t="str">
        <f>IF(Table1[[#This Row],[Total_Income]]&lt;3000,"Low",IF(Table1[[#This Row],[Total_Income]]&lt;7000,"Medium","High"))</f>
        <v>High</v>
      </c>
      <c r="P679" s="1" t="str">
        <f t="shared" si="30"/>
        <v>Rejected</v>
      </c>
      <c r="Q679" s="1" t="str">
        <f t="shared" si="31"/>
        <v>High Risk</v>
      </c>
      <c r="R679" s="2">
        <f t="shared" si="32"/>
        <v>4630.0544611788637</v>
      </c>
    </row>
    <row r="680" spans="1:18" s="1" customFormat="1" ht="11.5" x14ac:dyDescent="0.25">
      <c r="A680" s="1" t="s">
        <v>711</v>
      </c>
      <c r="B680" s="1" t="s">
        <v>1238</v>
      </c>
      <c r="C680" s="1" t="s">
        <v>29</v>
      </c>
      <c r="D680" s="1">
        <v>0</v>
      </c>
      <c r="E680" s="1" t="s">
        <v>25</v>
      </c>
      <c r="F680" s="1" t="s">
        <v>22</v>
      </c>
      <c r="G680" s="1">
        <v>9361</v>
      </c>
      <c r="H680" s="1">
        <v>5773</v>
      </c>
      <c r="I680" s="1">
        <v>303</v>
      </c>
      <c r="J680" s="1">
        <v>180</v>
      </c>
      <c r="K680" s="1">
        <v>1</v>
      </c>
      <c r="L680" s="1" t="s">
        <v>30</v>
      </c>
      <c r="M680" s="1">
        <f>Table1[[#This Row],[ApplicantIncome]]+Table1[[#This Row],[CoapplicantIncome]]</f>
        <v>15134</v>
      </c>
      <c r="N680" s="1" t="s">
        <v>20</v>
      </c>
      <c r="O680" s="1" t="str">
        <f>IF(Table1[[#This Row],[Total_Income]]&lt;3000,"Low",IF(Table1[[#This Row],[Total_Income]]&lt;7000,"Medium","High"))</f>
        <v>High</v>
      </c>
      <c r="P680" s="1" t="str">
        <f t="shared" si="30"/>
        <v>Approved</v>
      </c>
      <c r="Q680" s="1" t="str">
        <f t="shared" si="31"/>
        <v>Low Risk</v>
      </c>
      <c r="R680" s="2">
        <f t="shared" si="32"/>
        <v>2895.6258155209653</v>
      </c>
    </row>
    <row r="681" spans="1:18" s="1" customFormat="1" ht="11.5" x14ac:dyDescent="0.25">
      <c r="A681" s="1" t="s">
        <v>712</v>
      </c>
      <c r="B681" s="1" t="s">
        <v>52</v>
      </c>
      <c r="C681" s="1" t="s">
        <v>22</v>
      </c>
      <c r="D681" s="1">
        <v>0</v>
      </c>
      <c r="E681" s="1" t="s">
        <v>25</v>
      </c>
      <c r="F681" s="1" t="s">
        <v>22</v>
      </c>
      <c r="G681" s="1">
        <v>9230</v>
      </c>
      <c r="H681" s="1">
        <v>7970</v>
      </c>
      <c r="I681" s="1">
        <v>606</v>
      </c>
      <c r="J681" s="1">
        <v>120</v>
      </c>
      <c r="K681" s="1">
        <v>0</v>
      </c>
      <c r="L681" s="1" t="s">
        <v>30</v>
      </c>
      <c r="M681" s="1">
        <f>Table1[[#This Row],[ApplicantIncome]]+Table1[[#This Row],[CoapplicantIncome]]</f>
        <v>17200</v>
      </c>
      <c r="N681" s="1" t="s">
        <v>26</v>
      </c>
      <c r="O681" s="1" t="str">
        <f>IF(Table1[[#This Row],[Total_Income]]&lt;3000,"Low",IF(Table1[[#This Row],[Total_Income]]&lt;7000,"Medium","High"))</f>
        <v>High</v>
      </c>
      <c r="P681" s="1" t="str">
        <f t="shared" si="30"/>
        <v>Rejected</v>
      </c>
      <c r="Q681" s="1" t="str">
        <f t="shared" si="31"/>
        <v>High Risk</v>
      </c>
      <c r="R681" s="2">
        <f t="shared" si="32"/>
        <v>7352.4522179346304</v>
      </c>
    </row>
    <row r="682" spans="1:18" s="1" customFormat="1" ht="11.5" x14ac:dyDescent="0.25">
      <c r="A682" s="1" t="s">
        <v>713</v>
      </c>
      <c r="B682" s="1" t="s">
        <v>52</v>
      </c>
      <c r="C682" s="1" t="s">
        <v>22</v>
      </c>
      <c r="D682" s="1">
        <v>2</v>
      </c>
      <c r="E682" s="1" t="s">
        <v>17</v>
      </c>
      <c r="F682" s="1" t="s">
        <v>22</v>
      </c>
      <c r="G682" s="1">
        <v>15148</v>
      </c>
      <c r="H682" s="1">
        <v>1794</v>
      </c>
      <c r="I682" s="1">
        <v>93</v>
      </c>
      <c r="J682" s="1">
        <v>360</v>
      </c>
      <c r="K682" s="1">
        <v>0</v>
      </c>
      <c r="L682" s="1" t="s">
        <v>19</v>
      </c>
      <c r="M682" s="1">
        <f>Table1[[#This Row],[ApplicantIncome]]+Table1[[#This Row],[CoapplicantIncome]]</f>
        <v>16942</v>
      </c>
      <c r="N682" s="1" t="s">
        <v>20</v>
      </c>
      <c r="O682" s="1" t="str">
        <f>IF(Table1[[#This Row],[Total_Income]]&lt;3000,"Low",IF(Table1[[#This Row],[Total_Income]]&lt;7000,"Medium","High"))</f>
        <v>High</v>
      </c>
      <c r="P682" s="1" t="str">
        <f t="shared" si="30"/>
        <v>Approved</v>
      </c>
      <c r="Q682" s="1" t="str">
        <f t="shared" si="31"/>
        <v>High Risk</v>
      </c>
      <c r="R682" s="2">
        <f t="shared" si="32"/>
        <v>682.40105370781987</v>
      </c>
    </row>
    <row r="683" spans="1:18" s="1" customFormat="1" ht="11.5" x14ac:dyDescent="0.25">
      <c r="A683" s="1" t="s">
        <v>714</v>
      </c>
      <c r="B683" s="1" t="s">
        <v>1238</v>
      </c>
      <c r="C683" s="1" t="s">
        <v>22</v>
      </c>
      <c r="D683" s="1">
        <v>2</v>
      </c>
      <c r="E683" s="1" t="s">
        <v>17</v>
      </c>
      <c r="F683" s="1" t="s">
        <v>22</v>
      </c>
      <c r="G683" s="1">
        <v>14277</v>
      </c>
      <c r="H683" s="1">
        <v>9897</v>
      </c>
      <c r="I683" s="1">
        <v>418</v>
      </c>
      <c r="J683" s="1">
        <v>360</v>
      </c>
      <c r="K683" s="1">
        <v>0</v>
      </c>
      <c r="L683" s="1" t="s">
        <v>19</v>
      </c>
      <c r="M683" s="1">
        <f>Table1[[#This Row],[ApplicantIncome]]+Table1[[#This Row],[CoapplicantIncome]]</f>
        <v>24174</v>
      </c>
      <c r="N683" s="1" t="s">
        <v>20</v>
      </c>
      <c r="O683" s="1" t="str">
        <f>IF(Table1[[#This Row],[Total_Income]]&lt;3000,"Low",IF(Table1[[#This Row],[Total_Income]]&lt;7000,"Medium","High"))</f>
        <v>High</v>
      </c>
      <c r="P683" s="1" t="str">
        <f t="shared" si="30"/>
        <v>Approved</v>
      </c>
      <c r="Q683" s="1" t="str">
        <f t="shared" si="31"/>
        <v>High Risk</v>
      </c>
      <c r="R683" s="2">
        <f t="shared" si="32"/>
        <v>3067.1359188157921</v>
      </c>
    </row>
    <row r="684" spans="1:18" s="1" customFormat="1" ht="11.5" x14ac:dyDescent="0.25">
      <c r="A684" s="1" t="s">
        <v>715</v>
      </c>
      <c r="B684" s="1" t="s">
        <v>1238</v>
      </c>
      <c r="C684" s="1" t="s">
        <v>22</v>
      </c>
      <c r="D684" s="1">
        <v>1</v>
      </c>
      <c r="E684" s="1" t="s">
        <v>25</v>
      </c>
      <c r="F684" s="1" t="s">
        <v>22</v>
      </c>
      <c r="G684" s="1">
        <v>2603</v>
      </c>
      <c r="H684" s="1">
        <v>3674</v>
      </c>
      <c r="I684" s="1">
        <v>91</v>
      </c>
      <c r="J684" s="1">
        <v>360</v>
      </c>
      <c r="K684" s="1">
        <v>1</v>
      </c>
      <c r="L684" s="1" t="s">
        <v>19</v>
      </c>
      <c r="M684" s="1">
        <f>Table1[[#This Row],[ApplicantIncome]]+Table1[[#This Row],[CoapplicantIncome]]</f>
        <v>6277</v>
      </c>
      <c r="N684" s="1" t="s">
        <v>26</v>
      </c>
      <c r="O684" s="1" t="str">
        <f>IF(Table1[[#This Row],[Total_Income]]&lt;3000,"Low",IF(Table1[[#This Row],[Total_Income]]&lt;7000,"Medium","High"))</f>
        <v>Medium</v>
      </c>
      <c r="P684" s="1" t="str">
        <f t="shared" si="30"/>
        <v>Rejected</v>
      </c>
      <c r="Q684" s="1" t="str">
        <f t="shared" si="31"/>
        <v>Low Risk</v>
      </c>
      <c r="R684" s="2">
        <f t="shared" si="32"/>
        <v>667.72576223023225</v>
      </c>
    </row>
    <row r="685" spans="1:18" s="1" customFormat="1" ht="11.5" x14ac:dyDescent="0.25">
      <c r="A685" s="1" t="s">
        <v>716</v>
      </c>
      <c r="B685" s="1" t="s">
        <v>52</v>
      </c>
      <c r="C685" s="1" t="s">
        <v>29</v>
      </c>
      <c r="D685" s="1">
        <v>0</v>
      </c>
      <c r="E685" s="1" t="s">
        <v>17</v>
      </c>
      <c r="F685" s="1" t="s">
        <v>29</v>
      </c>
      <c r="G685" s="1">
        <v>5385</v>
      </c>
      <c r="H685" s="1">
        <v>2953</v>
      </c>
      <c r="I685" s="1">
        <v>421</v>
      </c>
      <c r="J685" s="1">
        <v>120</v>
      </c>
      <c r="K685" s="1">
        <v>1</v>
      </c>
      <c r="L685" s="1" t="s">
        <v>19</v>
      </c>
      <c r="M685" s="1">
        <f>Table1[[#This Row],[ApplicantIncome]]+Table1[[#This Row],[CoapplicantIncome]]</f>
        <v>8338</v>
      </c>
      <c r="N685" s="1" t="s">
        <v>26</v>
      </c>
      <c r="O685" s="1" t="str">
        <f>IF(Table1[[#This Row],[Total_Income]]&lt;3000,"Low",IF(Table1[[#This Row],[Total_Income]]&lt;7000,"Medium","High"))</f>
        <v>High</v>
      </c>
      <c r="P685" s="1" t="str">
        <f t="shared" si="30"/>
        <v>Rejected</v>
      </c>
      <c r="Q685" s="1" t="str">
        <f t="shared" si="31"/>
        <v>Low Risk</v>
      </c>
      <c r="R685" s="2">
        <f t="shared" si="32"/>
        <v>5107.8917223605267</v>
      </c>
    </row>
    <row r="686" spans="1:18" s="1" customFormat="1" ht="11.5" x14ac:dyDescent="0.25">
      <c r="A686" s="1" t="s">
        <v>717</v>
      </c>
      <c r="B686" s="1" t="s">
        <v>28</v>
      </c>
      <c r="C686" s="1" t="s">
        <v>22</v>
      </c>
      <c r="D686" s="1">
        <v>2</v>
      </c>
      <c r="E686" s="1" t="s">
        <v>25</v>
      </c>
      <c r="F686" s="1" t="s">
        <v>22</v>
      </c>
      <c r="G686" s="1">
        <v>3601</v>
      </c>
      <c r="H686" s="1">
        <v>938</v>
      </c>
      <c r="I686" s="1">
        <v>207</v>
      </c>
      <c r="J686" s="1">
        <v>360</v>
      </c>
      <c r="K686" s="1">
        <v>0</v>
      </c>
      <c r="L686" s="1" t="s">
        <v>41</v>
      </c>
      <c r="M686" s="1">
        <f>Table1[[#This Row],[ApplicantIncome]]+Table1[[#This Row],[CoapplicantIncome]]</f>
        <v>4539</v>
      </c>
      <c r="N686" s="1" t="s">
        <v>20</v>
      </c>
      <c r="O686" s="1" t="str">
        <f>IF(Table1[[#This Row],[Total_Income]]&lt;3000,"Low",IF(Table1[[#This Row],[Total_Income]]&lt;7000,"Medium","High"))</f>
        <v>Medium</v>
      </c>
      <c r="P686" s="1" t="str">
        <f t="shared" si="30"/>
        <v>Approved</v>
      </c>
      <c r="Q686" s="1" t="str">
        <f t="shared" si="31"/>
        <v>High Risk</v>
      </c>
      <c r="R686" s="2">
        <f t="shared" si="32"/>
        <v>1518.8926679303086</v>
      </c>
    </row>
    <row r="687" spans="1:18" s="1" customFormat="1" ht="11.5" x14ac:dyDescent="0.25">
      <c r="A687" s="1" t="s">
        <v>718</v>
      </c>
      <c r="B687" s="1" t="s">
        <v>1238</v>
      </c>
      <c r="C687" s="1" t="s">
        <v>22</v>
      </c>
      <c r="D687" s="1">
        <v>2</v>
      </c>
      <c r="E687" s="1" t="s">
        <v>17</v>
      </c>
      <c r="F687" s="1" t="s">
        <v>29</v>
      </c>
      <c r="G687" s="1">
        <v>12060</v>
      </c>
      <c r="H687" s="1">
        <v>9624</v>
      </c>
      <c r="I687" s="1">
        <v>61</v>
      </c>
      <c r="J687" s="1">
        <v>120</v>
      </c>
      <c r="K687" s="1">
        <v>1</v>
      </c>
      <c r="L687" s="1" t="s">
        <v>41</v>
      </c>
      <c r="M687" s="1">
        <f>Table1[[#This Row],[ApplicantIncome]]+Table1[[#This Row],[CoapplicantIncome]]</f>
        <v>21684</v>
      </c>
      <c r="N687" s="1" t="s">
        <v>26</v>
      </c>
      <c r="O687" s="1" t="str">
        <f>IF(Table1[[#This Row],[Total_Income]]&lt;3000,"Low",IF(Table1[[#This Row],[Total_Income]]&lt;7000,"Medium","High"))</f>
        <v>High</v>
      </c>
      <c r="P687" s="1" t="str">
        <f t="shared" si="30"/>
        <v>Rejected</v>
      </c>
      <c r="Q687" s="1" t="str">
        <f t="shared" si="31"/>
        <v>Low Risk</v>
      </c>
      <c r="R687" s="2">
        <f t="shared" si="32"/>
        <v>740.09832556767719</v>
      </c>
    </row>
    <row r="688" spans="1:18" s="1" customFormat="1" ht="11.5" x14ac:dyDescent="0.25">
      <c r="A688" s="1" t="s">
        <v>719</v>
      </c>
      <c r="B688" s="1" t="s">
        <v>1238</v>
      </c>
      <c r="C688" s="1" t="s">
        <v>22</v>
      </c>
      <c r="D688" s="1">
        <v>1</v>
      </c>
      <c r="E688" s="1" t="s">
        <v>17</v>
      </c>
      <c r="F688" s="1" t="s">
        <v>29</v>
      </c>
      <c r="G688" s="1">
        <v>13028</v>
      </c>
      <c r="H688" s="1">
        <v>4345</v>
      </c>
      <c r="I688" s="1">
        <v>458</v>
      </c>
      <c r="J688" s="1">
        <v>120</v>
      </c>
      <c r="K688" s="1">
        <v>1</v>
      </c>
      <c r="L688" s="1" t="s">
        <v>30</v>
      </c>
      <c r="M688" s="1">
        <f>Table1[[#This Row],[ApplicantIncome]]+Table1[[#This Row],[CoapplicantIncome]]</f>
        <v>17373</v>
      </c>
      <c r="N688" s="1" t="s">
        <v>26</v>
      </c>
      <c r="O688" s="1" t="str">
        <f>IF(Table1[[#This Row],[Total_Income]]&lt;3000,"Low",IF(Table1[[#This Row],[Total_Income]]&lt;7000,"Medium","High"))</f>
        <v>High</v>
      </c>
      <c r="P688" s="1" t="str">
        <f t="shared" si="30"/>
        <v>Rejected</v>
      </c>
      <c r="Q688" s="1" t="str">
        <f t="shared" si="31"/>
        <v>Low Risk</v>
      </c>
      <c r="R688" s="2">
        <f t="shared" si="32"/>
        <v>5556.8038214753469</v>
      </c>
    </row>
    <row r="689" spans="1:18" s="1" customFormat="1" ht="11.5" x14ac:dyDescent="0.25">
      <c r="A689" s="1" t="s">
        <v>720</v>
      </c>
      <c r="B689" s="1" t="s">
        <v>28</v>
      </c>
      <c r="C689" s="1" t="s">
        <v>22</v>
      </c>
      <c r="D689" s="1">
        <v>0</v>
      </c>
      <c r="E689" s="1" t="s">
        <v>17</v>
      </c>
      <c r="F689" s="1" t="s">
        <v>22</v>
      </c>
      <c r="G689" s="1">
        <v>5549</v>
      </c>
      <c r="H689" s="1">
        <v>9164</v>
      </c>
      <c r="I689" s="1">
        <v>633</v>
      </c>
      <c r="J689" s="1">
        <v>360</v>
      </c>
      <c r="K689" s="1">
        <v>0</v>
      </c>
      <c r="L689" s="1" t="s">
        <v>19</v>
      </c>
      <c r="M689" s="1">
        <f>Table1[[#This Row],[ApplicantIncome]]+Table1[[#This Row],[CoapplicantIncome]]</f>
        <v>14713</v>
      </c>
      <c r="N689" s="1" t="s">
        <v>26</v>
      </c>
      <c r="O689" s="1" t="str">
        <f>IF(Table1[[#This Row],[Total_Income]]&lt;3000,"Low",IF(Table1[[#This Row],[Total_Income]]&lt;7000,"Medium","High"))</f>
        <v>High</v>
      </c>
      <c r="P689" s="1" t="str">
        <f t="shared" si="30"/>
        <v>Rejected</v>
      </c>
      <c r="Q689" s="1" t="str">
        <f t="shared" si="31"/>
        <v>High Risk</v>
      </c>
      <c r="R689" s="2">
        <f t="shared" si="32"/>
        <v>4644.7297526564516</v>
      </c>
    </row>
    <row r="690" spans="1:18" s="1" customFormat="1" ht="11.5" x14ac:dyDescent="0.25">
      <c r="A690" s="1" t="s">
        <v>721</v>
      </c>
      <c r="B690" s="1" t="s">
        <v>1238</v>
      </c>
      <c r="C690" s="1" t="s">
        <v>22</v>
      </c>
      <c r="D690" s="1">
        <v>1</v>
      </c>
      <c r="E690" s="1" t="s">
        <v>25</v>
      </c>
      <c r="F690" s="1" t="s">
        <v>22</v>
      </c>
      <c r="G690" s="1">
        <v>17189</v>
      </c>
      <c r="H690" s="1">
        <v>3347</v>
      </c>
      <c r="I690" s="1">
        <v>391</v>
      </c>
      <c r="J690" s="1">
        <v>120</v>
      </c>
      <c r="K690" s="1">
        <v>0</v>
      </c>
      <c r="L690" s="1" t="s">
        <v>30</v>
      </c>
      <c r="M690" s="1">
        <f>Table1[[#This Row],[ApplicantIncome]]+Table1[[#This Row],[CoapplicantIncome]]</f>
        <v>20536</v>
      </c>
      <c r="N690" s="1" t="s">
        <v>20</v>
      </c>
      <c r="O690" s="1" t="str">
        <f>IF(Table1[[#This Row],[Total_Income]]&lt;3000,"Low",IF(Table1[[#This Row],[Total_Income]]&lt;7000,"Medium","High"))</f>
        <v>High</v>
      </c>
      <c r="P690" s="1" t="str">
        <f t="shared" si="30"/>
        <v>Approved</v>
      </c>
      <c r="Q690" s="1" t="str">
        <f t="shared" si="31"/>
        <v>High Risk</v>
      </c>
      <c r="R690" s="2">
        <f t="shared" si="32"/>
        <v>4743.9089392944561</v>
      </c>
    </row>
    <row r="691" spans="1:18" s="1" customFormat="1" ht="11.5" x14ac:dyDescent="0.25">
      <c r="A691" s="1" t="s">
        <v>722</v>
      </c>
      <c r="B691" s="1" t="s">
        <v>1238</v>
      </c>
      <c r="C691" s="1" t="s">
        <v>22</v>
      </c>
      <c r="D691" s="1">
        <v>2</v>
      </c>
      <c r="E691" s="1" t="s">
        <v>25</v>
      </c>
      <c r="F691" s="1" t="s">
        <v>22</v>
      </c>
      <c r="G691" s="1">
        <v>3389</v>
      </c>
      <c r="H691" s="1">
        <v>5032</v>
      </c>
      <c r="I691" s="1">
        <v>128</v>
      </c>
      <c r="J691" s="1">
        <v>360</v>
      </c>
      <c r="K691" s="1">
        <v>0</v>
      </c>
      <c r="L691" s="1" t="s">
        <v>19</v>
      </c>
      <c r="M691" s="1">
        <f>Table1[[#This Row],[ApplicantIncome]]+Table1[[#This Row],[CoapplicantIncome]]</f>
        <v>8421</v>
      </c>
      <c r="N691" s="1" t="s">
        <v>20</v>
      </c>
      <c r="O691" s="1" t="str">
        <f>IF(Table1[[#This Row],[Total_Income]]&lt;3000,"Low",IF(Table1[[#This Row],[Total_Income]]&lt;7000,"Medium","High"))</f>
        <v>High</v>
      </c>
      <c r="P691" s="1" t="str">
        <f t="shared" si="30"/>
        <v>Approved</v>
      </c>
      <c r="Q691" s="1" t="str">
        <f t="shared" si="31"/>
        <v>High Risk</v>
      </c>
      <c r="R691" s="2">
        <f t="shared" si="32"/>
        <v>939.21865456560147</v>
      </c>
    </row>
    <row r="692" spans="1:18" s="1" customFormat="1" ht="11.5" x14ac:dyDescent="0.25">
      <c r="A692" s="1" t="s">
        <v>723</v>
      </c>
      <c r="B692" s="1" t="s">
        <v>28</v>
      </c>
      <c r="C692" s="1" t="s">
        <v>22</v>
      </c>
      <c r="D692" s="1">
        <v>1</v>
      </c>
      <c r="E692" s="1" t="s">
        <v>25</v>
      </c>
      <c r="F692" s="1" t="s">
        <v>22</v>
      </c>
      <c r="G692" s="1">
        <v>4188</v>
      </c>
      <c r="H692" s="1">
        <v>4079</v>
      </c>
      <c r="I692" s="1">
        <v>320</v>
      </c>
      <c r="J692" s="1">
        <v>120</v>
      </c>
      <c r="K692" s="1">
        <v>1</v>
      </c>
      <c r="L692" s="1" t="s">
        <v>41</v>
      </c>
      <c r="M692" s="1">
        <f>Table1[[#This Row],[ApplicantIncome]]+Table1[[#This Row],[CoapplicantIncome]]</f>
        <v>8267</v>
      </c>
      <c r="N692" s="1" t="s">
        <v>26</v>
      </c>
      <c r="O692" s="1" t="str">
        <f>IF(Table1[[#This Row],[Total_Income]]&lt;3000,"Low",IF(Table1[[#This Row],[Total_Income]]&lt;7000,"Medium","High"))</f>
        <v>High</v>
      </c>
      <c r="P692" s="1" t="str">
        <f t="shared" si="30"/>
        <v>Rejected</v>
      </c>
      <c r="Q692" s="1" t="str">
        <f t="shared" si="31"/>
        <v>Low Risk</v>
      </c>
      <c r="R692" s="2">
        <f t="shared" si="32"/>
        <v>3882.483019371422</v>
      </c>
    </row>
    <row r="693" spans="1:18" s="1" customFormat="1" ht="11.5" x14ac:dyDescent="0.25">
      <c r="A693" s="1" t="s">
        <v>724</v>
      </c>
      <c r="B693" s="1" t="s">
        <v>28</v>
      </c>
      <c r="C693" s="1" t="s">
        <v>22</v>
      </c>
      <c r="D693" s="1" t="s">
        <v>16</v>
      </c>
      <c r="E693" s="1" t="s">
        <v>25</v>
      </c>
      <c r="F693" s="1" t="s">
        <v>22</v>
      </c>
      <c r="G693" s="1">
        <v>4562</v>
      </c>
      <c r="H693" s="1">
        <v>5876</v>
      </c>
      <c r="I693" s="1">
        <v>684</v>
      </c>
      <c r="J693" s="1">
        <v>360</v>
      </c>
      <c r="K693" s="1">
        <v>0</v>
      </c>
      <c r="L693" s="1" t="s">
        <v>19</v>
      </c>
      <c r="M693" s="1">
        <f>Table1[[#This Row],[ApplicantIncome]]+Table1[[#This Row],[CoapplicantIncome]]</f>
        <v>10438</v>
      </c>
      <c r="N693" s="1" t="s">
        <v>26</v>
      </c>
      <c r="O693" s="1" t="str">
        <f>IF(Table1[[#This Row],[Total_Income]]&lt;3000,"Low",IF(Table1[[#This Row],[Total_Income]]&lt;7000,"Medium","High"))</f>
        <v>High</v>
      </c>
      <c r="P693" s="1" t="str">
        <f t="shared" si="30"/>
        <v>Rejected</v>
      </c>
      <c r="Q693" s="1" t="str">
        <f t="shared" si="31"/>
        <v>High Risk</v>
      </c>
      <c r="R693" s="2">
        <f t="shared" si="32"/>
        <v>5018.9496853349328</v>
      </c>
    </row>
    <row r="694" spans="1:18" s="1" customFormat="1" ht="11.5" x14ac:dyDescent="0.25">
      <c r="A694" s="1" t="s">
        <v>725</v>
      </c>
      <c r="B694" s="1" t="s">
        <v>52</v>
      </c>
      <c r="C694" s="1" t="s">
        <v>22</v>
      </c>
      <c r="D694" s="1" t="s">
        <v>16</v>
      </c>
      <c r="E694" s="1" t="s">
        <v>25</v>
      </c>
      <c r="F694" s="1" t="s">
        <v>22</v>
      </c>
      <c r="G694" s="1">
        <v>18626</v>
      </c>
      <c r="H694" s="1">
        <v>1510</v>
      </c>
      <c r="I694" s="1">
        <v>456</v>
      </c>
      <c r="J694" s="1">
        <v>360</v>
      </c>
      <c r="K694" s="1">
        <v>1</v>
      </c>
      <c r="L694" s="1" t="s">
        <v>30</v>
      </c>
      <c r="M694" s="1">
        <f>Table1[[#This Row],[ApplicantIncome]]+Table1[[#This Row],[CoapplicantIncome]]</f>
        <v>20136</v>
      </c>
      <c r="N694" s="1" t="s">
        <v>20</v>
      </c>
      <c r="O694" s="1" t="str">
        <f>IF(Table1[[#This Row],[Total_Income]]&lt;3000,"Low",IF(Table1[[#This Row],[Total_Income]]&lt;7000,"Medium","High"))</f>
        <v>High</v>
      </c>
      <c r="P694" s="1" t="str">
        <f t="shared" si="30"/>
        <v>Approved</v>
      </c>
      <c r="Q694" s="1" t="str">
        <f t="shared" si="31"/>
        <v>Low Risk</v>
      </c>
      <c r="R694" s="2">
        <f t="shared" si="32"/>
        <v>3345.9664568899557</v>
      </c>
    </row>
    <row r="695" spans="1:18" s="1" customFormat="1" ht="11.5" x14ac:dyDescent="0.25">
      <c r="A695" s="1" t="s">
        <v>726</v>
      </c>
      <c r="B695" s="1" t="s">
        <v>1238</v>
      </c>
      <c r="C695" s="1" t="s">
        <v>22</v>
      </c>
      <c r="D695" s="1">
        <v>1</v>
      </c>
      <c r="E695" s="1" t="s">
        <v>25</v>
      </c>
      <c r="F695" s="1" t="s">
        <v>22</v>
      </c>
      <c r="G695" s="1">
        <v>9647</v>
      </c>
      <c r="H695" s="1">
        <v>2371</v>
      </c>
      <c r="I695" s="1">
        <v>657</v>
      </c>
      <c r="J695" s="1">
        <v>360</v>
      </c>
      <c r="K695" s="1">
        <v>0</v>
      </c>
      <c r="L695" s="1" t="s">
        <v>30</v>
      </c>
      <c r="M695" s="1">
        <f>Table1[[#This Row],[ApplicantIncome]]+Table1[[#This Row],[CoapplicantIncome]]</f>
        <v>12018</v>
      </c>
      <c r="N695" s="1" t="s">
        <v>26</v>
      </c>
      <c r="O695" s="1" t="str">
        <f>IF(Table1[[#This Row],[Total_Income]]&lt;3000,"Low",IF(Table1[[#This Row],[Total_Income]]&lt;7000,"Medium","High"))</f>
        <v>High</v>
      </c>
      <c r="P695" s="1" t="str">
        <f t="shared" si="30"/>
        <v>Rejected</v>
      </c>
      <c r="Q695" s="1" t="str">
        <f t="shared" si="31"/>
        <v>High Risk</v>
      </c>
      <c r="R695" s="2">
        <f t="shared" si="32"/>
        <v>4820.8332503875017</v>
      </c>
    </row>
    <row r="696" spans="1:18" s="1" customFormat="1" ht="11.5" x14ac:dyDescent="0.25">
      <c r="A696" s="1" t="s">
        <v>727</v>
      </c>
      <c r="B696" s="1" t="s">
        <v>1238</v>
      </c>
      <c r="C696" s="1" t="s">
        <v>29</v>
      </c>
      <c r="D696" s="1">
        <v>0</v>
      </c>
      <c r="E696" s="1" t="s">
        <v>17</v>
      </c>
      <c r="F696" s="1" t="s">
        <v>22</v>
      </c>
      <c r="G696" s="1">
        <v>14771</v>
      </c>
      <c r="H696" s="1">
        <v>180</v>
      </c>
      <c r="I696" s="1">
        <v>70</v>
      </c>
      <c r="J696" s="1">
        <v>360</v>
      </c>
      <c r="K696" s="1">
        <v>1</v>
      </c>
      <c r="L696" s="1" t="s">
        <v>41</v>
      </c>
      <c r="M696" s="1">
        <f>Table1[[#This Row],[ApplicantIncome]]+Table1[[#This Row],[CoapplicantIncome]]</f>
        <v>14951</v>
      </c>
      <c r="N696" s="1" t="s">
        <v>20</v>
      </c>
      <c r="O696" s="1" t="str">
        <f>IF(Table1[[#This Row],[Total_Income]]&lt;3000,"Low",IF(Table1[[#This Row],[Total_Income]]&lt;7000,"Medium","High"))</f>
        <v>High</v>
      </c>
      <c r="P696" s="1" t="str">
        <f t="shared" si="30"/>
        <v>Approved</v>
      </c>
      <c r="Q696" s="1" t="str">
        <f t="shared" si="31"/>
        <v>Low Risk</v>
      </c>
      <c r="R696" s="2">
        <f t="shared" si="32"/>
        <v>513.63520171556331</v>
      </c>
    </row>
    <row r="697" spans="1:18" s="1" customFormat="1" ht="11.5" x14ac:dyDescent="0.25">
      <c r="A697" s="1" t="s">
        <v>728</v>
      </c>
      <c r="B697" s="1" t="s">
        <v>28</v>
      </c>
      <c r="C697" s="1" t="s">
        <v>22</v>
      </c>
      <c r="D697" s="1">
        <v>1</v>
      </c>
      <c r="E697" s="1" t="s">
        <v>17</v>
      </c>
      <c r="F697" s="1" t="s">
        <v>29</v>
      </c>
      <c r="G697" s="1">
        <v>6522</v>
      </c>
      <c r="H697" s="1">
        <v>6794</v>
      </c>
      <c r="I697" s="1">
        <v>95</v>
      </c>
      <c r="J697" s="1">
        <v>360</v>
      </c>
      <c r="K697" s="1">
        <v>0</v>
      </c>
      <c r="L697" s="1" t="s">
        <v>19</v>
      </c>
      <c r="M697" s="1">
        <f>Table1[[#This Row],[ApplicantIncome]]+Table1[[#This Row],[CoapplicantIncome]]</f>
        <v>13316</v>
      </c>
      <c r="N697" s="1" t="s">
        <v>20</v>
      </c>
      <c r="O697" s="1" t="str">
        <f>IF(Table1[[#This Row],[Total_Income]]&lt;3000,"Low",IF(Table1[[#This Row],[Total_Income]]&lt;7000,"Medium","High"))</f>
        <v>High</v>
      </c>
      <c r="P697" s="1" t="str">
        <f t="shared" si="30"/>
        <v>Approved</v>
      </c>
      <c r="Q697" s="1" t="str">
        <f t="shared" si="31"/>
        <v>High Risk</v>
      </c>
      <c r="R697" s="2">
        <f t="shared" si="32"/>
        <v>697.07634518540738</v>
      </c>
    </row>
    <row r="698" spans="1:18" s="1" customFormat="1" ht="11.5" x14ac:dyDescent="0.25">
      <c r="A698" s="1" t="s">
        <v>729</v>
      </c>
      <c r="B698" s="1" t="s">
        <v>28</v>
      </c>
      <c r="C698" s="1" t="s">
        <v>22</v>
      </c>
      <c r="D698" s="1" t="s">
        <v>16</v>
      </c>
      <c r="E698" s="1" t="s">
        <v>25</v>
      </c>
      <c r="F698" s="1" t="s">
        <v>22</v>
      </c>
      <c r="G698" s="1">
        <v>10256</v>
      </c>
      <c r="H698" s="1">
        <v>5500</v>
      </c>
      <c r="I698" s="1">
        <v>273</v>
      </c>
      <c r="J698" s="1">
        <v>360</v>
      </c>
      <c r="K698" s="1">
        <v>1</v>
      </c>
      <c r="L698" s="1" t="s">
        <v>41</v>
      </c>
      <c r="M698" s="1">
        <f>Table1[[#This Row],[ApplicantIncome]]+Table1[[#This Row],[CoapplicantIncome]]</f>
        <v>15756</v>
      </c>
      <c r="N698" s="1" t="s">
        <v>20</v>
      </c>
      <c r="O698" s="1" t="str">
        <f>IF(Table1[[#This Row],[Total_Income]]&lt;3000,"Low",IF(Table1[[#This Row],[Total_Income]]&lt;7000,"Medium","High"))</f>
        <v>High</v>
      </c>
      <c r="P698" s="1" t="str">
        <f t="shared" si="30"/>
        <v>Approved</v>
      </c>
      <c r="Q698" s="1" t="str">
        <f t="shared" si="31"/>
        <v>Low Risk</v>
      </c>
      <c r="R698" s="2">
        <f t="shared" si="32"/>
        <v>2003.1772866906972</v>
      </c>
    </row>
    <row r="699" spans="1:18" s="1" customFormat="1" ht="11.5" x14ac:dyDescent="0.25">
      <c r="A699" s="1" t="s">
        <v>730</v>
      </c>
      <c r="B699" s="1" t="s">
        <v>52</v>
      </c>
      <c r="C699" s="1" t="s">
        <v>29</v>
      </c>
      <c r="D699" s="1">
        <v>1</v>
      </c>
      <c r="E699" s="1" t="s">
        <v>17</v>
      </c>
      <c r="F699" s="1" t="s">
        <v>29</v>
      </c>
      <c r="G699" s="1">
        <v>9707</v>
      </c>
      <c r="H699" s="1">
        <v>3002</v>
      </c>
      <c r="I699" s="1">
        <v>312</v>
      </c>
      <c r="J699" s="1">
        <v>180</v>
      </c>
      <c r="K699" s="1">
        <v>0</v>
      </c>
      <c r="L699" s="1" t="s">
        <v>41</v>
      </c>
      <c r="M699" s="1">
        <f>Table1[[#This Row],[ApplicantIncome]]+Table1[[#This Row],[CoapplicantIncome]]</f>
        <v>12709</v>
      </c>
      <c r="N699" s="1" t="s">
        <v>26</v>
      </c>
      <c r="O699" s="1" t="str">
        <f>IF(Table1[[#This Row],[Total_Income]]&lt;3000,"Low",IF(Table1[[#This Row],[Total_Income]]&lt;7000,"Medium","High"))</f>
        <v>High</v>
      </c>
      <c r="P699" s="1" t="str">
        <f t="shared" si="30"/>
        <v>Rejected</v>
      </c>
      <c r="Q699" s="1" t="str">
        <f t="shared" si="31"/>
        <v>High Risk</v>
      </c>
      <c r="R699" s="2">
        <f t="shared" si="32"/>
        <v>2981.6345031106966</v>
      </c>
    </row>
    <row r="700" spans="1:18" s="1" customFormat="1" ht="11.5" x14ac:dyDescent="0.25">
      <c r="A700" s="1" t="s">
        <v>731</v>
      </c>
      <c r="B700" s="1" t="s">
        <v>52</v>
      </c>
      <c r="C700" s="1" t="s">
        <v>29</v>
      </c>
      <c r="D700" s="1" t="s">
        <v>16</v>
      </c>
      <c r="E700" s="1" t="s">
        <v>25</v>
      </c>
      <c r="F700" s="1" t="s">
        <v>22</v>
      </c>
      <c r="G700" s="1">
        <v>19034</v>
      </c>
      <c r="H700" s="1">
        <v>2606</v>
      </c>
      <c r="I700" s="1">
        <v>662</v>
      </c>
      <c r="J700" s="1">
        <v>360</v>
      </c>
      <c r="K700" s="1">
        <v>0</v>
      </c>
      <c r="L700" s="1" t="s">
        <v>41</v>
      </c>
      <c r="M700" s="1">
        <f>Table1[[#This Row],[ApplicantIncome]]+Table1[[#This Row],[CoapplicantIncome]]</f>
        <v>21640</v>
      </c>
      <c r="N700" s="1" t="s">
        <v>20</v>
      </c>
      <c r="O700" s="1" t="str">
        <f>IF(Table1[[#This Row],[Total_Income]]&lt;3000,"Low",IF(Table1[[#This Row],[Total_Income]]&lt;7000,"Medium","High"))</f>
        <v>High</v>
      </c>
      <c r="P700" s="1" t="str">
        <f t="shared" si="30"/>
        <v>Approved</v>
      </c>
      <c r="Q700" s="1" t="str">
        <f t="shared" si="31"/>
        <v>High Risk</v>
      </c>
      <c r="R700" s="2">
        <f t="shared" si="32"/>
        <v>4857.5214790814707</v>
      </c>
    </row>
    <row r="701" spans="1:18" s="1" customFormat="1" ht="11.5" x14ac:dyDescent="0.25">
      <c r="A701" s="1" t="s">
        <v>732</v>
      </c>
      <c r="B701" s="1" t="s">
        <v>1238</v>
      </c>
      <c r="C701" s="1" t="s">
        <v>22</v>
      </c>
      <c r="D701" s="1">
        <v>0</v>
      </c>
      <c r="E701" s="1" t="s">
        <v>17</v>
      </c>
      <c r="F701" s="1" t="s">
        <v>22</v>
      </c>
      <c r="G701" s="1">
        <v>15993</v>
      </c>
      <c r="H701" s="1">
        <v>2932</v>
      </c>
      <c r="I701" s="1">
        <v>141</v>
      </c>
      <c r="J701" s="1">
        <v>120</v>
      </c>
      <c r="K701" s="1">
        <v>1</v>
      </c>
      <c r="L701" s="1" t="s">
        <v>19</v>
      </c>
      <c r="M701" s="1">
        <f>Table1[[#This Row],[ApplicantIncome]]+Table1[[#This Row],[CoapplicantIncome]]</f>
        <v>18925</v>
      </c>
      <c r="N701" s="1" t="s">
        <v>26</v>
      </c>
      <c r="O701" s="1" t="str">
        <f>IF(Table1[[#This Row],[Total_Income]]&lt;3000,"Low",IF(Table1[[#This Row],[Total_Income]]&lt;7000,"Medium","High"))</f>
        <v>High</v>
      </c>
      <c r="P701" s="1" t="str">
        <f t="shared" si="30"/>
        <v>Rejected</v>
      </c>
      <c r="Q701" s="1" t="str">
        <f t="shared" si="31"/>
        <v>Low Risk</v>
      </c>
      <c r="R701" s="2">
        <f t="shared" si="32"/>
        <v>1710.7190804105328</v>
      </c>
    </row>
    <row r="702" spans="1:18" s="1" customFormat="1" ht="11.5" x14ac:dyDescent="0.25">
      <c r="A702" s="1" t="s">
        <v>733</v>
      </c>
      <c r="B702" s="1" t="s">
        <v>52</v>
      </c>
      <c r="C702" s="1" t="s">
        <v>22</v>
      </c>
      <c r="D702" s="1">
        <v>0</v>
      </c>
      <c r="E702" s="1" t="s">
        <v>17</v>
      </c>
      <c r="F702" s="1" t="s">
        <v>22</v>
      </c>
      <c r="G702" s="1">
        <v>11362</v>
      </c>
      <c r="H702" s="1">
        <v>6652</v>
      </c>
      <c r="I702" s="1">
        <v>680</v>
      </c>
      <c r="J702" s="1">
        <v>360</v>
      </c>
      <c r="K702" s="1">
        <v>0</v>
      </c>
      <c r="L702" s="1" t="s">
        <v>30</v>
      </c>
      <c r="M702" s="1">
        <f>Table1[[#This Row],[ApplicantIncome]]+Table1[[#This Row],[CoapplicantIncome]]</f>
        <v>18014</v>
      </c>
      <c r="N702" s="1" t="s">
        <v>26</v>
      </c>
      <c r="O702" s="1" t="str">
        <f>IF(Table1[[#This Row],[Total_Income]]&lt;3000,"Low",IF(Table1[[#This Row],[Total_Income]]&lt;7000,"Medium","High"))</f>
        <v>High</v>
      </c>
      <c r="P702" s="1" t="str">
        <f t="shared" si="30"/>
        <v>Rejected</v>
      </c>
      <c r="Q702" s="1" t="str">
        <f t="shared" si="31"/>
        <v>High Risk</v>
      </c>
      <c r="R702" s="2">
        <f t="shared" si="32"/>
        <v>4989.5991023797587</v>
      </c>
    </row>
    <row r="703" spans="1:18" s="1" customFormat="1" ht="11.5" x14ac:dyDescent="0.25">
      <c r="A703" s="1" t="s">
        <v>734</v>
      </c>
      <c r="B703" s="1" t="s">
        <v>1238</v>
      </c>
      <c r="C703" s="1" t="s">
        <v>22</v>
      </c>
      <c r="D703" s="1">
        <v>0</v>
      </c>
      <c r="E703" s="1" t="s">
        <v>25</v>
      </c>
      <c r="F703" s="1" t="s">
        <v>22</v>
      </c>
      <c r="G703" s="1">
        <v>3700</v>
      </c>
      <c r="H703" s="1">
        <v>2073</v>
      </c>
      <c r="I703" s="1">
        <v>570</v>
      </c>
      <c r="J703" s="1">
        <v>360</v>
      </c>
      <c r="K703" s="1">
        <v>1</v>
      </c>
      <c r="L703" s="1" t="s">
        <v>41</v>
      </c>
      <c r="M703" s="1">
        <f>Table1[[#This Row],[ApplicantIncome]]+Table1[[#This Row],[CoapplicantIncome]]</f>
        <v>5773</v>
      </c>
      <c r="N703" s="1" t="s">
        <v>20</v>
      </c>
      <c r="O703" s="1" t="str">
        <f>IF(Table1[[#This Row],[Total_Income]]&lt;3000,"Low",IF(Table1[[#This Row],[Total_Income]]&lt;7000,"Medium","High"))</f>
        <v>Medium</v>
      </c>
      <c r="P703" s="1" t="str">
        <f t="shared" si="30"/>
        <v>Approved</v>
      </c>
      <c r="Q703" s="1" t="str">
        <f t="shared" si="31"/>
        <v>Low Risk</v>
      </c>
      <c r="R703" s="2">
        <f t="shared" si="32"/>
        <v>4182.4580711124445</v>
      </c>
    </row>
    <row r="704" spans="1:18" s="1" customFormat="1" ht="11.5" x14ac:dyDescent="0.25">
      <c r="A704" s="1" t="s">
        <v>735</v>
      </c>
      <c r="B704" s="1" t="s">
        <v>28</v>
      </c>
      <c r="C704" s="1" t="s">
        <v>22</v>
      </c>
      <c r="D704" s="1" t="s">
        <v>16</v>
      </c>
      <c r="E704" s="1" t="s">
        <v>17</v>
      </c>
      <c r="F704" s="1" t="s">
        <v>22</v>
      </c>
      <c r="G704" s="1">
        <v>10944</v>
      </c>
      <c r="H704" s="1">
        <v>4340</v>
      </c>
      <c r="I704" s="1">
        <v>392</v>
      </c>
      <c r="J704" s="1">
        <v>120</v>
      </c>
      <c r="K704" s="1">
        <v>0</v>
      </c>
      <c r="L704" s="1" t="s">
        <v>19</v>
      </c>
      <c r="M704" s="1">
        <f>Table1[[#This Row],[ApplicantIncome]]+Table1[[#This Row],[CoapplicantIncome]]</f>
        <v>15284</v>
      </c>
      <c r="N704" s="1" t="s">
        <v>26</v>
      </c>
      <c r="O704" s="1" t="str">
        <f>IF(Table1[[#This Row],[Total_Income]]&lt;3000,"Low",IF(Table1[[#This Row],[Total_Income]]&lt;7000,"Medium","High"))</f>
        <v>High</v>
      </c>
      <c r="P704" s="1" t="str">
        <f t="shared" si="30"/>
        <v>Rejected</v>
      </c>
      <c r="Q704" s="1" t="str">
        <f t="shared" si="31"/>
        <v>High Risk</v>
      </c>
      <c r="R704" s="2">
        <f t="shared" si="32"/>
        <v>4756.0416987299914</v>
      </c>
    </row>
    <row r="705" spans="1:18" s="1" customFormat="1" ht="11.5" x14ac:dyDescent="0.25">
      <c r="A705" s="1" t="s">
        <v>736</v>
      </c>
      <c r="B705" s="1" t="s">
        <v>1238</v>
      </c>
      <c r="C705" s="1" t="s">
        <v>22</v>
      </c>
      <c r="D705" s="1">
        <v>1</v>
      </c>
      <c r="E705" s="1" t="s">
        <v>25</v>
      </c>
      <c r="F705" s="1" t="s">
        <v>22</v>
      </c>
      <c r="G705" s="1">
        <v>17906</v>
      </c>
      <c r="H705" s="1">
        <v>8375</v>
      </c>
      <c r="I705" s="1">
        <v>145</v>
      </c>
      <c r="J705" s="1">
        <v>360</v>
      </c>
      <c r="K705" s="1">
        <v>0</v>
      </c>
      <c r="L705" s="1" t="s">
        <v>30</v>
      </c>
      <c r="M705" s="1">
        <f>Table1[[#This Row],[ApplicantIncome]]+Table1[[#This Row],[CoapplicantIncome]]</f>
        <v>26281</v>
      </c>
      <c r="N705" s="1" t="s">
        <v>20</v>
      </c>
      <c r="O705" s="1" t="str">
        <f>IF(Table1[[#This Row],[Total_Income]]&lt;3000,"Low",IF(Table1[[#This Row],[Total_Income]]&lt;7000,"Medium","High"))</f>
        <v>High</v>
      </c>
      <c r="P705" s="1" t="str">
        <f t="shared" si="30"/>
        <v>Approved</v>
      </c>
      <c r="Q705" s="1" t="str">
        <f t="shared" si="31"/>
        <v>High Risk</v>
      </c>
      <c r="R705" s="2">
        <f t="shared" si="32"/>
        <v>1063.9586321250956</v>
      </c>
    </row>
    <row r="706" spans="1:18" s="1" customFormat="1" ht="11.5" x14ac:dyDescent="0.25">
      <c r="A706" s="1" t="s">
        <v>737</v>
      </c>
      <c r="B706" s="1" t="s">
        <v>52</v>
      </c>
      <c r="C706" s="1" t="s">
        <v>22</v>
      </c>
      <c r="D706" s="1">
        <v>1</v>
      </c>
      <c r="E706" s="1" t="s">
        <v>25</v>
      </c>
      <c r="F706" s="1" t="s">
        <v>22</v>
      </c>
      <c r="G706" s="1">
        <v>6102</v>
      </c>
      <c r="H706" s="1">
        <v>3377</v>
      </c>
      <c r="I706" s="1">
        <v>78</v>
      </c>
      <c r="J706" s="1">
        <v>120</v>
      </c>
      <c r="K706" s="1">
        <v>0</v>
      </c>
      <c r="L706" s="1" t="s">
        <v>30</v>
      </c>
      <c r="M706" s="1">
        <f>Table1[[#This Row],[ApplicantIncome]]+Table1[[#This Row],[CoapplicantIncome]]</f>
        <v>9479</v>
      </c>
      <c r="N706" s="1" t="s">
        <v>26</v>
      </c>
      <c r="O706" s="1" t="str">
        <f>IF(Table1[[#This Row],[Total_Income]]&lt;3000,"Low",IF(Table1[[#This Row],[Total_Income]]&lt;7000,"Medium","High"))</f>
        <v>High</v>
      </c>
      <c r="P706" s="1" t="str">
        <f t="shared" ref="P706:P769" si="33">IF(N706="Y","Approved","Rejected")</f>
        <v>Rejected</v>
      </c>
      <c r="Q706" s="1" t="str">
        <f t="shared" ref="Q706:Q769" si="34">IF(K706=1,"Low Risk","High Risk")</f>
        <v>High Risk</v>
      </c>
      <c r="R706" s="2">
        <f t="shared" ref="R706:R769" si="35">-PMT(8%/12,J706,I706*1000)</f>
        <v>946.35523597178405</v>
      </c>
    </row>
    <row r="707" spans="1:18" s="1" customFormat="1" ht="11.5" x14ac:dyDescent="0.25">
      <c r="A707" s="1" t="s">
        <v>738</v>
      </c>
      <c r="B707" s="1" t="s">
        <v>52</v>
      </c>
      <c r="C707" s="1" t="s">
        <v>22</v>
      </c>
      <c r="D707" s="1" t="s">
        <v>16</v>
      </c>
      <c r="E707" s="1" t="s">
        <v>25</v>
      </c>
      <c r="F707" s="1" t="s">
        <v>29</v>
      </c>
      <c r="G707" s="1">
        <v>18542</v>
      </c>
      <c r="H707" s="1">
        <v>5081</v>
      </c>
      <c r="I707" s="1">
        <v>461</v>
      </c>
      <c r="J707" s="1">
        <v>180</v>
      </c>
      <c r="K707" s="1">
        <v>0</v>
      </c>
      <c r="L707" s="1" t="s">
        <v>30</v>
      </c>
      <c r="M707" s="1">
        <f>Table1[[#This Row],[ApplicantIncome]]+Table1[[#This Row],[CoapplicantIncome]]</f>
        <v>23623</v>
      </c>
      <c r="N707" s="1" t="s">
        <v>20</v>
      </c>
      <c r="O707" s="1" t="str">
        <f>IF(Table1[[#This Row],[Total_Income]]&lt;3000,"Low",IF(Table1[[#This Row],[Total_Income]]&lt;7000,"Medium","High"))</f>
        <v>High</v>
      </c>
      <c r="P707" s="1" t="str">
        <f t="shared" si="33"/>
        <v>Approved</v>
      </c>
      <c r="Q707" s="1" t="str">
        <f t="shared" si="34"/>
        <v>High Risk</v>
      </c>
      <c r="R707" s="2">
        <f t="shared" si="35"/>
        <v>4405.5561087629203</v>
      </c>
    </row>
    <row r="708" spans="1:18" s="1" customFormat="1" ht="11.5" x14ac:dyDescent="0.25">
      <c r="A708" s="1" t="s">
        <v>739</v>
      </c>
      <c r="B708" s="1" t="s">
        <v>28</v>
      </c>
      <c r="C708" s="1" t="s">
        <v>22</v>
      </c>
      <c r="D708" s="1">
        <v>0</v>
      </c>
      <c r="E708" s="1" t="s">
        <v>17</v>
      </c>
      <c r="F708" s="1" t="s">
        <v>22</v>
      </c>
      <c r="G708" s="1">
        <v>19903</v>
      </c>
      <c r="H708" s="1">
        <v>7749</v>
      </c>
      <c r="I708" s="1">
        <v>254</v>
      </c>
      <c r="J708" s="1">
        <v>360</v>
      </c>
      <c r="K708" s="1">
        <v>0</v>
      </c>
      <c r="L708" s="1" t="s">
        <v>41</v>
      </c>
      <c r="M708" s="1">
        <f>Table1[[#This Row],[ApplicantIncome]]+Table1[[#This Row],[CoapplicantIncome]]</f>
        <v>27652</v>
      </c>
      <c r="N708" s="1" t="s">
        <v>26</v>
      </c>
      <c r="O708" s="1" t="str">
        <f>IF(Table1[[#This Row],[Total_Income]]&lt;3000,"Low",IF(Table1[[#This Row],[Total_Income]]&lt;7000,"Medium","High"))</f>
        <v>High</v>
      </c>
      <c r="P708" s="1" t="str">
        <f t="shared" si="33"/>
        <v>Rejected</v>
      </c>
      <c r="Q708" s="1" t="str">
        <f t="shared" si="34"/>
        <v>High Risk</v>
      </c>
      <c r="R708" s="2">
        <f t="shared" si="35"/>
        <v>1863.7620176536157</v>
      </c>
    </row>
    <row r="709" spans="1:18" s="1" customFormat="1" ht="11.5" x14ac:dyDescent="0.25">
      <c r="A709" s="1" t="s">
        <v>740</v>
      </c>
      <c r="B709" s="1" t="s">
        <v>52</v>
      </c>
      <c r="C709" s="1" t="s">
        <v>29</v>
      </c>
      <c r="D709" s="1" t="s">
        <v>16</v>
      </c>
      <c r="E709" s="1" t="s">
        <v>17</v>
      </c>
      <c r="F709" s="1" t="s">
        <v>22</v>
      </c>
      <c r="G709" s="1">
        <v>11870</v>
      </c>
      <c r="H709" s="1">
        <v>6150</v>
      </c>
      <c r="I709" s="1">
        <v>370</v>
      </c>
      <c r="J709" s="1">
        <v>120</v>
      </c>
      <c r="K709" s="1">
        <v>0</v>
      </c>
      <c r="L709" s="1" t="s">
        <v>41</v>
      </c>
      <c r="M709" s="1">
        <f>Table1[[#This Row],[ApplicantIncome]]+Table1[[#This Row],[CoapplicantIncome]]</f>
        <v>18020</v>
      </c>
      <c r="N709" s="1" t="s">
        <v>26</v>
      </c>
      <c r="O709" s="1" t="str">
        <f>IF(Table1[[#This Row],[Total_Income]]&lt;3000,"Low",IF(Table1[[#This Row],[Total_Income]]&lt;7000,"Medium","High"))</f>
        <v>High</v>
      </c>
      <c r="P709" s="1" t="str">
        <f t="shared" si="33"/>
        <v>Rejected</v>
      </c>
      <c r="Q709" s="1" t="str">
        <f t="shared" si="34"/>
        <v>High Risk</v>
      </c>
      <c r="R709" s="2">
        <f t="shared" si="35"/>
        <v>4489.1209911482065</v>
      </c>
    </row>
    <row r="710" spans="1:18" s="1" customFormat="1" ht="11.5" x14ac:dyDescent="0.25">
      <c r="A710" s="1" t="s">
        <v>741</v>
      </c>
      <c r="B710" s="1" t="s">
        <v>1238</v>
      </c>
      <c r="C710" s="1" t="s">
        <v>29</v>
      </c>
      <c r="D710" s="1">
        <v>0</v>
      </c>
      <c r="E710" s="1" t="s">
        <v>25</v>
      </c>
      <c r="F710" s="1" t="s">
        <v>22</v>
      </c>
      <c r="G710" s="1">
        <v>18173</v>
      </c>
      <c r="H710" s="1">
        <v>8623</v>
      </c>
      <c r="I710" s="1">
        <v>415</v>
      </c>
      <c r="J710" s="1">
        <v>360</v>
      </c>
      <c r="K710" s="1">
        <v>1</v>
      </c>
      <c r="L710" s="1" t="s">
        <v>19</v>
      </c>
      <c r="M710" s="1">
        <f>Table1[[#This Row],[ApplicantIncome]]+Table1[[#This Row],[CoapplicantIncome]]</f>
        <v>26796</v>
      </c>
      <c r="N710" s="1" t="s">
        <v>20</v>
      </c>
      <c r="O710" s="1" t="str">
        <f>IF(Table1[[#This Row],[Total_Income]]&lt;3000,"Low",IF(Table1[[#This Row],[Total_Income]]&lt;7000,"Medium","High"))</f>
        <v>High</v>
      </c>
      <c r="P710" s="1" t="str">
        <f t="shared" si="33"/>
        <v>Approved</v>
      </c>
      <c r="Q710" s="1" t="str">
        <f t="shared" si="34"/>
        <v>Low Risk</v>
      </c>
      <c r="R710" s="2">
        <f t="shared" si="35"/>
        <v>3045.1229815994111</v>
      </c>
    </row>
    <row r="711" spans="1:18" s="1" customFormat="1" ht="11.5" x14ac:dyDescent="0.25">
      <c r="A711" s="1" t="s">
        <v>742</v>
      </c>
      <c r="B711" s="1" t="s">
        <v>1238</v>
      </c>
      <c r="C711" s="1" t="s">
        <v>22</v>
      </c>
      <c r="D711" s="1" t="s">
        <v>16</v>
      </c>
      <c r="E711" s="1" t="s">
        <v>17</v>
      </c>
      <c r="F711" s="1" t="s">
        <v>29</v>
      </c>
      <c r="G711" s="1">
        <v>7288</v>
      </c>
      <c r="H711" s="1">
        <v>7540</v>
      </c>
      <c r="I711" s="1">
        <v>224</v>
      </c>
      <c r="J711" s="1">
        <v>120</v>
      </c>
      <c r="K711" s="1">
        <v>0</v>
      </c>
      <c r="L711" s="1" t="s">
        <v>30</v>
      </c>
      <c r="M711" s="1">
        <f>Table1[[#This Row],[ApplicantIncome]]+Table1[[#This Row],[CoapplicantIncome]]</f>
        <v>14828</v>
      </c>
      <c r="N711" s="1" t="s">
        <v>26</v>
      </c>
      <c r="O711" s="1" t="str">
        <f>IF(Table1[[#This Row],[Total_Income]]&lt;3000,"Low",IF(Table1[[#This Row],[Total_Income]]&lt;7000,"Medium","High"))</f>
        <v>High</v>
      </c>
      <c r="P711" s="1" t="str">
        <f t="shared" si="33"/>
        <v>Rejected</v>
      </c>
      <c r="Q711" s="1" t="str">
        <f t="shared" si="34"/>
        <v>High Risk</v>
      </c>
      <c r="R711" s="2">
        <f t="shared" si="35"/>
        <v>2717.7381135599953</v>
      </c>
    </row>
    <row r="712" spans="1:18" s="1" customFormat="1" ht="11.5" x14ac:dyDescent="0.25">
      <c r="A712" s="1" t="s">
        <v>743</v>
      </c>
      <c r="B712" s="1" t="s">
        <v>1238</v>
      </c>
      <c r="C712" s="1" t="s">
        <v>22</v>
      </c>
      <c r="D712" s="1">
        <v>2</v>
      </c>
      <c r="E712" s="1" t="s">
        <v>17</v>
      </c>
      <c r="F712" s="1" t="s">
        <v>29</v>
      </c>
      <c r="G712" s="1">
        <v>7145</v>
      </c>
      <c r="H712" s="1">
        <v>7161</v>
      </c>
      <c r="I712" s="1">
        <v>222</v>
      </c>
      <c r="J712" s="1">
        <v>360</v>
      </c>
      <c r="K712" s="1">
        <v>0</v>
      </c>
      <c r="L712" s="1" t="s">
        <v>41</v>
      </c>
      <c r="M712" s="1">
        <f>Table1[[#This Row],[ApplicantIncome]]+Table1[[#This Row],[CoapplicantIncome]]</f>
        <v>14306</v>
      </c>
      <c r="N712" s="1" t="s">
        <v>20</v>
      </c>
      <c r="O712" s="1" t="str">
        <f>IF(Table1[[#This Row],[Total_Income]]&lt;3000,"Low",IF(Table1[[#This Row],[Total_Income]]&lt;7000,"Medium","High"))</f>
        <v>High</v>
      </c>
      <c r="P712" s="1" t="str">
        <f t="shared" si="33"/>
        <v>Approved</v>
      </c>
      <c r="Q712" s="1" t="str">
        <f t="shared" si="34"/>
        <v>High Risk</v>
      </c>
      <c r="R712" s="2">
        <f t="shared" si="35"/>
        <v>1628.9573540122153</v>
      </c>
    </row>
    <row r="713" spans="1:18" s="1" customFormat="1" ht="11.5" x14ac:dyDescent="0.25">
      <c r="A713" s="1" t="s">
        <v>744</v>
      </c>
      <c r="B713" s="1" t="s">
        <v>1238</v>
      </c>
      <c r="C713" s="1" t="s">
        <v>22</v>
      </c>
      <c r="D713" s="1" t="s">
        <v>16</v>
      </c>
      <c r="E713" s="1" t="s">
        <v>17</v>
      </c>
      <c r="F713" s="1" t="s">
        <v>22</v>
      </c>
      <c r="G713" s="1">
        <v>18519</v>
      </c>
      <c r="H713" s="1">
        <v>4299</v>
      </c>
      <c r="I713" s="1">
        <v>629</v>
      </c>
      <c r="J713" s="1">
        <v>180</v>
      </c>
      <c r="K713" s="1">
        <v>1</v>
      </c>
      <c r="L713" s="1" t="s">
        <v>41</v>
      </c>
      <c r="M713" s="1">
        <f>Table1[[#This Row],[ApplicantIncome]]+Table1[[#This Row],[CoapplicantIncome]]</f>
        <v>22818</v>
      </c>
      <c r="N713" s="1" t="s">
        <v>20</v>
      </c>
      <c r="O713" s="1" t="str">
        <f>IF(Table1[[#This Row],[Total_Income]]&lt;3000,"Low",IF(Table1[[#This Row],[Total_Income]]&lt;7000,"Medium","High"))</f>
        <v>High</v>
      </c>
      <c r="P713" s="1" t="str">
        <f t="shared" si="33"/>
        <v>Approved</v>
      </c>
      <c r="Q713" s="1" t="str">
        <f t="shared" si="34"/>
        <v>Low Risk</v>
      </c>
      <c r="R713" s="2">
        <f t="shared" si="35"/>
        <v>6011.0516104379103</v>
      </c>
    </row>
    <row r="714" spans="1:18" s="1" customFormat="1" ht="11.5" x14ac:dyDescent="0.25">
      <c r="A714" s="1" t="s">
        <v>745</v>
      </c>
      <c r="B714" s="1" t="s">
        <v>28</v>
      </c>
      <c r="C714" s="1" t="s">
        <v>22</v>
      </c>
      <c r="D714" s="1" t="s">
        <v>16</v>
      </c>
      <c r="E714" s="1" t="s">
        <v>17</v>
      </c>
      <c r="F714" s="1" t="s">
        <v>22</v>
      </c>
      <c r="G714" s="1">
        <v>9564</v>
      </c>
      <c r="H714" s="1">
        <v>1898</v>
      </c>
      <c r="I714" s="1">
        <v>157</v>
      </c>
      <c r="J714" s="1">
        <v>120</v>
      </c>
      <c r="K714" s="1">
        <v>1</v>
      </c>
      <c r="L714" s="1" t="s">
        <v>19</v>
      </c>
      <c r="M714" s="1">
        <f>Table1[[#This Row],[ApplicantIncome]]+Table1[[#This Row],[CoapplicantIncome]]</f>
        <v>11462</v>
      </c>
      <c r="N714" s="1" t="s">
        <v>20</v>
      </c>
      <c r="O714" s="1" t="str">
        <f>IF(Table1[[#This Row],[Total_Income]]&lt;3000,"Low",IF(Table1[[#This Row],[Total_Income]]&lt;7000,"Medium","High"))</f>
        <v>High</v>
      </c>
      <c r="P714" s="1" t="str">
        <f t="shared" si="33"/>
        <v>Approved</v>
      </c>
      <c r="Q714" s="1" t="str">
        <f t="shared" si="34"/>
        <v>Low Risk</v>
      </c>
      <c r="R714" s="2">
        <f t="shared" si="35"/>
        <v>1904.8432313791038</v>
      </c>
    </row>
    <row r="715" spans="1:18" s="1" customFormat="1" ht="11.5" x14ac:dyDescent="0.25">
      <c r="A715" s="1" t="s">
        <v>746</v>
      </c>
      <c r="B715" s="1" t="s">
        <v>1238</v>
      </c>
      <c r="C715" s="1" t="s">
        <v>22</v>
      </c>
      <c r="D715" s="1">
        <v>2</v>
      </c>
      <c r="E715" s="1" t="s">
        <v>25</v>
      </c>
      <c r="F715" s="1" t="s">
        <v>22</v>
      </c>
      <c r="G715" s="1">
        <v>11826</v>
      </c>
      <c r="H715" s="1">
        <v>9732</v>
      </c>
      <c r="I715" s="1">
        <v>244</v>
      </c>
      <c r="J715" s="1">
        <v>120</v>
      </c>
      <c r="K715" s="1">
        <v>0</v>
      </c>
      <c r="L715" s="1" t="s">
        <v>30</v>
      </c>
      <c r="M715" s="1">
        <f>Table1[[#This Row],[ApplicantIncome]]+Table1[[#This Row],[CoapplicantIncome]]</f>
        <v>21558</v>
      </c>
      <c r="N715" s="1" t="s">
        <v>20</v>
      </c>
      <c r="O715" s="1" t="str">
        <f>IF(Table1[[#This Row],[Total_Income]]&lt;3000,"Low",IF(Table1[[#This Row],[Total_Income]]&lt;7000,"Medium","High"))</f>
        <v>High</v>
      </c>
      <c r="P715" s="1" t="str">
        <f t="shared" si="33"/>
        <v>Approved</v>
      </c>
      <c r="Q715" s="1" t="str">
        <f t="shared" si="34"/>
        <v>High Risk</v>
      </c>
      <c r="R715" s="2">
        <f t="shared" si="35"/>
        <v>2960.3933022707088</v>
      </c>
    </row>
    <row r="716" spans="1:18" s="1" customFormat="1" ht="11.5" x14ac:dyDescent="0.25">
      <c r="A716" s="1" t="s">
        <v>747</v>
      </c>
      <c r="B716" s="1" t="s">
        <v>1238</v>
      </c>
      <c r="C716" s="1" t="s">
        <v>29</v>
      </c>
      <c r="D716" s="1">
        <v>0</v>
      </c>
      <c r="E716" s="1" t="s">
        <v>17</v>
      </c>
      <c r="F716" s="1" t="s">
        <v>29</v>
      </c>
      <c r="G716" s="1">
        <v>16405</v>
      </c>
      <c r="H716" s="1">
        <v>2951</v>
      </c>
      <c r="I716" s="1">
        <v>381</v>
      </c>
      <c r="J716" s="1">
        <v>360</v>
      </c>
      <c r="K716" s="1">
        <v>1</v>
      </c>
      <c r="L716" s="1" t="s">
        <v>19</v>
      </c>
      <c r="M716" s="1">
        <f>Table1[[#This Row],[ApplicantIncome]]+Table1[[#This Row],[CoapplicantIncome]]</f>
        <v>19356</v>
      </c>
      <c r="N716" s="1" t="s">
        <v>20</v>
      </c>
      <c r="O716" s="1" t="str">
        <f>IF(Table1[[#This Row],[Total_Income]]&lt;3000,"Low",IF(Table1[[#This Row],[Total_Income]]&lt;7000,"Medium","High"))</f>
        <v>High</v>
      </c>
      <c r="P716" s="1" t="str">
        <f t="shared" si="33"/>
        <v>Approved</v>
      </c>
      <c r="Q716" s="1" t="str">
        <f t="shared" si="34"/>
        <v>Low Risk</v>
      </c>
      <c r="R716" s="2">
        <f t="shared" si="35"/>
        <v>2795.6430264804235</v>
      </c>
    </row>
    <row r="717" spans="1:18" s="1" customFormat="1" ht="11.5" x14ac:dyDescent="0.25">
      <c r="A717" s="1" t="s">
        <v>748</v>
      </c>
      <c r="B717" s="1" t="s">
        <v>52</v>
      </c>
      <c r="C717" s="1" t="s">
        <v>22</v>
      </c>
      <c r="D717" s="1" t="s">
        <v>16</v>
      </c>
      <c r="E717" s="1" t="s">
        <v>25</v>
      </c>
      <c r="F717" s="1" t="s">
        <v>29</v>
      </c>
      <c r="G717" s="1">
        <v>7553</v>
      </c>
      <c r="H717" s="1">
        <v>8058</v>
      </c>
      <c r="I717" s="1">
        <v>139</v>
      </c>
      <c r="J717" s="1">
        <v>360</v>
      </c>
      <c r="K717" s="1">
        <v>0</v>
      </c>
      <c r="L717" s="1" t="s">
        <v>30</v>
      </c>
      <c r="M717" s="1">
        <f>Table1[[#This Row],[ApplicantIncome]]+Table1[[#This Row],[CoapplicantIncome]]</f>
        <v>15611</v>
      </c>
      <c r="N717" s="1" t="s">
        <v>20</v>
      </c>
      <c r="O717" s="1" t="str">
        <f>IF(Table1[[#This Row],[Total_Income]]&lt;3000,"Low",IF(Table1[[#This Row],[Total_Income]]&lt;7000,"Medium","High"))</f>
        <v>High</v>
      </c>
      <c r="P717" s="1" t="str">
        <f t="shared" si="33"/>
        <v>Approved</v>
      </c>
      <c r="Q717" s="1" t="str">
        <f t="shared" si="34"/>
        <v>High Risk</v>
      </c>
      <c r="R717" s="2">
        <f t="shared" si="35"/>
        <v>1019.9327576923329</v>
      </c>
    </row>
    <row r="718" spans="1:18" s="1" customFormat="1" ht="11.5" x14ac:dyDescent="0.25">
      <c r="A718" s="1" t="s">
        <v>749</v>
      </c>
      <c r="B718" s="1" t="s">
        <v>52</v>
      </c>
      <c r="C718" s="1" t="s">
        <v>22</v>
      </c>
      <c r="D718" s="1">
        <v>0</v>
      </c>
      <c r="E718" s="1" t="s">
        <v>17</v>
      </c>
      <c r="F718" s="1" t="s">
        <v>29</v>
      </c>
      <c r="G718" s="1">
        <v>19527</v>
      </c>
      <c r="H718" s="1">
        <v>8951</v>
      </c>
      <c r="I718" s="1">
        <v>668</v>
      </c>
      <c r="J718" s="1">
        <v>180</v>
      </c>
      <c r="K718" s="1">
        <v>1</v>
      </c>
      <c r="L718" s="1" t="s">
        <v>30</v>
      </c>
      <c r="M718" s="1">
        <f>Table1[[#This Row],[ApplicantIncome]]+Table1[[#This Row],[CoapplicantIncome]]</f>
        <v>28478</v>
      </c>
      <c r="N718" s="1" t="s">
        <v>26</v>
      </c>
      <c r="O718" s="1" t="str">
        <f>IF(Table1[[#This Row],[Total_Income]]&lt;3000,"Low",IF(Table1[[#This Row],[Total_Income]]&lt;7000,"Medium","High"))</f>
        <v>High</v>
      </c>
      <c r="P718" s="1" t="str">
        <f t="shared" si="33"/>
        <v>Rejected</v>
      </c>
      <c r="Q718" s="1" t="str">
        <f t="shared" si="34"/>
        <v>Low Risk</v>
      </c>
      <c r="R718" s="2">
        <f t="shared" si="35"/>
        <v>6383.7559233267475</v>
      </c>
    </row>
    <row r="719" spans="1:18" s="1" customFormat="1" ht="11.5" x14ac:dyDescent="0.25">
      <c r="A719" s="1" t="s">
        <v>750</v>
      </c>
      <c r="B719" s="1" t="s">
        <v>1238</v>
      </c>
      <c r="C719" s="1" t="s">
        <v>22</v>
      </c>
      <c r="D719" s="1" t="s">
        <v>16</v>
      </c>
      <c r="E719" s="1" t="s">
        <v>17</v>
      </c>
      <c r="F719" s="1" t="s">
        <v>29</v>
      </c>
      <c r="G719" s="1">
        <v>11110</v>
      </c>
      <c r="H719" s="1">
        <v>6846</v>
      </c>
      <c r="I719" s="1">
        <v>225</v>
      </c>
      <c r="J719" s="1">
        <v>180</v>
      </c>
      <c r="K719" s="1">
        <v>1</v>
      </c>
      <c r="L719" s="1" t="s">
        <v>30</v>
      </c>
      <c r="M719" s="1">
        <f>Table1[[#This Row],[ApplicantIncome]]+Table1[[#This Row],[CoapplicantIncome]]</f>
        <v>17956</v>
      </c>
      <c r="N719" s="1" t="s">
        <v>26</v>
      </c>
      <c r="O719" s="1" t="str">
        <f>IF(Table1[[#This Row],[Total_Income]]&lt;3000,"Low",IF(Table1[[#This Row],[Total_Income]]&lt;7000,"Medium","High"))</f>
        <v>High</v>
      </c>
      <c r="P719" s="1" t="str">
        <f t="shared" si="33"/>
        <v>Rejected</v>
      </c>
      <c r="Q719" s="1" t="str">
        <f t="shared" si="34"/>
        <v>Low Risk</v>
      </c>
      <c r="R719" s="2">
        <f t="shared" si="35"/>
        <v>2150.2171897432909</v>
      </c>
    </row>
    <row r="720" spans="1:18" s="1" customFormat="1" ht="11.5" x14ac:dyDescent="0.25">
      <c r="A720" s="1" t="s">
        <v>751</v>
      </c>
      <c r="B720" s="1" t="s">
        <v>52</v>
      </c>
      <c r="C720" s="1" t="s">
        <v>29</v>
      </c>
      <c r="D720" s="1">
        <v>0</v>
      </c>
      <c r="E720" s="1" t="s">
        <v>25</v>
      </c>
      <c r="F720" s="1" t="s">
        <v>22</v>
      </c>
      <c r="G720" s="1">
        <v>9881</v>
      </c>
      <c r="H720" s="1">
        <v>9995</v>
      </c>
      <c r="I720" s="1">
        <v>597</v>
      </c>
      <c r="J720" s="1">
        <v>360</v>
      </c>
      <c r="K720" s="1">
        <v>0</v>
      </c>
      <c r="L720" s="1" t="s">
        <v>30</v>
      </c>
      <c r="M720" s="1">
        <f>Table1[[#This Row],[ApplicantIncome]]+Table1[[#This Row],[CoapplicantIncome]]</f>
        <v>19876</v>
      </c>
      <c r="N720" s="1" t="s">
        <v>26</v>
      </c>
      <c r="O720" s="1" t="str">
        <f>IF(Table1[[#This Row],[Total_Income]]&lt;3000,"Low",IF(Table1[[#This Row],[Total_Income]]&lt;7000,"Medium","High"))</f>
        <v>High</v>
      </c>
      <c r="P720" s="1" t="str">
        <f t="shared" si="33"/>
        <v>Rejected</v>
      </c>
      <c r="Q720" s="1" t="str">
        <f t="shared" si="34"/>
        <v>High Risk</v>
      </c>
      <c r="R720" s="2">
        <f t="shared" si="35"/>
        <v>4380.5745060598756</v>
      </c>
    </row>
    <row r="721" spans="1:18" s="1" customFormat="1" ht="11.5" x14ac:dyDescent="0.25">
      <c r="A721" s="1" t="s">
        <v>752</v>
      </c>
      <c r="B721" s="1" t="s">
        <v>28</v>
      </c>
      <c r="C721" s="1" t="s">
        <v>29</v>
      </c>
      <c r="D721" s="1">
        <v>2</v>
      </c>
      <c r="E721" s="1" t="s">
        <v>17</v>
      </c>
      <c r="F721" s="1" t="s">
        <v>22</v>
      </c>
      <c r="G721" s="1">
        <v>14436</v>
      </c>
      <c r="H721" s="1">
        <v>1251</v>
      </c>
      <c r="I721" s="1">
        <v>629</v>
      </c>
      <c r="J721" s="1">
        <v>360</v>
      </c>
      <c r="K721" s="1">
        <v>1</v>
      </c>
      <c r="L721" s="1" t="s">
        <v>19</v>
      </c>
      <c r="M721" s="1">
        <f>Table1[[#This Row],[ApplicantIncome]]+Table1[[#This Row],[CoapplicantIncome]]</f>
        <v>15687</v>
      </c>
      <c r="N721" s="1" t="s">
        <v>20</v>
      </c>
      <c r="O721" s="1" t="str">
        <f>IF(Table1[[#This Row],[Total_Income]]&lt;3000,"Low",IF(Table1[[#This Row],[Total_Income]]&lt;7000,"Medium","High"))</f>
        <v>High</v>
      </c>
      <c r="P721" s="1" t="str">
        <f t="shared" si="33"/>
        <v>Approved</v>
      </c>
      <c r="Q721" s="1" t="str">
        <f t="shared" si="34"/>
        <v>Low Risk</v>
      </c>
      <c r="R721" s="2">
        <f t="shared" si="35"/>
        <v>4615.3791697012757</v>
      </c>
    </row>
    <row r="722" spans="1:18" s="1" customFormat="1" ht="11.5" x14ac:dyDescent="0.25">
      <c r="A722" s="1" t="s">
        <v>753</v>
      </c>
      <c r="B722" s="1" t="s">
        <v>52</v>
      </c>
      <c r="C722" s="1" t="s">
        <v>22</v>
      </c>
      <c r="D722" s="1" t="s">
        <v>16</v>
      </c>
      <c r="E722" s="1" t="s">
        <v>25</v>
      </c>
      <c r="F722" s="1" t="s">
        <v>22</v>
      </c>
      <c r="G722" s="1">
        <v>4463</v>
      </c>
      <c r="H722" s="1">
        <v>7776</v>
      </c>
      <c r="I722" s="1">
        <v>275</v>
      </c>
      <c r="J722" s="1">
        <v>360</v>
      </c>
      <c r="K722" s="1">
        <v>0</v>
      </c>
      <c r="L722" s="1" t="s">
        <v>19</v>
      </c>
      <c r="M722" s="1">
        <f>Table1[[#This Row],[ApplicantIncome]]+Table1[[#This Row],[CoapplicantIncome]]</f>
        <v>12239</v>
      </c>
      <c r="N722" s="1" t="s">
        <v>20</v>
      </c>
      <c r="O722" s="1" t="str">
        <f>IF(Table1[[#This Row],[Total_Income]]&lt;3000,"Low",IF(Table1[[#This Row],[Total_Income]]&lt;7000,"Medium","High"))</f>
        <v>High</v>
      </c>
      <c r="P722" s="1" t="str">
        <f t="shared" si="33"/>
        <v>Approved</v>
      </c>
      <c r="Q722" s="1" t="str">
        <f t="shared" si="34"/>
        <v>High Risk</v>
      </c>
      <c r="R722" s="2">
        <f t="shared" si="35"/>
        <v>2017.8525781682845</v>
      </c>
    </row>
    <row r="723" spans="1:18" s="1" customFormat="1" ht="11.5" x14ac:dyDescent="0.25">
      <c r="A723" s="1" t="s">
        <v>754</v>
      </c>
      <c r="B723" s="1" t="s">
        <v>52</v>
      </c>
      <c r="C723" s="1" t="s">
        <v>29</v>
      </c>
      <c r="D723" s="1">
        <v>2</v>
      </c>
      <c r="E723" s="1" t="s">
        <v>17</v>
      </c>
      <c r="F723" s="1" t="s">
        <v>22</v>
      </c>
      <c r="G723" s="1">
        <v>5424</v>
      </c>
      <c r="H723" s="1">
        <v>2048</v>
      </c>
      <c r="I723" s="1">
        <v>241</v>
      </c>
      <c r="J723" s="1">
        <v>120</v>
      </c>
      <c r="K723" s="1">
        <v>0</v>
      </c>
      <c r="L723" s="1" t="s">
        <v>19</v>
      </c>
      <c r="M723" s="1">
        <f>Table1[[#This Row],[ApplicantIncome]]+Table1[[#This Row],[CoapplicantIncome]]</f>
        <v>7472</v>
      </c>
      <c r="N723" s="1" t="s">
        <v>26</v>
      </c>
      <c r="O723" s="1" t="str">
        <f>IF(Table1[[#This Row],[Total_Income]]&lt;3000,"Low",IF(Table1[[#This Row],[Total_Income]]&lt;7000,"Medium","High"))</f>
        <v>High</v>
      </c>
      <c r="P723" s="1" t="str">
        <f t="shared" si="33"/>
        <v>Rejected</v>
      </c>
      <c r="Q723" s="1" t="str">
        <f t="shared" si="34"/>
        <v>High Risk</v>
      </c>
      <c r="R723" s="2">
        <f t="shared" si="35"/>
        <v>2923.9950239641021</v>
      </c>
    </row>
    <row r="724" spans="1:18" s="1" customFormat="1" ht="11.5" x14ac:dyDescent="0.25">
      <c r="A724" s="1" t="s">
        <v>755</v>
      </c>
      <c r="B724" s="1" t="s">
        <v>52</v>
      </c>
      <c r="C724" s="1" t="s">
        <v>22</v>
      </c>
      <c r="D724" s="1">
        <v>1</v>
      </c>
      <c r="E724" s="1" t="s">
        <v>25</v>
      </c>
      <c r="F724" s="1" t="s">
        <v>22</v>
      </c>
      <c r="G724" s="1">
        <v>16393</v>
      </c>
      <c r="H724" s="1">
        <v>1892</v>
      </c>
      <c r="I724" s="1">
        <v>339</v>
      </c>
      <c r="J724" s="1">
        <v>360</v>
      </c>
      <c r="K724" s="1">
        <v>0</v>
      </c>
      <c r="L724" s="1" t="s">
        <v>19</v>
      </c>
      <c r="M724" s="1">
        <f>Table1[[#This Row],[ApplicantIncome]]+Table1[[#This Row],[CoapplicantIncome]]</f>
        <v>18285</v>
      </c>
      <c r="N724" s="1" t="s">
        <v>20</v>
      </c>
      <c r="O724" s="1" t="str">
        <f>IF(Table1[[#This Row],[Total_Income]]&lt;3000,"Low",IF(Table1[[#This Row],[Total_Income]]&lt;7000,"Medium","High"))</f>
        <v>High</v>
      </c>
      <c r="P724" s="1" t="str">
        <f t="shared" si="33"/>
        <v>Approved</v>
      </c>
      <c r="Q724" s="1" t="str">
        <f t="shared" si="34"/>
        <v>High Risk</v>
      </c>
      <c r="R724" s="2">
        <f t="shared" si="35"/>
        <v>2487.4619054510854</v>
      </c>
    </row>
    <row r="725" spans="1:18" s="1" customFormat="1" ht="11.5" x14ac:dyDescent="0.25">
      <c r="A725" s="1" t="s">
        <v>756</v>
      </c>
      <c r="B725" s="1" t="s">
        <v>1238</v>
      </c>
      <c r="C725" s="1" t="s">
        <v>22</v>
      </c>
      <c r="D725" s="1">
        <v>1</v>
      </c>
      <c r="E725" s="1" t="s">
        <v>17</v>
      </c>
      <c r="F725" s="1" t="s">
        <v>22</v>
      </c>
      <c r="G725" s="1">
        <v>3304</v>
      </c>
      <c r="H725" s="1">
        <v>6651</v>
      </c>
      <c r="I725" s="1">
        <v>214</v>
      </c>
      <c r="J725" s="1">
        <v>360</v>
      </c>
      <c r="K725" s="1">
        <v>0</v>
      </c>
      <c r="L725" s="1" t="s">
        <v>30</v>
      </c>
      <c r="M725" s="1">
        <f>Table1[[#This Row],[ApplicantIncome]]+Table1[[#This Row],[CoapplicantIncome]]</f>
        <v>9955</v>
      </c>
      <c r="N725" s="1" t="s">
        <v>20</v>
      </c>
      <c r="O725" s="1" t="str">
        <f>IF(Table1[[#This Row],[Total_Income]]&lt;3000,"Low",IF(Table1[[#This Row],[Total_Income]]&lt;7000,"Medium","High"))</f>
        <v>High</v>
      </c>
      <c r="P725" s="1" t="str">
        <f t="shared" si="33"/>
        <v>Approved</v>
      </c>
      <c r="Q725" s="1" t="str">
        <f t="shared" si="34"/>
        <v>High Risk</v>
      </c>
      <c r="R725" s="2">
        <f t="shared" si="35"/>
        <v>1570.2561881018651</v>
      </c>
    </row>
    <row r="726" spans="1:18" s="1" customFormat="1" ht="11.5" x14ac:dyDescent="0.25">
      <c r="A726" s="1" t="s">
        <v>757</v>
      </c>
      <c r="B726" s="1" t="s">
        <v>52</v>
      </c>
      <c r="C726" s="1" t="s">
        <v>22</v>
      </c>
      <c r="D726" s="1" t="s">
        <v>16</v>
      </c>
      <c r="E726" s="1" t="s">
        <v>25</v>
      </c>
      <c r="F726" s="1" t="s">
        <v>22</v>
      </c>
      <c r="G726" s="1">
        <v>5680</v>
      </c>
      <c r="H726" s="1">
        <v>7016</v>
      </c>
      <c r="I726" s="1">
        <v>575</v>
      </c>
      <c r="J726" s="1">
        <v>120</v>
      </c>
      <c r="K726" s="1">
        <v>1</v>
      </c>
      <c r="L726" s="1" t="s">
        <v>19</v>
      </c>
      <c r="M726" s="1">
        <f>Table1[[#This Row],[ApplicantIncome]]+Table1[[#This Row],[CoapplicantIncome]]</f>
        <v>12696</v>
      </c>
      <c r="N726" s="1" t="s">
        <v>20</v>
      </c>
      <c r="O726" s="1" t="str">
        <f>IF(Table1[[#This Row],[Total_Income]]&lt;3000,"Low",IF(Table1[[#This Row],[Total_Income]]&lt;7000,"Medium","High"))</f>
        <v>High</v>
      </c>
      <c r="P726" s="1" t="str">
        <f t="shared" si="33"/>
        <v>Approved</v>
      </c>
      <c r="Q726" s="1" t="str">
        <f t="shared" si="34"/>
        <v>Low Risk</v>
      </c>
      <c r="R726" s="2">
        <f t="shared" si="35"/>
        <v>6976.3366754330236</v>
      </c>
    </row>
    <row r="727" spans="1:18" s="1" customFormat="1" ht="11.5" x14ac:dyDescent="0.25">
      <c r="A727" s="1" t="s">
        <v>758</v>
      </c>
      <c r="B727" s="1" t="s">
        <v>28</v>
      </c>
      <c r="C727" s="1" t="s">
        <v>22</v>
      </c>
      <c r="D727" s="1">
        <v>0</v>
      </c>
      <c r="E727" s="1" t="s">
        <v>17</v>
      </c>
      <c r="F727" s="1" t="s">
        <v>22</v>
      </c>
      <c r="G727" s="1">
        <v>2585</v>
      </c>
      <c r="H727" s="1">
        <v>8273</v>
      </c>
      <c r="I727" s="1">
        <v>154</v>
      </c>
      <c r="J727" s="1">
        <v>180</v>
      </c>
      <c r="K727" s="1">
        <v>0</v>
      </c>
      <c r="L727" s="1" t="s">
        <v>30</v>
      </c>
      <c r="M727" s="1">
        <f>Table1[[#This Row],[ApplicantIncome]]+Table1[[#This Row],[CoapplicantIncome]]</f>
        <v>10858</v>
      </c>
      <c r="N727" s="1" t="s">
        <v>26</v>
      </c>
      <c r="O727" s="1" t="str">
        <f>IF(Table1[[#This Row],[Total_Income]]&lt;3000,"Low",IF(Table1[[#This Row],[Total_Income]]&lt;7000,"Medium","High"))</f>
        <v>High</v>
      </c>
      <c r="P727" s="1" t="str">
        <f t="shared" si="33"/>
        <v>Rejected</v>
      </c>
      <c r="Q727" s="1" t="str">
        <f t="shared" si="34"/>
        <v>High Risk</v>
      </c>
      <c r="R727" s="2">
        <f t="shared" si="35"/>
        <v>1471.7042098687411</v>
      </c>
    </row>
    <row r="728" spans="1:18" s="1" customFormat="1" ht="11.5" x14ac:dyDescent="0.25">
      <c r="A728" s="1" t="s">
        <v>759</v>
      </c>
      <c r="B728" s="1" t="s">
        <v>28</v>
      </c>
      <c r="C728" s="1" t="s">
        <v>22</v>
      </c>
      <c r="D728" s="1">
        <v>2</v>
      </c>
      <c r="E728" s="1" t="s">
        <v>25</v>
      </c>
      <c r="F728" s="1" t="s">
        <v>22</v>
      </c>
      <c r="G728" s="1">
        <v>8177</v>
      </c>
      <c r="H728" s="1">
        <v>6338</v>
      </c>
      <c r="I728" s="1">
        <v>254</v>
      </c>
      <c r="J728" s="1">
        <v>180</v>
      </c>
      <c r="K728" s="1">
        <v>1</v>
      </c>
      <c r="L728" s="1" t="s">
        <v>19</v>
      </c>
      <c r="M728" s="1">
        <f>Table1[[#This Row],[ApplicantIncome]]+Table1[[#This Row],[CoapplicantIncome]]</f>
        <v>14515</v>
      </c>
      <c r="N728" s="1" t="s">
        <v>20</v>
      </c>
      <c r="O728" s="1" t="str">
        <f>IF(Table1[[#This Row],[Total_Income]]&lt;3000,"Low",IF(Table1[[#This Row],[Total_Income]]&lt;7000,"Medium","High"))</f>
        <v>High</v>
      </c>
      <c r="P728" s="1" t="str">
        <f t="shared" si="33"/>
        <v>Approved</v>
      </c>
      <c r="Q728" s="1" t="str">
        <f t="shared" si="34"/>
        <v>Low Risk</v>
      </c>
      <c r="R728" s="2">
        <f t="shared" si="35"/>
        <v>2427.3562941990926</v>
      </c>
    </row>
    <row r="729" spans="1:18" s="1" customFormat="1" ht="11.5" x14ac:dyDescent="0.25">
      <c r="A729" s="1" t="s">
        <v>760</v>
      </c>
      <c r="B729" s="1" t="s">
        <v>52</v>
      </c>
      <c r="C729" s="1" t="s">
        <v>22</v>
      </c>
      <c r="D729" s="1">
        <v>1</v>
      </c>
      <c r="E729" s="1" t="s">
        <v>25</v>
      </c>
      <c r="F729" s="1" t="s">
        <v>29</v>
      </c>
      <c r="G729" s="1">
        <v>3340</v>
      </c>
      <c r="H729" s="1">
        <v>6217</v>
      </c>
      <c r="I729" s="1">
        <v>209</v>
      </c>
      <c r="J729" s="1">
        <v>360</v>
      </c>
      <c r="K729" s="1">
        <v>0</v>
      </c>
      <c r="L729" s="1" t="s">
        <v>41</v>
      </c>
      <c r="M729" s="1">
        <f>Table1[[#This Row],[ApplicantIncome]]+Table1[[#This Row],[CoapplicantIncome]]</f>
        <v>9557</v>
      </c>
      <c r="N729" s="1" t="s">
        <v>20</v>
      </c>
      <c r="O729" s="1" t="str">
        <f>IF(Table1[[#This Row],[Total_Income]]&lt;3000,"Low",IF(Table1[[#This Row],[Total_Income]]&lt;7000,"Medium","High"))</f>
        <v>High</v>
      </c>
      <c r="P729" s="1" t="str">
        <f t="shared" si="33"/>
        <v>Approved</v>
      </c>
      <c r="Q729" s="1" t="str">
        <f t="shared" si="34"/>
        <v>High Risk</v>
      </c>
      <c r="R729" s="2">
        <f t="shared" si="35"/>
        <v>1533.5679594078961</v>
      </c>
    </row>
    <row r="730" spans="1:18" s="1" customFormat="1" ht="11.5" x14ac:dyDescent="0.25">
      <c r="A730" s="1" t="s">
        <v>761</v>
      </c>
      <c r="B730" s="1" t="s">
        <v>28</v>
      </c>
      <c r="C730" s="1" t="s">
        <v>22</v>
      </c>
      <c r="D730" s="1" t="s">
        <v>16</v>
      </c>
      <c r="E730" s="1" t="s">
        <v>25</v>
      </c>
      <c r="F730" s="1" t="s">
        <v>29</v>
      </c>
      <c r="G730" s="1">
        <v>17399</v>
      </c>
      <c r="H730" s="1">
        <v>9792</v>
      </c>
      <c r="I730" s="1">
        <v>316</v>
      </c>
      <c r="J730" s="1">
        <v>120</v>
      </c>
      <c r="K730" s="1">
        <v>0</v>
      </c>
      <c r="L730" s="1" t="s">
        <v>19</v>
      </c>
      <c r="M730" s="1">
        <f>Table1[[#This Row],[ApplicantIncome]]+Table1[[#This Row],[CoapplicantIncome]]</f>
        <v>27191</v>
      </c>
      <c r="N730" s="1" t="s">
        <v>20</v>
      </c>
      <c r="O730" s="1" t="str">
        <f>IF(Table1[[#This Row],[Total_Income]]&lt;3000,"Low",IF(Table1[[#This Row],[Total_Income]]&lt;7000,"Medium","High"))</f>
        <v>High</v>
      </c>
      <c r="P730" s="1" t="str">
        <f t="shared" si="33"/>
        <v>Approved</v>
      </c>
      <c r="Q730" s="1" t="str">
        <f t="shared" si="34"/>
        <v>High Risk</v>
      </c>
      <c r="R730" s="2">
        <f t="shared" si="35"/>
        <v>3833.9519816292786</v>
      </c>
    </row>
    <row r="731" spans="1:18" s="1" customFormat="1" ht="11.5" x14ac:dyDescent="0.25">
      <c r="A731" s="1" t="s">
        <v>762</v>
      </c>
      <c r="B731" s="1" t="s">
        <v>52</v>
      </c>
      <c r="C731" s="1" t="s">
        <v>22</v>
      </c>
      <c r="D731" s="1" t="s">
        <v>16</v>
      </c>
      <c r="E731" s="1" t="s">
        <v>25</v>
      </c>
      <c r="F731" s="1" t="s">
        <v>22</v>
      </c>
      <c r="G731" s="1">
        <v>8120</v>
      </c>
      <c r="H731" s="1">
        <v>9729</v>
      </c>
      <c r="I731" s="1">
        <v>463</v>
      </c>
      <c r="J731" s="1">
        <v>120</v>
      </c>
      <c r="K731" s="1">
        <v>0</v>
      </c>
      <c r="L731" s="1" t="s">
        <v>19</v>
      </c>
      <c r="M731" s="1">
        <f>Table1[[#This Row],[ApplicantIncome]]+Table1[[#This Row],[CoapplicantIncome]]</f>
        <v>17849</v>
      </c>
      <c r="N731" s="1" t="s">
        <v>26</v>
      </c>
      <c r="O731" s="1" t="str">
        <f>IF(Table1[[#This Row],[Total_Income]]&lt;3000,"Low",IF(Table1[[#This Row],[Total_Income]]&lt;7000,"Medium","High"))</f>
        <v>High</v>
      </c>
      <c r="P731" s="1" t="str">
        <f t="shared" si="33"/>
        <v>Rejected</v>
      </c>
      <c r="Q731" s="1" t="str">
        <f t="shared" si="34"/>
        <v>High Risk</v>
      </c>
      <c r="R731" s="2">
        <f t="shared" si="35"/>
        <v>5617.467618653026</v>
      </c>
    </row>
    <row r="732" spans="1:18" s="1" customFormat="1" ht="11.5" x14ac:dyDescent="0.25">
      <c r="A732" s="1" t="s">
        <v>763</v>
      </c>
      <c r="B732" s="1" t="s">
        <v>28</v>
      </c>
      <c r="C732" s="1" t="s">
        <v>29</v>
      </c>
      <c r="D732" s="1">
        <v>1</v>
      </c>
      <c r="E732" s="1" t="s">
        <v>17</v>
      </c>
      <c r="F732" s="1" t="s">
        <v>22</v>
      </c>
      <c r="G732" s="1">
        <v>4111</v>
      </c>
      <c r="H732" s="1">
        <v>8004</v>
      </c>
      <c r="I732" s="1">
        <v>423</v>
      </c>
      <c r="J732" s="1">
        <v>360</v>
      </c>
      <c r="K732" s="1">
        <v>0</v>
      </c>
      <c r="L732" s="1" t="s">
        <v>30</v>
      </c>
      <c r="M732" s="1">
        <f>Table1[[#This Row],[ApplicantIncome]]+Table1[[#This Row],[CoapplicantIncome]]</f>
        <v>12115</v>
      </c>
      <c r="N732" s="1" t="s">
        <v>26</v>
      </c>
      <c r="O732" s="1" t="str">
        <f>IF(Table1[[#This Row],[Total_Income]]&lt;3000,"Low",IF(Table1[[#This Row],[Total_Income]]&lt;7000,"Medium","High"))</f>
        <v>High</v>
      </c>
      <c r="P732" s="1" t="str">
        <f t="shared" si="33"/>
        <v>Rejected</v>
      </c>
      <c r="Q732" s="1" t="str">
        <f t="shared" si="34"/>
        <v>High Risk</v>
      </c>
      <c r="R732" s="2">
        <f t="shared" si="35"/>
        <v>3103.8241475097611</v>
      </c>
    </row>
    <row r="733" spans="1:18" s="1" customFormat="1" ht="11.5" x14ac:dyDescent="0.25">
      <c r="A733" s="1" t="s">
        <v>764</v>
      </c>
      <c r="B733" s="1" t="s">
        <v>28</v>
      </c>
      <c r="C733" s="1" t="s">
        <v>22</v>
      </c>
      <c r="D733" s="1">
        <v>0</v>
      </c>
      <c r="E733" s="1" t="s">
        <v>17</v>
      </c>
      <c r="F733" s="1" t="s">
        <v>29</v>
      </c>
      <c r="G733" s="1">
        <v>3104</v>
      </c>
      <c r="H733" s="1">
        <v>3575</v>
      </c>
      <c r="I733" s="1">
        <v>422</v>
      </c>
      <c r="J733" s="1">
        <v>360</v>
      </c>
      <c r="K733" s="1">
        <v>0</v>
      </c>
      <c r="L733" s="1" t="s">
        <v>30</v>
      </c>
      <c r="M733" s="1">
        <f>Table1[[#This Row],[ApplicantIncome]]+Table1[[#This Row],[CoapplicantIncome]]</f>
        <v>6679</v>
      </c>
      <c r="N733" s="1" t="s">
        <v>20</v>
      </c>
      <c r="O733" s="1" t="str">
        <f>IF(Table1[[#This Row],[Total_Income]]&lt;3000,"Low",IF(Table1[[#This Row],[Total_Income]]&lt;7000,"Medium","High"))</f>
        <v>Medium</v>
      </c>
      <c r="P733" s="1" t="str">
        <f t="shared" si="33"/>
        <v>Approved</v>
      </c>
      <c r="Q733" s="1" t="str">
        <f t="shared" si="34"/>
        <v>High Risk</v>
      </c>
      <c r="R733" s="2">
        <f t="shared" si="35"/>
        <v>3096.4865017709676</v>
      </c>
    </row>
    <row r="734" spans="1:18" s="1" customFormat="1" ht="11.5" x14ac:dyDescent="0.25">
      <c r="A734" s="1" t="s">
        <v>765</v>
      </c>
      <c r="B734" s="1" t="s">
        <v>1238</v>
      </c>
      <c r="C734" s="1" t="s">
        <v>22</v>
      </c>
      <c r="D734" s="1">
        <v>1</v>
      </c>
      <c r="E734" s="1" t="s">
        <v>17</v>
      </c>
      <c r="F734" s="1" t="s">
        <v>22</v>
      </c>
      <c r="G734" s="1">
        <v>15615</v>
      </c>
      <c r="H734" s="1">
        <v>3718</v>
      </c>
      <c r="I734" s="1">
        <v>344</v>
      </c>
      <c r="J734" s="1">
        <v>360</v>
      </c>
      <c r="K734" s="1">
        <v>0</v>
      </c>
      <c r="L734" s="1" t="s">
        <v>30</v>
      </c>
      <c r="M734" s="1">
        <f>Table1[[#This Row],[ApplicantIncome]]+Table1[[#This Row],[CoapplicantIncome]]</f>
        <v>19333</v>
      </c>
      <c r="N734" s="1" t="s">
        <v>26</v>
      </c>
      <c r="O734" s="1" t="str">
        <f>IF(Table1[[#This Row],[Total_Income]]&lt;3000,"Low",IF(Table1[[#This Row],[Total_Income]]&lt;7000,"Medium","High"))</f>
        <v>High</v>
      </c>
      <c r="P734" s="1" t="str">
        <f t="shared" si="33"/>
        <v>Rejected</v>
      </c>
      <c r="Q734" s="1" t="str">
        <f t="shared" si="34"/>
        <v>High Risk</v>
      </c>
      <c r="R734" s="2">
        <f t="shared" si="35"/>
        <v>2524.1501341450544</v>
      </c>
    </row>
    <row r="735" spans="1:18" s="1" customFormat="1" ht="11.5" x14ac:dyDescent="0.25">
      <c r="A735" s="1" t="s">
        <v>766</v>
      </c>
      <c r="B735" s="1" t="s">
        <v>28</v>
      </c>
      <c r="C735" s="1" t="s">
        <v>22</v>
      </c>
      <c r="D735" s="1">
        <v>0</v>
      </c>
      <c r="E735" s="1" t="s">
        <v>17</v>
      </c>
      <c r="F735" s="1" t="s">
        <v>22</v>
      </c>
      <c r="G735" s="1">
        <v>7699</v>
      </c>
      <c r="H735" s="1">
        <v>2771</v>
      </c>
      <c r="I735" s="1">
        <v>652</v>
      </c>
      <c r="J735" s="1">
        <v>360</v>
      </c>
      <c r="K735" s="1">
        <v>1</v>
      </c>
      <c r="L735" s="1" t="s">
        <v>19</v>
      </c>
      <c r="M735" s="1">
        <f>Table1[[#This Row],[ApplicantIncome]]+Table1[[#This Row],[CoapplicantIncome]]</f>
        <v>10470</v>
      </c>
      <c r="N735" s="1" t="s">
        <v>20</v>
      </c>
      <c r="O735" s="1" t="str">
        <f>IF(Table1[[#This Row],[Total_Income]]&lt;3000,"Low",IF(Table1[[#This Row],[Total_Income]]&lt;7000,"Medium","High"))</f>
        <v>High</v>
      </c>
      <c r="P735" s="1" t="str">
        <f t="shared" si="33"/>
        <v>Approved</v>
      </c>
      <c r="Q735" s="1" t="str">
        <f t="shared" si="34"/>
        <v>Low Risk</v>
      </c>
      <c r="R735" s="2">
        <f t="shared" si="35"/>
        <v>4784.1450216935327</v>
      </c>
    </row>
    <row r="736" spans="1:18" s="1" customFormat="1" ht="11.5" x14ac:dyDescent="0.25">
      <c r="A736" s="1" t="s">
        <v>767</v>
      </c>
      <c r="B736" s="1" t="s">
        <v>28</v>
      </c>
      <c r="C736" s="1" t="s">
        <v>22</v>
      </c>
      <c r="D736" s="1">
        <v>2</v>
      </c>
      <c r="E736" s="1" t="s">
        <v>17</v>
      </c>
      <c r="F736" s="1" t="s">
        <v>29</v>
      </c>
      <c r="G736" s="1">
        <v>7451</v>
      </c>
      <c r="H736" s="1">
        <v>1295</v>
      </c>
      <c r="I736" s="1">
        <v>599</v>
      </c>
      <c r="J736" s="1">
        <v>180</v>
      </c>
      <c r="K736" s="1">
        <v>0</v>
      </c>
      <c r="L736" s="1" t="s">
        <v>19</v>
      </c>
      <c r="M736" s="1">
        <f>Table1[[#This Row],[ApplicantIncome]]+Table1[[#This Row],[CoapplicantIncome]]</f>
        <v>8746</v>
      </c>
      <c r="N736" s="1" t="s">
        <v>26</v>
      </c>
      <c r="O736" s="1" t="str">
        <f>IF(Table1[[#This Row],[Total_Income]]&lt;3000,"Low",IF(Table1[[#This Row],[Total_Income]]&lt;7000,"Medium","High"))</f>
        <v>High</v>
      </c>
      <c r="P736" s="1" t="str">
        <f t="shared" si="33"/>
        <v>Rejected</v>
      </c>
      <c r="Q736" s="1" t="str">
        <f t="shared" si="34"/>
        <v>High Risk</v>
      </c>
      <c r="R736" s="2">
        <f t="shared" si="35"/>
        <v>5724.3559851388054</v>
      </c>
    </row>
    <row r="737" spans="1:18" s="1" customFormat="1" ht="11.5" x14ac:dyDescent="0.25">
      <c r="A737" s="1" t="s">
        <v>768</v>
      </c>
      <c r="B737" s="1" t="s">
        <v>1238</v>
      </c>
      <c r="C737" s="1" t="s">
        <v>22</v>
      </c>
      <c r="D737" s="1" t="s">
        <v>16</v>
      </c>
      <c r="E737" s="1" t="s">
        <v>25</v>
      </c>
      <c r="F737" s="1" t="s">
        <v>22</v>
      </c>
      <c r="G737" s="1">
        <v>12889</v>
      </c>
      <c r="H737" s="1">
        <v>874</v>
      </c>
      <c r="I737" s="1">
        <v>159</v>
      </c>
      <c r="J737" s="1">
        <v>360</v>
      </c>
      <c r="K737" s="1">
        <v>0</v>
      </c>
      <c r="L737" s="1" t="s">
        <v>30</v>
      </c>
      <c r="M737" s="1">
        <f>Table1[[#This Row],[ApplicantIncome]]+Table1[[#This Row],[CoapplicantIncome]]</f>
        <v>13763</v>
      </c>
      <c r="N737" s="1" t="s">
        <v>26</v>
      </c>
      <c r="O737" s="1" t="str">
        <f>IF(Table1[[#This Row],[Total_Income]]&lt;3000,"Low",IF(Table1[[#This Row],[Total_Income]]&lt;7000,"Medium","High"))</f>
        <v>High</v>
      </c>
      <c r="P737" s="1" t="str">
        <f t="shared" si="33"/>
        <v>Rejected</v>
      </c>
      <c r="Q737" s="1" t="str">
        <f t="shared" si="34"/>
        <v>High Risk</v>
      </c>
      <c r="R737" s="2">
        <f t="shared" si="35"/>
        <v>1166.6856724682082</v>
      </c>
    </row>
    <row r="738" spans="1:18" s="1" customFormat="1" ht="11.5" x14ac:dyDescent="0.25">
      <c r="A738" s="1" t="s">
        <v>769</v>
      </c>
      <c r="B738" s="1" t="s">
        <v>28</v>
      </c>
      <c r="C738" s="1" t="s">
        <v>29</v>
      </c>
      <c r="D738" s="1">
        <v>0</v>
      </c>
      <c r="E738" s="1" t="s">
        <v>25</v>
      </c>
      <c r="F738" s="1" t="s">
        <v>22</v>
      </c>
      <c r="G738" s="1">
        <v>16171</v>
      </c>
      <c r="H738" s="1">
        <v>4553</v>
      </c>
      <c r="I738" s="1">
        <v>304</v>
      </c>
      <c r="J738" s="1">
        <v>360</v>
      </c>
      <c r="K738" s="1">
        <v>0</v>
      </c>
      <c r="L738" s="1" t="s">
        <v>41</v>
      </c>
      <c r="M738" s="1">
        <f>Table1[[#This Row],[ApplicantIncome]]+Table1[[#This Row],[CoapplicantIncome]]</f>
        <v>20724</v>
      </c>
      <c r="N738" s="1" t="s">
        <v>20</v>
      </c>
      <c r="O738" s="1" t="str">
        <f>IF(Table1[[#This Row],[Total_Income]]&lt;3000,"Low",IF(Table1[[#This Row],[Total_Income]]&lt;7000,"Medium","High"))</f>
        <v>High</v>
      </c>
      <c r="P738" s="1" t="str">
        <f t="shared" si="33"/>
        <v>Approved</v>
      </c>
      <c r="Q738" s="1" t="str">
        <f t="shared" si="34"/>
        <v>High Risk</v>
      </c>
      <c r="R738" s="2">
        <f t="shared" si="35"/>
        <v>2230.6443045933038</v>
      </c>
    </row>
    <row r="739" spans="1:18" s="1" customFormat="1" ht="11.5" x14ac:dyDescent="0.25">
      <c r="A739" s="1" t="s">
        <v>770</v>
      </c>
      <c r="B739" s="1" t="s">
        <v>1238</v>
      </c>
      <c r="C739" s="1" t="s">
        <v>22</v>
      </c>
      <c r="D739" s="1">
        <v>0</v>
      </c>
      <c r="E739" s="1" t="s">
        <v>17</v>
      </c>
      <c r="F739" s="1" t="s">
        <v>29</v>
      </c>
      <c r="G739" s="1">
        <v>13633</v>
      </c>
      <c r="H739" s="1">
        <v>5934</v>
      </c>
      <c r="I739" s="1">
        <v>57</v>
      </c>
      <c r="J739" s="1">
        <v>180</v>
      </c>
      <c r="K739" s="1">
        <v>0</v>
      </c>
      <c r="L739" s="1" t="s">
        <v>19</v>
      </c>
      <c r="M739" s="1">
        <f>Table1[[#This Row],[ApplicantIncome]]+Table1[[#This Row],[CoapplicantIncome]]</f>
        <v>19567</v>
      </c>
      <c r="N739" s="1" t="s">
        <v>20</v>
      </c>
      <c r="O739" s="1" t="str">
        <f>IF(Table1[[#This Row],[Total_Income]]&lt;3000,"Low",IF(Table1[[#This Row],[Total_Income]]&lt;7000,"Medium","High"))</f>
        <v>High</v>
      </c>
      <c r="P739" s="1" t="str">
        <f t="shared" si="33"/>
        <v>Approved</v>
      </c>
      <c r="Q739" s="1" t="str">
        <f t="shared" si="34"/>
        <v>High Risk</v>
      </c>
      <c r="R739" s="2">
        <f t="shared" si="35"/>
        <v>544.72168806830041</v>
      </c>
    </row>
    <row r="740" spans="1:18" s="1" customFormat="1" ht="11.5" x14ac:dyDescent="0.25">
      <c r="A740" s="1" t="s">
        <v>771</v>
      </c>
      <c r="B740" s="1" t="s">
        <v>28</v>
      </c>
      <c r="C740" s="1" t="s">
        <v>22</v>
      </c>
      <c r="D740" s="1">
        <v>1</v>
      </c>
      <c r="E740" s="1" t="s">
        <v>17</v>
      </c>
      <c r="F740" s="1" t="s">
        <v>22</v>
      </c>
      <c r="G740" s="1">
        <v>19323</v>
      </c>
      <c r="H740" s="1">
        <v>7890</v>
      </c>
      <c r="I740" s="1">
        <v>72</v>
      </c>
      <c r="J740" s="1">
        <v>180</v>
      </c>
      <c r="K740" s="1">
        <v>1</v>
      </c>
      <c r="L740" s="1" t="s">
        <v>30</v>
      </c>
      <c r="M740" s="1">
        <f>Table1[[#This Row],[ApplicantIncome]]+Table1[[#This Row],[CoapplicantIncome]]</f>
        <v>27213</v>
      </c>
      <c r="N740" s="1" t="s">
        <v>26</v>
      </c>
      <c r="O740" s="1" t="str">
        <f>IF(Table1[[#This Row],[Total_Income]]&lt;3000,"Low",IF(Table1[[#This Row],[Total_Income]]&lt;7000,"Medium","High"))</f>
        <v>High</v>
      </c>
      <c r="P740" s="1" t="str">
        <f t="shared" si="33"/>
        <v>Rejected</v>
      </c>
      <c r="Q740" s="1" t="str">
        <f t="shared" si="34"/>
        <v>Low Risk</v>
      </c>
      <c r="R740" s="2">
        <f t="shared" si="35"/>
        <v>688.06950071785297</v>
      </c>
    </row>
    <row r="741" spans="1:18" s="1" customFormat="1" ht="11.5" x14ac:dyDescent="0.25">
      <c r="A741" s="1" t="s">
        <v>772</v>
      </c>
      <c r="B741" s="1" t="s">
        <v>28</v>
      </c>
      <c r="C741" s="1" t="s">
        <v>22</v>
      </c>
      <c r="D741" s="1">
        <v>1</v>
      </c>
      <c r="E741" s="1" t="s">
        <v>25</v>
      </c>
      <c r="F741" s="1" t="s">
        <v>22</v>
      </c>
      <c r="G741" s="1">
        <v>14309</v>
      </c>
      <c r="H741" s="1">
        <v>4222</v>
      </c>
      <c r="I741" s="1">
        <v>194</v>
      </c>
      <c r="J741" s="1">
        <v>360</v>
      </c>
      <c r="K741" s="1">
        <v>0</v>
      </c>
      <c r="L741" s="1" t="s">
        <v>41</v>
      </c>
      <c r="M741" s="1">
        <f>Table1[[#This Row],[ApplicantIncome]]+Table1[[#This Row],[CoapplicantIncome]]</f>
        <v>18531</v>
      </c>
      <c r="N741" s="1" t="s">
        <v>26</v>
      </c>
      <c r="O741" s="1" t="str">
        <f>IF(Table1[[#This Row],[Total_Income]]&lt;3000,"Low",IF(Table1[[#This Row],[Total_Income]]&lt;7000,"Medium","High"))</f>
        <v>High</v>
      </c>
      <c r="P741" s="1" t="str">
        <f t="shared" si="33"/>
        <v>Rejected</v>
      </c>
      <c r="Q741" s="1" t="str">
        <f t="shared" si="34"/>
        <v>High Risk</v>
      </c>
      <c r="R741" s="2">
        <f t="shared" si="35"/>
        <v>1423.5032733259898</v>
      </c>
    </row>
    <row r="742" spans="1:18" s="1" customFormat="1" ht="11.5" x14ac:dyDescent="0.25">
      <c r="A742" s="1" t="s">
        <v>773</v>
      </c>
      <c r="B742" s="1" t="s">
        <v>1238</v>
      </c>
      <c r="C742" s="1" t="s">
        <v>22</v>
      </c>
      <c r="D742" s="1">
        <v>2</v>
      </c>
      <c r="E742" s="1" t="s">
        <v>17</v>
      </c>
      <c r="F742" s="1" t="s">
        <v>22</v>
      </c>
      <c r="G742" s="1">
        <v>8480</v>
      </c>
      <c r="H742" s="1">
        <v>7061</v>
      </c>
      <c r="I742" s="1">
        <v>543</v>
      </c>
      <c r="J742" s="1">
        <v>360</v>
      </c>
      <c r="K742" s="1">
        <v>1</v>
      </c>
      <c r="L742" s="1" t="s">
        <v>19</v>
      </c>
      <c r="M742" s="1">
        <f>Table1[[#This Row],[ApplicantIncome]]+Table1[[#This Row],[CoapplicantIncome]]</f>
        <v>15541</v>
      </c>
      <c r="N742" s="1" t="s">
        <v>20</v>
      </c>
      <c r="O742" s="1" t="str">
        <f>IF(Table1[[#This Row],[Total_Income]]&lt;3000,"Low",IF(Table1[[#This Row],[Total_Income]]&lt;7000,"Medium","High"))</f>
        <v>High</v>
      </c>
      <c r="P742" s="1" t="str">
        <f t="shared" si="33"/>
        <v>Approved</v>
      </c>
      <c r="Q742" s="1" t="str">
        <f t="shared" si="34"/>
        <v>Low Risk</v>
      </c>
      <c r="R742" s="2">
        <f t="shared" si="35"/>
        <v>3984.3416361650129</v>
      </c>
    </row>
    <row r="743" spans="1:18" s="1" customFormat="1" ht="11.5" x14ac:dyDescent="0.25">
      <c r="A743" s="1" t="s">
        <v>774</v>
      </c>
      <c r="B743" s="1" t="s">
        <v>1238</v>
      </c>
      <c r="C743" s="1" t="s">
        <v>22</v>
      </c>
      <c r="D743" s="1" t="s">
        <v>16</v>
      </c>
      <c r="E743" s="1" t="s">
        <v>17</v>
      </c>
      <c r="F743" s="1" t="s">
        <v>22</v>
      </c>
      <c r="G743" s="1">
        <v>6059</v>
      </c>
      <c r="H743" s="1">
        <v>4699</v>
      </c>
      <c r="I743" s="1">
        <v>392</v>
      </c>
      <c r="J743" s="1">
        <v>120</v>
      </c>
      <c r="K743" s="1">
        <v>0</v>
      </c>
      <c r="L743" s="1" t="s">
        <v>19</v>
      </c>
      <c r="M743" s="1">
        <f>Table1[[#This Row],[ApplicantIncome]]+Table1[[#This Row],[CoapplicantIncome]]</f>
        <v>10758</v>
      </c>
      <c r="N743" s="1" t="s">
        <v>26</v>
      </c>
      <c r="O743" s="1" t="str">
        <f>IF(Table1[[#This Row],[Total_Income]]&lt;3000,"Low",IF(Table1[[#This Row],[Total_Income]]&lt;7000,"Medium","High"))</f>
        <v>High</v>
      </c>
      <c r="P743" s="1" t="str">
        <f t="shared" si="33"/>
        <v>Rejected</v>
      </c>
      <c r="Q743" s="1" t="str">
        <f t="shared" si="34"/>
        <v>High Risk</v>
      </c>
      <c r="R743" s="2">
        <f t="shared" si="35"/>
        <v>4756.0416987299914</v>
      </c>
    </row>
    <row r="744" spans="1:18" s="1" customFormat="1" ht="11.5" x14ac:dyDescent="0.25">
      <c r="A744" s="1" t="s">
        <v>775</v>
      </c>
      <c r="B744" s="1" t="s">
        <v>52</v>
      </c>
      <c r="C744" s="1" t="s">
        <v>22</v>
      </c>
      <c r="D744" s="1">
        <v>0</v>
      </c>
      <c r="E744" s="1" t="s">
        <v>17</v>
      </c>
      <c r="F744" s="1" t="s">
        <v>22</v>
      </c>
      <c r="G744" s="1">
        <v>14387</v>
      </c>
      <c r="H744" s="1">
        <v>9999</v>
      </c>
      <c r="I744" s="1">
        <v>270</v>
      </c>
      <c r="J744" s="1">
        <v>360</v>
      </c>
      <c r="K744" s="1">
        <v>0</v>
      </c>
      <c r="L744" s="1" t="s">
        <v>30</v>
      </c>
      <c r="M744" s="1">
        <f>Table1[[#This Row],[ApplicantIncome]]+Table1[[#This Row],[CoapplicantIncome]]</f>
        <v>24386</v>
      </c>
      <c r="N744" s="1" t="s">
        <v>20</v>
      </c>
      <c r="O744" s="1" t="str">
        <f>IF(Table1[[#This Row],[Total_Income]]&lt;3000,"Low",IF(Table1[[#This Row],[Total_Income]]&lt;7000,"Medium","High"))</f>
        <v>High</v>
      </c>
      <c r="P744" s="1" t="str">
        <f t="shared" si="33"/>
        <v>Approved</v>
      </c>
      <c r="Q744" s="1" t="str">
        <f t="shared" si="34"/>
        <v>High Risk</v>
      </c>
      <c r="R744" s="2">
        <f t="shared" si="35"/>
        <v>1981.1643494743157</v>
      </c>
    </row>
    <row r="745" spans="1:18" s="1" customFormat="1" ht="11.5" x14ac:dyDescent="0.25">
      <c r="A745" s="1" t="s">
        <v>776</v>
      </c>
      <c r="B745" s="1" t="s">
        <v>28</v>
      </c>
      <c r="C745" s="1" t="s">
        <v>29</v>
      </c>
      <c r="D745" s="1">
        <v>0</v>
      </c>
      <c r="E745" s="1" t="s">
        <v>17</v>
      </c>
      <c r="F745" s="1" t="s">
        <v>22</v>
      </c>
      <c r="G745" s="1">
        <v>8445</v>
      </c>
      <c r="H745" s="1">
        <v>3354</v>
      </c>
      <c r="I745" s="1">
        <v>443</v>
      </c>
      <c r="J745" s="1">
        <v>360</v>
      </c>
      <c r="K745" s="1">
        <v>0</v>
      </c>
      <c r="L745" s="1" t="s">
        <v>19</v>
      </c>
      <c r="M745" s="1">
        <f>Table1[[#This Row],[ApplicantIncome]]+Table1[[#This Row],[CoapplicantIncome]]</f>
        <v>11799</v>
      </c>
      <c r="N745" s="1" t="s">
        <v>20</v>
      </c>
      <c r="O745" s="1" t="str">
        <f>IF(Table1[[#This Row],[Total_Income]]&lt;3000,"Low",IF(Table1[[#This Row],[Total_Income]]&lt;7000,"Medium","High"))</f>
        <v>High</v>
      </c>
      <c r="P745" s="1" t="str">
        <f t="shared" si="33"/>
        <v>Approved</v>
      </c>
      <c r="Q745" s="1" t="str">
        <f t="shared" si="34"/>
        <v>High Risk</v>
      </c>
      <c r="R745" s="2">
        <f t="shared" si="35"/>
        <v>3250.5770622856367</v>
      </c>
    </row>
    <row r="746" spans="1:18" s="1" customFormat="1" ht="11.5" x14ac:dyDescent="0.25">
      <c r="A746" s="1" t="s">
        <v>777</v>
      </c>
      <c r="B746" s="1" t="s">
        <v>1238</v>
      </c>
      <c r="C746" s="1" t="s">
        <v>29</v>
      </c>
      <c r="D746" s="1">
        <v>1</v>
      </c>
      <c r="E746" s="1" t="s">
        <v>25</v>
      </c>
      <c r="F746" s="1" t="s">
        <v>22</v>
      </c>
      <c r="G746" s="1">
        <v>16270</v>
      </c>
      <c r="H746" s="1">
        <v>5600</v>
      </c>
      <c r="I746" s="1">
        <v>406</v>
      </c>
      <c r="J746" s="1">
        <v>180</v>
      </c>
      <c r="K746" s="1">
        <v>0</v>
      </c>
      <c r="L746" s="1" t="s">
        <v>19</v>
      </c>
      <c r="M746" s="1">
        <f>Table1[[#This Row],[ApplicantIncome]]+Table1[[#This Row],[CoapplicantIncome]]</f>
        <v>21870</v>
      </c>
      <c r="N746" s="1" t="s">
        <v>26</v>
      </c>
      <c r="O746" s="1" t="str">
        <f>IF(Table1[[#This Row],[Total_Income]]&lt;3000,"Low",IF(Table1[[#This Row],[Total_Income]]&lt;7000,"Medium","High"))</f>
        <v>High</v>
      </c>
      <c r="P746" s="1" t="str">
        <f t="shared" si="33"/>
        <v>Rejected</v>
      </c>
      <c r="Q746" s="1" t="str">
        <f t="shared" si="34"/>
        <v>High Risk</v>
      </c>
      <c r="R746" s="2">
        <f t="shared" si="35"/>
        <v>3879.9474623812271</v>
      </c>
    </row>
    <row r="747" spans="1:18" s="1" customFormat="1" ht="11.5" x14ac:dyDescent="0.25">
      <c r="A747" s="1" t="s">
        <v>778</v>
      </c>
      <c r="B747" s="1" t="s">
        <v>1238</v>
      </c>
      <c r="C747" s="1" t="s">
        <v>22</v>
      </c>
      <c r="D747" s="1">
        <v>2</v>
      </c>
      <c r="E747" s="1" t="s">
        <v>25</v>
      </c>
      <c r="F747" s="1" t="s">
        <v>29</v>
      </c>
      <c r="G747" s="1">
        <v>19484</v>
      </c>
      <c r="H747" s="1">
        <v>5043</v>
      </c>
      <c r="I747" s="1">
        <v>606</v>
      </c>
      <c r="J747" s="1">
        <v>180</v>
      </c>
      <c r="K747" s="1">
        <v>0</v>
      </c>
      <c r="L747" s="1" t="s">
        <v>41</v>
      </c>
      <c r="M747" s="1">
        <f>Table1[[#This Row],[ApplicantIncome]]+Table1[[#This Row],[CoapplicantIncome]]</f>
        <v>24527</v>
      </c>
      <c r="N747" s="1" t="s">
        <v>26</v>
      </c>
      <c r="O747" s="1" t="str">
        <f>IF(Table1[[#This Row],[Total_Income]]&lt;3000,"Low",IF(Table1[[#This Row],[Total_Income]]&lt;7000,"Medium","High"))</f>
        <v>High</v>
      </c>
      <c r="P747" s="1" t="str">
        <f t="shared" si="33"/>
        <v>Rejected</v>
      </c>
      <c r="Q747" s="1" t="str">
        <f t="shared" si="34"/>
        <v>High Risk</v>
      </c>
      <c r="R747" s="2">
        <f t="shared" si="35"/>
        <v>5791.2516310419305</v>
      </c>
    </row>
    <row r="748" spans="1:18" s="1" customFormat="1" ht="11.5" x14ac:dyDescent="0.25">
      <c r="A748" s="1" t="s">
        <v>779</v>
      </c>
      <c r="B748" s="1" t="s">
        <v>52</v>
      </c>
      <c r="C748" s="1" t="s">
        <v>22</v>
      </c>
      <c r="D748" s="1">
        <v>2</v>
      </c>
      <c r="E748" s="1" t="s">
        <v>25</v>
      </c>
      <c r="F748" s="1" t="s">
        <v>22</v>
      </c>
      <c r="G748" s="1">
        <v>3578</v>
      </c>
      <c r="H748" s="1">
        <v>9663</v>
      </c>
      <c r="I748" s="1">
        <v>62</v>
      </c>
      <c r="J748" s="1">
        <v>120</v>
      </c>
      <c r="K748" s="1">
        <v>0</v>
      </c>
      <c r="L748" s="1" t="s">
        <v>41</v>
      </c>
      <c r="M748" s="1">
        <f>Table1[[#This Row],[ApplicantIncome]]+Table1[[#This Row],[CoapplicantIncome]]</f>
        <v>13241</v>
      </c>
      <c r="N748" s="1" t="s">
        <v>20</v>
      </c>
      <c r="O748" s="1" t="str">
        <f>IF(Table1[[#This Row],[Total_Income]]&lt;3000,"Low",IF(Table1[[#This Row],[Total_Income]]&lt;7000,"Medium","High"))</f>
        <v>High</v>
      </c>
      <c r="P748" s="1" t="str">
        <f t="shared" si="33"/>
        <v>Approved</v>
      </c>
      <c r="Q748" s="1" t="str">
        <f t="shared" si="34"/>
        <v>High Risk</v>
      </c>
      <c r="R748" s="2">
        <f t="shared" si="35"/>
        <v>752.23108500321291</v>
      </c>
    </row>
    <row r="749" spans="1:18" s="1" customFormat="1" ht="11.5" x14ac:dyDescent="0.25">
      <c r="A749" s="1" t="s">
        <v>780</v>
      </c>
      <c r="B749" s="1" t="s">
        <v>28</v>
      </c>
      <c r="C749" s="1" t="s">
        <v>22</v>
      </c>
      <c r="D749" s="1">
        <v>2</v>
      </c>
      <c r="E749" s="1" t="s">
        <v>25</v>
      </c>
      <c r="F749" s="1" t="s">
        <v>29</v>
      </c>
      <c r="G749" s="1">
        <v>4770</v>
      </c>
      <c r="H749" s="1">
        <v>3928</v>
      </c>
      <c r="I749" s="1">
        <v>128</v>
      </c>
      <c r="J749" s="1">
        <v>120</v>
      </c>
      <c r="K749" s="1">
        <v>0</v>
      </c>
      <c r="L749" s="1" t="s">
        <v>41</v>
      </c>
      <c r="M749" s="1">
        <f>Table1[[#This Row],[ApplicantIncome]]+Table1[[#This Row],[CoapplicantIncome]]</f>
        <v>8698</v>
      </c>
      <c r="N749" s="1" t="s">
        <v>20</v>
      </c>
      <c r="O749" s="1" t="str">
        <f>IF(Table1[[#This Row],[Total_Income]]&lt;3000,"Low",IF(Table1[[#This Row],[Total_Income]]&lt;7000,"Medium","High"))</f>
        <v>High</v>
      </c>
      <c r="P749" s="1" t="str">
        <f t="shared" si="33"/>
        <v>Approved</v>
      </c>
      <c r="Q749" s="1" t="str">
        <f t="shared" si="34"/>
        <v>High Risk</v>
      </c>
      <c r="R749" s="2">
        <f t="shared" si="35"/>
        <v>1552.9932077485687</v>
      </c>
    </row>
    <row r="750" spans="1:18" s="1" customFormat="1" ht="11.5" x14ac:dyDescent="0.25">
      <c r="A750" s="1" t="s">
        <v>781</v>
      </c>
      <c r="B750" s="1" t="s">
        <v>1238</v>
      </c>
      <c r="C750" s="1" t="s">
        <v>29</v>
      </c>
      <c r="D750" s="1">
        <v>2</v>
      </c>
      <c r="E750" s="1" t="s">
        <v>17</v>
      </c>
      <c r="F750" s="1" t="s">
        <v>29</v>
      </c>
      <c r="G750" s="1">
        <v>13985</v>
      </c>
      <c r="H750" s="1">
        <v>1626</v>
      </c>
      <c r="I750" s="1">
        <v>75</v>
      </c>
      <c r="J750" s="1">
        <v>360</v>
      </c>
      <c r="K750" s="1">
        <v>0</v>
      </c>
      <c r="L750" s="1" t="s">
        <v>30</v>
      </c>
      <c r="M750" s="1">
        <f>Table1[[#This Row],[ApplicantIncome]]+Table1[[#This Row],[CoapplicantIncome]]</f>
        <v>15611</v>
      </c>
      <c r="N750" s="1" t="s">
        <v>20</v>
      </c>
      <c r="O750" s="1" t="str">
        <f>IF(Table1[[#This Row],[Total_Income]]&lt;3000,"Low",IF(Table1[[#This Row],[Total_Income]]&lt;7000,"Medium","High"))</f>
        <v>High</v>
      </c>
      <c r="P750" s="1" t="str">
        <f t="shared" si="33"/>
        <v>Approved</v>
      </c>
      <c r="Q750" s="1" t="str">
        <f t="shared" si="34"/>
        <v>High Risk</v>
      </c>
      <c r="R750" s="2">
        <f t="shared" si="35"/>
        <v>550.32343040953219</v>
      </c>
    </row>
    <row r="751" spans="1:18" s="1" customFormat="1" ht="11.5" x14ac:dyDescent="0.25">
      <c r="A751" s="1" t="s">
        <v>782</v>
      </c>
      <c r="B751" s="1" t="s">
        <v>28</v>
      </c>
      <c r="C751" s="1" t="s">
        <v>22</v>
      </c>
      <c r="D751" s="1">
        <v>1</v>
      </c>
      <c r="E751" s="1" t="s">
        <v>17</v>
      </c>
      <c r="F751" s="1" t="s">
        <v>22</v>
      </c>
      <c r="G751" s="1">
        <v>19840</v>
      </c>
      <c r="H751" s="1">
        <v>4522</v>
      </c>
      <c r="I751" s="1">
        <v>146</v>
      </c>
      <c r="J751" s="1">
        <v>360</v>
      </c>
      <c r="K751" s="1">
        <v>1</v>
      </c>
      <c r="L751" s="1" t="s">
        <v>19</v>
      </c>
      <c r="M751" s="1">
        <f>Table1[[#This Row],[ApplicantIncome]]+Table1[[#This Row],[CoapplicantIncome]]</f>
        <v>24362</v>
      </c>
      <c r="N751" s="1" t="s">
        <v>26</v>
      </c>
      <c r="O751" s="1" t="str">
        <f>IF(Table1[[#This Row],[Total_Income]]&lt;3000,"Low",IF(Table1[[#This Row],[Total_Income]]&lt;7000,"Medium","High"))</f>
        <v>High</v>
      </c>
      <c r="P751" s="1" t="str">
        <f t="shared" si="33"/>
        <v>Rejected</v>
      </c>
      <c r="Q751" s="1" t="str">
        <f t="shared" si="34"/>
        <v>Low Risk</v>
      </c>
      <c r="R751" s="2">
        <f t="shared" si="35"/>
        <v>1071.2962778638891</v>
      </c>
    </row>
    <row r="752" spans="1:18" s="1" customFormat="1" ht="11.5" x14ac:dyDescent="0.25">
      <c r="A752" s="1" t="s">
        <v>783</v>
      </c>
      <c r="B752" s="1" t="s">
        <v>28</v>
      </c>
      <c r="C752" s="1" t="s">
        <v>22</v>
      </c>
      <c r="D752" s="1">
        <v>2</v>
      </c>
      <c r="E752" s="1" t="s">
        <v>25</v>
      </c>
      <c r="F752" s="1" t="s">
        <v>22</v>
      </c>
      <c r="G752" s="1">
        <v>19372</v>
      </c>
      <c r="H752" s="1">
        <v>7435</v>
      </c>
      <c r="I752" s="1">
        <v>475</v>
      </c>
      <c r="J752" s="1">
        <v>360</v>
      </c>
      <c r="K752" s="1">
        <v>1</v>
      </c>
      <c r="L752" s="1" t="s">
        <v>41</v>
      </c>
      <c r="M752" s="1">
        <f>Table1[[#This Row],[ApplicantIncome]]+Table1[[#This Row],[CoapplicantIncome]]</f>
        <v>26807</v>
      </c>
      <c r="N752" s="1" t="s">
        <v>26</v>
      </c>
      <c r="O752" s="1" t="str">
        <f>IF(Table1[[#This Row],[Total_Income]]&lt;3000,"Low",IF(Table1[[#This Row],[Total_Income]]&lt;7000,"Medium","High"))</f>
        <v>High</v>
      </c>
      <c r="P752" s="1" t="str">
        <f t="shared" si="33"/>
        <v>Rejected</v>
      </c>
      <c r="Q752" s="1" t="str">
        <f t="shared" si="34"/>
        <v>Low Risk</v>
      </c>
      <c r="R752" s="2">
        <f t="shared" si="35"/>
        <v>3485.3817259270372</v>
      </c>
    </row>
    <row r="753" spans="1:18" s="1" customFormat="1" ht="11.5" x14ac:dyDescent="0.25">
      <c r="A753" s="1" t="s">
        <v>784</v>
      </c>
      <c r="B753" s="1" t="s">
        <v>1238</v>
      </c>
      <c r="C753" s="1" t="s">
        <v>22</v>
      </c>
      <c r="D753" s="1" t="s">
        <v>16</v>
      </c>
      <c r="E753" s="1" t="s">
        <v>25</v>
      </c>
      <c r="F753" s="1" t="s">
        <v>22</v>
      </c>
      <c r="G753" s="1">
        <v>6815</v>
      </c>
      <c r="H753" s="1">
        <v>7128</v>
      </c>
      <c r="I753" s="1">
        <v>241</v>
      </c>
      <c r="J753" s="1">
        <v>180</v>
      </c>
      <c r="K753" s="1">
        <v>0</v>
      </c>
      <c r="L753" s="1" t="s">
        <v>19</v>
      </c>
      <c r="M753" s="1">
        <f>Table1[[#This Row],[ApplicantIncome]]+Table1[[#This Row],[CoapplicantIncome]]</f>
        <v>13943</v>
      </c>
      <c r="N753" s="1" t="s">
        <v>20</v>
      </c>
      <c r="O753" s="1" t="str">
        <f>IF(Table1[[#This Row],[Total_Income]]&lt;3000,"Low",IF(Table1[[#This Row],[Total_Income]]&lt;7000,"Medium","High"))</f>
        <v>High</v>
      </c>
      <c r="P753" s="1" t="str">
        <f t="shared" si="33"/>
        <v>Approved</v>
      </c>
      <c r="Q753" s="1" t="str">
        <f t="shared" si="34"/>
        <v>High Risk</v>
      </c>
      <c r="R753" s="2">
        <f t="shared" si="35"/>
        <v>2303.1215232361469</v>
      </c>
    </row>
    <row r="754" spans="1:18" s="1" customFormat="1" ht="11.5" x14ac:dyDescent="0.25">
      <c r="A754" s="1" t="s">
        <v>785</v>
      </c>
      <c r="B754" s="1" t="s">
        <v>52</v>
      </c>
      <c r="C754" s="1" t="s">
        <v>29</v>
      </c>
      <c r="D754" s="1">
        <v>2</v>
      </c>
      <c r="E754" s="1" t="s">
        <v>25</v>
      </c>
      <c r="F754" s="1" t="s">
        <v>22</v>
      </c>
      <c r="G754" s="1">
        <v>13951</v>
      </c>
      <c r="H754" s="1">
        <v>856</v>
      </c>
      <c r="I754" s="1">
        <v>537</v>
      </c>
      <c r="J754" s="1">
        <v>120</v>
      </c>
      <c r="K754" s="1">
        <v>0</v>
      </c>
      <c r="L754" s="1" t="s">
        <v>19</v>
      </c>
      <c r="M754" s="1">
        <f>Table1[[#This Row],[ApplicantIncome]]+Table1[[#This Row],[CoapplicantIncome]]</f>
        <v>14807</v>
      </c>
      <c r="N754" s="1" t="s">
        <v>20</v>
      </c>
      <c r="O754" s="1" t="str">
        <f>IF(Table1[[#This Row],[Total_Income]]&lt;3000,"Low",IF(Table1[[#This Row],[Total_Income]]&lt;7000,"Medium","High"))</f>
        <v>High</v>
      </c>
      <c r="P754" s="1" t="str">
        <f t="shared" si="33"/>
        <v>Approved</v>
      </c>
      <c r="Q754" s="1" t="str">
        <f t="shared" si="34"/>
        <v>High Risk</v>
      </c>
      <c r="R754" s="2">
        <f t="shared" si="35"/>
        <v>6515.2918168826673</v>
      </c>
    </row>
    <row r="755" spans="1:18" s="1" customFormat="1" ht="11.5" x14ac:dyDescent="0.25">
      <c r="A755" s="1" t="s">
        <v>786</v>
      </c>
      <c r="B755" s="1" t="s">
        <v>1238</v>
      </c>
      <c r="C755" s="1" t="s">
        <v>29</v>
      </c>
      <c r="D755" s="1">
        <v>0</v>
      </c>
      <c r="E755" s="1" t="s">
        <v>25</v>
      </c>
      <c r="F755" s="1" t="s">
        <v>22</v>
      </c>
      <c r="G755" s="1">
        <v>12123</v>
      </c>
      <c r="H755" s="1">
        <v>3449</v>
      </c>
      <c r="I755" s="1">
        <v>355</v>
      </c>
      <c r="J755" s="1">
        <v>180</v>
      </c>
      <c r="K755" s="1">
        <v>1</v>
      </c>
      <c r="L755" s="1" t="s">
        <v>41</v>
      </c>
      <c r="M755" s="1">
        <f>Table1[[#This Row],[ApplicantIncome]]+Table1[[#This Row],[CoapplicantIncome]]</f>
        <v>15572</v>
      </c>
      <c r="N755" s="1" t="s">
        <v>26</v>
      </c>
      <c r="O755" s="1" t="str">
        <f>IF(Table1[[#This Row],[Total_Income]]&lt;3000,"Low",IF(Table1[[#This Row],[Total_Income]]&lt;7000,"Medium","High"))</f>
        <v>High</v>
      </c>
      <c r="P755" s="1" t="str">
        <f t="shared" si="33"/>
        <v>Rejected</v>
      </c>
      <c r="Q755" s="1" t="str">
        <f t="shared" si="34"/>
        <v>Low Risk</v>
      </c>
      <c r="R755" s="2">
        <f t="shared" si="35"/>
        <v>3392.5648993727477</v>
      </c>
    </row>
    <row r="756" spans="1:18" s="1" customFormat="1" ht="11.5" x14ac:dyDescent="0.25">
      <c r="A756" s="1" t="s">
        <v>787</v>
      </c>
      <c r="B756" s="1" t="s">
        <v>52</v>
      </c>
      <c r="C756" s="1" t="s">
        <v>29</v>
      </c>
      <c r="D756" s="1">
        <v>0</v>
      </c>
      <c r="E756" s="1" t="s">
        <v>17</v>
      </c>
      <c r="F756" s="1" t="s">
        <v>29</v>
      </c>
      <c r="G756" s="1">
        <v>4385</v>
      </c>
      <c r="H756" s="1">
        <v>5015</v>
      </c>
      <c r="I756" s="1">
        <v>636</v>
      </c>
      <c r="J756" s="1">
        <v>360</v>
      </c>
      <c r="K756" s="1">
        <v>1</v>
      </c>
      <c r="L756" s="1" t="s">
        <v>41</v>
      </c>
      <c r="M756" s="1">
        <f>Table1[[#This Row],[ApplicantIncome]]+Table1[[#This Row],[CoapplicantIncome]]</f>
        <v>9400</v>
      </c>
      <c r="N756" s="1" t="s">
        <v>26</v>
      </c>
      <c r="O756" s="1" t="str">
        <f>IF(Table1[[#This Row],[Total_Income]]&lt;3000,"Low",IF(Table1[[#This Row],[Total_Income]]&lt;7000,"Medium","High"))</f>
        <v>High</v>
      </c>
      <c r="P756" s="1" t="str">
        <f t="shared" si="33"/>
        <v>Rejected</v>
      </c>
      <c r="Q756" s="1" t="str">
        <f t="shared" si="34"/>
        <v>Low Risk</v>
      </c>
      <c r="R756" s="2">
        <f t="shared" si="35"/>
        <v>4666.7426898728327</v>
      </c>
    </row>
    <row r="757" spans="1:18" s="1" customFormat="1" ht="11.5" x14ac:dyDescent="0.25">
      <c r="A757" s="1" t="s">
        <v>788</v>
      </c>
      <c r="B757" s="1" t="s">
        <v>52</v>
      </c>
      <c r="C757" s="1" t="s">
        <v>22</v>
      </c>
      <c r="D757" s="1" t="s">
        <v>16</v>
      </c>
      <c r="E757" s="1" t="s">
        <v>25</v>
      </c>
      <c r="F757" s="1" t="s">
        <v>29</v>
      </c>
      <c r="G757" s="1">
        <v>17300</v>
      </c>
      <c r="H757" s="1">
        <v>5594</v>
      </c>
      <c r="I757" s="1">
        <v>132</v>
      </c>
      <c r="J757" s="1">
        <v>360</v>
      </c>
      <c r="K757" s="1">
        <v>0</v>
      </c>
      <c r="L757" s="1" t="s">
        <v>41</v>
      </c>
      <c r="M757" s="1">
        <f>Table1[[#This Row],[ApplicantIncome]]+Table1[[#This Row],[CoapplicantIncome]]</f>
        <v>22894</v>
      </c>
      <c r="N757" s="1" t="s">
        <v>20</v>
      </c>
      <c r="O757" s="1" t="str">
        <f>IF(Table1[[#This Row],[Total_Income]]&lt;3000,"Low",IF(Table1[[#This Row],[Total_Income]]&lt;7000,"Medium","High"))</f>
        <v>High</v>
      </c>
      <c r="P757" s="1" t="str">
        <f t="shared" si="33"/>
        <v>Approved</v>
      </c>
      <c r="Q757" s="1" t="str">
        <f t="shared" si="34"/>
        <v>High Risk</v>
      </c>
      <c r="R757" s="2">
        <f t="shared" si="35"/>
        <v>968.56923752077671</v>
      </c>
    </row>
    <row r="758" spans="1:18" s="1" customFormat="1" ht="11.5" x14ac:dyDescent="0.25">
      <c r="A758" s="1" t="s">
        <v>789</v>
      </c>
      <c r="B758" s="1" t="s">
        <v>1238</v>
      </c>
      <c r="C758" s="1" t="s">
        <v>22</v>
      </c>
      <c r="D758" s="1" t="s">
        <v>16</v>
      </c>
      <c r="E758" s="1" t="s">
        <v>25</v>
      </c>
      <c r="F758" s="1" t="s">
        <v>22</v>
      </c>
      <c r="G758" s="1">
        <v>10322</v>
      </c>
      <c r="H758" s="1">
        <v>8248</v>
      </c>
      <c r="I758" s="1">
        <v>362</v>
      </c>
      <c r="J758" s="1">
        <v>120</v>
      </c>
      <c r="K758" s="1">
        <v>0</v>
      </c>
      <c r="L758" s="1" t="s">
        <v>30</v>
      </c>
      <c r="M758" s="1">
        <f>Table1[[#This Row],[ApplicantIncome]]+Table1[[#This Row],[CoapplicantIncome]]</f>
        <v>18570</v>
      </c>
      <c r="N758" s="1" t="s">
        <v>26</v>
      </c>
      <c r="O758" s="1" t="str">
        <f>IF(Table1[[#This Row],[Total_Income]]&lt;3000,"Low",IF(Table1[[#This Row],[Total_Income]]&lt;7000,"Medium","High"))</f>
        <v>High</v>
      </c>
      <c r="P758" s="1" t="str">
        <f t="shared" si="33"/>
        <v>Rejected</v>
      </c>
      <c r="Q758" s="1" t="str">
        <f t="shared" si="34"/>
        <v>High Risk</v>
      </c>
      <c r="R758" s="2">
        <f t="shared" si="35"/>
        <v>4392.0589156639207</v>
      </c>
    </row>
    <row r="759" spans="1:18" s="1" customFormat="1" ht="11.5" x14ac:dyDescent="0.25">
      <c r="A759" s="1" t="s">
        <v>790</v>
      </c>
      <c r="B759" s="1" t="s">
        <v>1238</v>
      </c>
      <c r="C759" s="1" t="s">
        <v>22</v>
      </c>
      <c r="D759" s="1" t="s">
        <v>16</v>
      </c>
      <c r="E759" s="1" t="s">
        <v>25</v>
      </c>
      <c r="F759" s="1" t="s">
        <v>22</v>
      </c>
      <c r="G759" s="1">
        <v>8814</v>
      </c>
      <c r="H759" s="1">
        <v>2434</v>
      </c>
      <c r="I759" s="1">
        <v>263</v>
      </c>
      <c r="J759" s="1">
        <v>180</v>
      </c>
      <c r="K759" s="1">
        <v>0</v>
      </c>
      <c r="L759" s="1" t="s">
        <v>19</v>
      </c>
      <c r="M759" s="1">
        <f>Table1[[#This Row],[ApplicantIncome]]+Table1[[#This Row],[CoapplicantIncome]]</f>
        <v>11248</v>
      </c>
      <c r="N759" s="1" t="s">
        <v>20</v>
      </c>
      <c r="O759" s="1" t="str">
        <f>IF(Table1[[#This Row],[Total_Income]]&lt;3000,"Low",IF(Table1[[#This Row],[Total_Income]]&lt;7000,"Medium","High"))</f>
        <v>High</v>
      </c>
      <c r="P759" s="1" t="str">
        <f t="shared" si="33"/>
        <v>Approved</v>
      </c>
      <c r="Q759" s="1" t="str">
        <f t="shared" si="34"/>
        <v>High Risk</v>
      </c>
      <c r="R759" s="2">
        <f t="shared" si="35"/>
        <v>2513.364981788824</v>
      </c>
    </row>
    <row r="760" spans="1:18" s="1" customFormat="1" ht="11.5" x14ac:dyDescent="0.25">
      <c r="A760" s="1" t="s">
        <v>791</v>
      </c>
      <c r="B760" s="1" t="s">
        <v>1238</v>
      </c>
      <c r="C760" s="1" t="s">
        <v>22</v>
      </c>
      <c r="D760" s="1">
        <v>1</v>
      </c>
      <c r="E760" s="1" t="s">
        <v>17</v>
      </c>
      <c r="F760" s="1" t="s">
        <v>22</v>
      </c>
      <c r="G760" s="1">
        <v>19032</v>
      </c>
      <c r="H760" s="1">
        <v>4265</v>
      </c>
      <c r="I760" s="1">
        <v>167</v>
      </c>
      <c r="J760" s="1">
        <v>360</v>
      </c>
      <c r="K760" s="1">
        <v>0</v>
      </c>
      <c r="L760" s="1" t="s">
        <v>41</v>
      </c>
      <c r="M760" s="1">
        <f>Table1[[#This Row],[ApplicantIncome]]+Table1[[#This Row],[CoapplicantIncome]]</f>
        <v>23297</v>
      </c>
      <c r="N760" s="1" t="s">
        <v>26</v>
      </c>
      <c r="O760" s="1" t="str">
        <f>IF(Table1[[#This Row],[Total_Income]]&lt;3000,"Low",IF(Table1[[#This Row],[Total_Income]]&lt;7000,"Medium","High"))</f>
        <v>High</v>
      </c>
      <c r="P760" s="1" t="str">
        <f t="shared" si="33"/>
        <v>Rejected</v>
      </c>
      <c r="Q760" s="1" t="str">
        <f t="shared" si="34"/>
        <v>High Risk</v>
      </c>
      <c r="R760" s="2">
        <f t="shared" si="35"/>
        <v>1225.3868383785582</v>
      </c>
    </row>
    <row r="761" spans="1:18" s="1" customFormat="1" ht="11.5" x14ac:dyDescent="0.25">
      <c r="A761" s="1" t="s">
        <v>792</v>
      </c>
      <c r="B761" s="1" t="s">
        <v>1238</v>
      </c>
      <c r="C761" s="1" t="s">
        <v>22</v>
      </c>
      <c r="D761" s="1" t="s">
        <v>16</v>
      </c>
      <c r="E761" s="1" t="s">
        <v>17</v>
      </c>
      <c r="F761" s="1" t="s">
        <v>22</v>
      </c>
      <c r="G761" s="1">
        <v>5061</v>
      </c>
      <c r="H761" s="1">
        <v>3571</v>
      </c>
      <c r="I761" s="1">
        <v>247</v>
      </c>
      <c r="J761" s="1">
        <v>360</v>
      </c>
      <c r="K761" s="1">
        <v>0</v>
      </c>
      <c r="L761" s="1" t="s">
        <v>19</v>
      </c>
      <c r="M761" s="1">
        <f>Table1[[#This Row],[ApplicantIncome]]+Table1[[#This Row],[CoapplicantIncome]]</f>
        <v>8632</v>
      </c>
      <c r="N761" s="1" t="s">
        <v>26</v>
      </c>
      <c r="O761" s="1" t="str">
        <f>IF(Table1[[#This Row],[Total_Income]]&lt;3000,"Low",IF(Table1[[#This Row],[Total_Income]]&lt;7000,"Medium","High"))</f>
        <v>High</v>
      </c>
      <c r="P761" s="1" t="str">
        <f t="shared" si="33"/>
        <v>Rejected</v>
      </c>
      <c r="Q761" s="1" t="str">
        <f t="shared" si="34"/>
        <v>High Risk</v>
      </c>
      <c r="R761" s="2">
        <f t="shared" si="35"/>
        <v>1812.3984974820592</v>
      </c>
    </row>
    <row r="762" spans="1:18" s="1" customFormat="1" ht="11.5" x14ac:dyDescent="0.25">
      <c r="A762" s="1" t="s">
        <v>793</v>
      </c>
      <c r="B762" s="1" t="s">
        <v>1238</v>
      </c>
      <c r="C762" s="1" t="s">
        <v>22</v>
      </c>
      <c r="D762" s="1">
        <v>1</v>
      </c>
      <c r="E762" s="1" t="s">
        <v>17</v>
      </c>
      <c r="F762" s="1" t="s">
        <v>22</v>
      </c>
      <c r="G762" s="1">
        <v>1541</v>
      </c>
      <c r="H762" s="1">
        <v>1960</v>
      </c>
      <c r="I762" s="1">
        <v>339</v>
      </c>
      <c r="J762" s="1">
        <v>180</v>
      </c>
      <c r="K762" s="1">
        <v>0</v>
      </c>
      <c r="L762" s="1" t="s">
        <v>41</v>
      </c>
      <c r="M762" s="1">
        <f>Table1[[#This Row],[ApplicantIncome]]+Table1[[#This Row],[CoapplicantIncome]]</f>
        <v>3501</v>
      </c>
      <c r="N762" s="1" t="s">
        <v>20</v>
      </c>
      <c r="O762" s="1" t="str">
        <f>IF(Table1[[#This Row],[Total_Income]]&lt;3000,"Low",IF(Table1[[#This Row],[Total_Income]]&lt;7000,"Medium","High"))</f>
        <v>Medium</v>
      </c>
      <c r="P762" s="1" t="str">
        <f t="shared" si="33"/>
        <v>Approved</v>
      </c>
      <c r="Q762" s="1" t="str">
        <f t="shared" si="34"/>
        <v>High Risk</v>
      </c>
      <c r="R762" s="2">
        <f t="shared" si="35"/>
        <v>3239.6605658798917</v>
      </c>
    </row>
    <row r="763" spans="1:18" s="1" customFormat="1" ht="11.5" x14ac:dyDescent="0.25">
      <c r="A763" s="1" t="s">
        <v>794</v>
      </c>
      <c r="B763" s="1" t="s">
        <v>1238</v>
      </c>
      <c r="C763" s="1" t="s">
        <v>29</v>
      </c>
      <c r="D763" s="1">
        <v>1</v>
      </c>
      <c r="E763" s="1" t="s">
        <v>25</v>
      </c>
      <c r="F763" s="1" t="s">
        <v>22</v>
      </c>
      <c r="G763" s="1">
        <v>5256</v>
      </c>
      <c r="H763" s="1">
        <v>1984</v>
      </c>
      <c r="I763" s="1">
        <v>65</v>
      </c>
      <c r="J763" s="1">
        <v>180</v>
      </c>
      <c r="K763" s="1">
        <v>0</v>
      </c>
      <c r="L763" s="1" t="s">
        <v>19</v>
      </c>
      <c r="M763" s="1">
        <f>Table1[[#This Row],[ApplicantIncome]]+Table1[[#This Row],[CoapplicantIncome]]</f>
        <v>7240</v>
      </c>
      <c r="N763" s="1" t="s">
        <v>20</v>
      </c>
      <c r="O763" s="1" t="str">
        <f>IF(Table1[[#This Row],[Total_Income]]&lt;3000,"Low",IF(Table1[[#This Row],[Total_Income]]&lt;7000,"Medium","High"))</f>
        <v>High</v>
      </c>
      <c r="P763" s="1" t="str">
        <f t="shared" si="33"/>
        <v>Approved</v>
      </c>
      <c r="Q763" s="1" t="str">
        <f t="shared" si="34"/>
        <v>High Risk</v>
      </c>
      <c r="R763" s="2">
        <f t="shared" si="35"/>
        <v>621.17385481472843</v>
      </c>
    </row>
    <row r="764" spans="1:18" s="1" customFormat="1" ht="11.5" x14ac:dyDescent="0.25">
      <c r="A764" s="1" t="s">
        <v>795</v>
      </c>
      <c r="B764" s="1" t="s">
        <v>52</v>
      </c>
      <c r="C764" s="1" t="s">
        <v>22</v>
      </c>
      <c r="D764" s="1">
        <v>0</v>
      </c>
      <c r="E764" s="1" t="s">
        <v>17</v>
      </c>
      <c r="F764" s="1" t="s">
        <v>29</v>
      </c>
      <c r="G764" s="1">
        <v>14389</v>
      </c>
      <c r="H764" s="1">
        <v>9288</v>
      </c>
      <c r="I764" s="1">
        <v>445</v>
      </c>
      <c r="J764" s="1">
        <v>180</v>
      </c>
      <c r="K764" s="1">
        <v>0</v>
      </c>
      <c r="L764" s="1" t="s">
        <v>19</v>
      </c>
      <c r="M764" s="1">
        <f>Table1[[#This Row],[ApplicantIncome]]+Table1[[#This Row],[CoapplicantIncome]]</f>
        <v>23677</v>
      </c>
      <c r="N764" s="1" t="s">
        <v>20</v>
      </c>
      <c r="O764" s="1" t="str">
        <f>IF(Table1[[#This Row],[Total_Income]]&lt;3000,"Low",IF(Table1[[#This Row],[Total_Income]]&lt;7000,"Medium","High"))</f>
        <v>High</v>
      </c>
      <c r="P764" s="1" t="str">
        <f t="shared" si="33"/>
        <v>Approved</v>
      </c>
      <c r="Q764" s="1" t="str">
        <f t="shared" si="34"/>
        <v>High Risk</v>
      </c>
      <c r="R764" s="2">
        <f t="shared" si="35"/>
        <v>4252.6517752700647</v>
      </c>
    </row>
    <row r="765" spans="1:18" s="1" customFormat="1" ht="11.5" x14ac:dyDescent="0.25">
      <c r="A765" s="1" t="s">
        <v>796</v>
      </c>
      <c r="B765" s="1" t="s">
        <v>52</v>
      </c>
      <c r="C765" s="1" t="s">
        <v>22</v>
      </c>
      <c r="D765" s="1" t="s">
        <v>16</v>
      </c>
      <c r="E765" s="1" t="s">
        <v>17</v>
      </c>
      <c r="F765" s="1" t="s">
        <v>22</v>
      </c>
      <c r="G765" s="1">
        <v>4370</v>
      </c>
      <c r="H765" s="1">
        <v>5023</v>
      </c>
      <c r="I765" s="1">
        <v>660</v>
      </c>
      <c r="J765" s="1">
        <v>180</v>
      </c>
      <c r="K765" s="1">
        <v>0</v>
      </c>
      <c r="L765" s="1" t="s">
        <v>30</v>
      </c>
      <c r="M765" s="1">
        <f>Table1[[#This Row],[ApplicantIncome]]+Table1[[#This Row],[CoapplicantIncome]]</f>
        <v>9393</v>
      </c>
      <c r="N765" s="1" t="s">
        <v>26</v>
      </c>
      <c r="O765" s="1" t="str">
        <f>IF(Table1[[#This Row],[Total_Income]]&lt;3000,"Low",IF(Table1[[#This Row],[Total_Income]]&lt;7000,"Medium","High"))</f>
        <v>High</v>
      </c>
      <c r="P765" s="1" t="str">
        <f t="shared" si="33"/>
        <v>Rejected</v>
      </c>
      <c r="Q765" s="1" t="str">
        <f t="shared" si="34"/>
        <v>High Risk</v>
      </c>
      <c r="R765" s="2">
        <f t="shared" si="35"/>
        <v>6307.3037565803197</v>
      </c>
    </row>
    <row r="766" spans="1:18" s="1" customFormat="1" ht="11.5" x14ac:dyDescent="0.25">
      <c r="A766" s="1" t="s">
        <v>797</v>
      </c>
      <c r="B766" s="1" t="s">
        <v>1238</v>
      </c>
      <c r="C766" s="1" t="s">
        <v>29</v>
      </c>
      <c r="D766" s="1">
        <v>0</v>
      </c>
      <c r="E766" s="1" t="s">
        <v>25</v>
      </c>
      <c r="F766" s="1" t="s">
        <v>22</v>
      </c>
      <c r="G766" s="1">
        <v>2279</v>
      </c>
      <c r="H766" s="1">
        <v>9398</v>
      </c>
      <c r="I766" s="1">
        <v>464</v>
      </c>
      <c r="J766" s="1">
        <v>360</v>
      </c>
      <c r="K766" s="1">
        <v>0</v>
      </c>
      <c r="L766" s="1" t="s">
        <v>30</v>
      </c>
      <c r="M766" s="1">
        <f>Table1[[#This Row],[ApplicantIncome]]+Table1[[#This Row],[CoapplicantIncome]]</f>
        <v>11677</v>
      </c>
      <c r="N766" s="1" t="s">
        <v>20</v>
      </c>
      <c r="O766" s="1" t="str">
        <f>IF(Table1[[#This Row],[Total_Income]]&lt;3000,"Low",IF(Table1[[#This Row],[Total_Income]]&lt;7000,"Medium","High"))</f>
        <v>High</v>
      </c>
      <c r="P766" s="1" t="str">
        <f t="shared" si="33"/>
        <v>Approved</v>
      </c>
      <c r="Q766" s="1" t="str">
        <f t="shared" si="34"/>
        <v>High Risk</v>
      </c>
      <c r="R766" s="2">
        <f t="shared" si="35"/>
        <v>3404.6676228003053</v>
      </c>
    </row>
    <row r="767" spans="1:18" s="1" customFormat="1" ht="11.5" x14ac:dyDescent="0.25">
      <c r="A767" s="1" t="s">
        <v>798</v>
      </c>
      <c r="B767" s="1" t="s">
        <v>1238</v>
      </c>
      <c r="C767" s="1" t="s">
        <v>29</v>
      </c>
      <c r="D767" s="1">
        <v>0</v>
      </c>
      <c r="E767" s="1" t="s">
        <v>17</v>
      </c>
      <c r="F767" s="1" t="s">
        <v>22</v>
      </c>
      <c r="G767" s="1">
        <v>13128</v>
      </c>
      <c r="H767" s="1">
        <v>7098</v>
      </c>
      <c r="I767" s="1">
        <v>112</v>
      </c>
      <c r="J767" s="1">
        <v>120</v>
      </c>
      <c r="K767" s="1">
        <v>1</v>
      </c>
      <c r="L767" s="1" t="s">
        <v>30</v>
      </c>
      <c r="M767" s="1">
        <f>Table1[[#This Row],[ApplicantIncome]]+Table1[[#This Row],[CoapplicantIncome]]</f>
        <v>20226</v>
      </c>
      <c r="N767" s="1" t="s">
        <v>20</v>
      </c>
      <c r="O767" s="1" t="str">
        <f>IF(Table1[[#This Row],[Total_Income]]&lt;3000,"Low",IF(Table1[[#This Row],[Total_Income]]&lt;7000,"Medium","High"))</f>
        <v>High</v>
      </c>
      <c r="P767" s="1" t="str">
        <f t="shared" si="33"/>
        <v>Approved</v>
      </c>
      <c r="Q767" s="1" t="str">
        <f t="shared" si="34"/>
        <v>Low Risk</v>
      </c>
      <c r="R767" s="2">
        <f t="shared" si="35"/>
        <v>1358.8690567799977</v>
      </c>
    </row>
    <row r="768" spans="1:18" s="1" customFormat="1" ht="11.5" x14ac:dyDescent="0.25">
      <c r="A768" s="1" t="s">
        <v>799</v>
      </c>
      <c r="B768" s="1" t="s">
        <v>28</v>
      </c>
      <c r="C768" s="1" t="s">
        <v>22</v>
      </c>
      <c r="D768" s="1">
        <v>0</v>
      </c>
      <c r="E768" s="1" t="s">
        <v>17</v>
      </c>
      <c r="F768" s="1" t="s">
        <v>22</v>
      </c>
      <c r="G768" s="1">
        <v>4817</v>
      </c>
      <c r="H768" s="1">
        <v>978</v>
      </c>
      <c r="I768" s="1">
        <v>182</v>
      </c>
      <c r="J768" s="1">
        <v>360</v>
      </c>
      <c r="K768" s="1">
        <v>1</v>
      </c>
      <c r="L768" s="1" t="s">
        <v>19</v>
      </c>
      <c r="M768" s="1">
        <f>Table1[[#This Row],[ApplicantIncome]]+Table1[[#This Row],[CoapplicantIncome]]</f>
        <v>5795</v>
      </c>
      <c r="N768" s="1" t="s">
        <v>26</v>
      </c>
      <c r="O768" s="1" t="str">
        <f>IF(Table1[[#This Row],[Total_Income]]&lt;3000,"Low",IF(Table1[[#This Row],[Total_Income]]&lt;7000,"Medium","High"))</f>
        <v>Medium</v>
      </c>
      <c r="P768" s="1" t="str">
        <f t="shared" si="33"/>
        <v>Rejected</v>
      </c>
      <c r="Q768" s="1" t="str">
        <f t="shared" si="34"/>
        <v>Low Risk</v>
      </c>
      <c r="R768" s="2">
        <f t="shared" si="35"/>
        <v>1335.4515244604645</v>
      </c>
    </row>
    <row r="769" spans="1:18" s="1" customFormat="1" ht="11.5" x14ac:dyDescent="0.25">
      <c r="A769" s="1" t="s">
        <v>800</v>
      </c>
      <c r="B769" s="1" t="s">
        <v>1238</v>
      </c>
      <c r="C769" s="1" t="s">
        <v>29</v>
      </c>
      <c r="D769" s="1">
        <v>0</v>
      </c>
      <c r="E769" s="1" t="s">
        <v>25</v>
      </c>
      <c r="F769" s="1" t="s">
        <v>29</v>
      </c>
      <c r="G769" s="1">
        <v>18769</v>
      </c>
      <c r="H769" s="1">
        <v>1856</v>
      </c>
      <c r="I769" s="1">
        <v>674</v>
      </c>
      <c r="J769" s="1">
        <v>180</v>
      </c>
      <c r="K769" s="1">
        <v>0</v>
      </c>
      <c r="L769" s="1" t="s">
        <v>30</v>
      </c>
      <c r="M769" s="1">
        <f>Table1[[#This Row],[ApplicantIncome]]+Table1[[#This Row],[CoapplicantIncome]]</f>
        <v>20625</v>
      </c>
      <c r="N769" s="1" t="s">
        <v>26</v>
      </c>
      <c r="O769" s="1" t="str">
        <f>IF(Table1[[#This Row],[Total_Income]]&lt;3000,"Low",IF(Table1[[#This Row],[Total_Income]]&lt;7000,"Medium","High"))</f>
        <v>High</v>
      </c>
      <c r="P769" s="1" t="str">
        <f t="shared" si="33"/>
        <v>Rejected</v>
      </c>
      <c r="Q769" s="1" t="str">
        <f t="shared" si="34"/>
        <v>High Risk</v>
      </c>
      <c r="R769" s="2">
        <f t="shared" si="35"/>
        <v>6441.095048386569</v>
      </c>
    </row>
    <row r="770" spans="1:18" s="1" customFormat="1" ht="11.5" x14ac:dyDescent="0.25">
      <c r="A770" s="1" t="s">
        <v>801</v>
      </c>
      <c r="B770" s="1" t="s">
        <v>28</v>
      </c>
      <c r="C770" s="1" t="s">
        <v>22</v>
      </c>
      <c r="D770" s="1">
        <v>0</v>
      </c>
      <c r="E770" s="1" t="s">
        <v>17</v>
      </c>
      <c r="F770" s="1" t="s">
        <v>22</v>
      </c>
      <c r="G770" s="1">
        <v>5709</v>
      </c>
      <c r="H770" s="1">
        <v>2149</v>
      </c>
      <c r="I770" s="1">
        <v>502</v>
      </c>
      <c r="J770" s="1">
        <v>120</v>
      </c>
      <c r="K770" s="1">
        <v>0</v>
      </c>
      <c r="L770" s="1" t="s">
        <v>41</v>
      </c>
      <c r="M770" s="1">
        <f>Table1[[#This Row],[ApplicantIncome]]+Table1[[#This Row],[CoapplicantIncome]]</f>
        <v>7858</v>
      </c>
      <c r="N770" s="1" t="s">
        <v>26</v>
      </c>
      <c r="O770" s="1" t="str">
        <f>IF(Table1[[#This Row],[Total_Income]]&lt;3000,"Low",IF(Table1[[#This Row],[Total_Income]]&lt;7000,"Medium","High"))</f>
        <v>High</v>
      </c>
      <c r="P770" s="1" t="str">
        <f t="shared" ref="P770:P833" si="36">IF(N770="Y","Approved","Rejected")</f>
        <v>Rejected</v>
      </c>
      <c r="Q770" s="1" t="str">
        <f t="shared" ref="Q770:Q833" si="37">IF(K770=1,"Low Risk","High Risk")</f>
        <v>High Risk</v>
      </c>
      <c r="R770" s="2">
        <f t="shared" ref="R770:R833" si="38">-PMT(8%/12,J770,I770*1000)</f>
        <v>6090.6452366389176</v>
      </c>
    </row>
    <row r="771" spans="1:18" s="1" customFormat="1" ht="11.5" x14ac:dyDescent="0.25">
      <c r="A771" s="1" t="s">
        <v>802</v>
      </c>
      <c r="B771" s="1" t="s">
        <v>28</v>
      </c>
      <c r="C771" s="1" t="s">
        <v>29</v>
      </c>
      <c r="D771" s="1">
        <v>0</v>
      </c>
      <c r="E771" s="1" t="s">
        <v>17</v>
      </c>
      <c r="F771" s="1" t="s">
        <v>29</v>
      </c>
      <c r="G771" s="1">
        <v>5447</v>
      </c>
      <c r="H771" s="1">
        <v>9056</v>
      </c>
      <c r="I771" s="1">
        <v>366</v>
      </c>
      <c r="J771" s="1">
        <v>360</v>
      </c>
      <c r="K771" s="1">
        <v>0</v>
      </c>
      <c r="L771" s="1" t="s">
        <v>19</v>
      </c>
      <c r="M771" s="1">
        <f>Table1[[#This Row],[ApplicantIncome]]+Table1[[#This Row],[CoapplicantIncome]]</f>
        <v>14503</v>
      </c>
      <c r="N771" s="1" t="s">
        <v>20</v>
      </c>
      <c r="O771" s="1" t="str">
        <f>IF(Table1[[#This Row],[Total_Income]]&lt;3000,"Low",IF(Table1[[#This Row],[Total_Income]]&lt;7000,"Medium","High"))</f>
        <v>High</v>
      </c>
      <c r="P771" s="1" t="str">
        <f t="shared" si="36"/>
        <v>Approved</v>
      </c>
      <c r="Q771" s="1" t="str">
        <f t="shared" si="37"/>
        <v>High Risk</v>
      </c>
      <c r="R771" s="2">
        <f t="shared" si="38"/>
        <v>2685.578340398517</v>
      </c>
    </row>
    <row r="772" spans="1:18" s="1" customFormat="1" ht="11.5" x14ac:dyDescent="0.25">
      <c r="A772" s="1" t="s">
        <v>803</v>
      </c>
      <c r="B772" s="1" t="s">
        <v>28</v>
      </c>
      <c r="C772" s="1" t="s">
        <v>22</v>
      </c>
      <c r="D772" s="1">
        <v>1</v>
      </c>
      <c r="E772" s="1" t="s">
        <v>17</v>
      </c>
      <c r="F772" s="1" t="s">
        <v>22</v>
      </c>
      <c r="G772" s="1">
        <v>1715</v>
      </c>
      <c r="H772" s="1">
        <v>7331</v>
      </c>
      <c r="I772" s="1">
        <v>617</v>
      </c>
      <c r="J772" s="1">
        <v>360</v>
      </c>
      <c r="K772" s="1">
        <v>1</v>
      </c>
      <c r="L772" s="1" t="s">
        <v>30</v>
      </c>
      <c r="M772" s="1">
        <f>Table1[[#This Row],[ApplicantIncome]]+Table1[[#This Row],[CoapplicantIncome]]</f>
        <v>9046</v>
      </c>
      <c r="N772" s="1" t="s">
        <v>26</v>
      </c>
      <c r="O772" s="1" t="str">
        <f>IF(Table1[[#This Row],[Total_Income]]&lt;3000,"Low",IF(Table1[[#This Row],[Total_Income]]&lt;7000,"Medium","High"))</f>
        <v>High</v>
      </c>
      <c r="P772" s="1" t="str">
        <f t="shared" si="36"/>
        <v>Rejected</v>
      </c>
      <c r="Q772" s="1" t="str">
        <f t="shared" si="37"/>
        <v>Low Risk</v>
      </c>
      <c r="R772" s="2">
        <f t="shared" si="38"/>
        <v>4527.3274208357516</v>
      </c>
    </row>
    <row r="773" spans="1:18" s="1" customFormat="1" ht="11.5" x14ac:dyDescent="0.25">
      <c r="A773" s="1" t="s">
        <v>804</v>
      </c>
      <c r="B773" s="1" t="s">
        <v>1238</v>
      </c>
      <c r="C773" s="1" t="s">
        <v>29</v>
      </c>
      <c r="D773" s="1">
        <v>0</v>
      </c>
      <c r="E773" s="1" t="s">
        <v>25</v>
      </c>
      <c r="F773" s="1" t="s">
        <v>22</v>
      </c>
      <c r="G773" s="1">
        <v>4188</v>
      </c>
      <c r="H773" s="1">
        <v>2749</v>
      </c>
      <c r="I773" s="1">
        <v>430</v>
      </c>
      <c r="J773" s="1">
        <v>360</v>
      </c>
      <c r="K773" s="1">
        <v>1</v>
      </c>
      <c r="L773" s="1" t="s">
        <v>41</v>
      </c>
      <c r="M773" s="1">
        <f>Table1[[#This Row],[ApplicantIncome]]+Table1[[#This Row],[CoapplicantIncome]]</f>
        <v>6937</v>
      </c>
      <c r="N773" s="1" t="s">
        <v>26</v>
      </c>
      <c r="O773" s="1" t="str">
        <f>IF(Table1[[#This Row],[Total_Income]]&lt;3000,"Low",IF(Table1[[#This Row],[Total_Income]]&lt;7000,"Medium","High"))</f>
        <v>Medium</v>
      </c>
      <c r="P773" s="1" t="str">
        <f t="shared" si="36"/>
        <v>Rejected</v>
      </c>
      <c r="Q773" s="1" t="str">
        <f t="shared" si="37"/>
        <v>Low Risk</v>
      </c>
      <c r="R773" s="2">
        <f t="shared" si="38"/>
        <v>3155.1876676813176</v>
      </c>
    </row>
    <row r="774" spans="1:18" s="1" customFormat="1" ht="11.5" x14ac:dyDescent="0.25">
      <c r="A774" s="1" t="s">
        <v>805</v>
      </c>
      <c r="B774" s="1" t="s">
        <v>1238</v>
      </c>
      <c r="C774" s="1" t="s">
        <v>22</v>
      </c>
      <c r="D774" s="1">
        <v>2</v>
      </c>
      <c r="E774" s="1" t="s">
        <v>25</v>
      </c>
      <c r="F774" s="1" t="s">
        <v>29</v>
      </c>
      <c r="G774" s="1">
        <v>6156</v>
      </c>
      <c r="H774" s="1">
        <v>6754</v>
      </c>
      <c r="I774" s="1">
        <v>596</v>
      </c>
      <c r="J774" s="1">
        <v>360</v>
      </c>
      <c r="K774" s="1">
        <v>0</v>
      </c>
      <c r="L774" s="1" t="s">
        <v>30</v>
      </c>
      <c r="M774" s="1">
        <f>Table1[[#This Row],[ApplicantIncome]]+Table1[[#This Row],[CoapplicantIncome]]</f>
        <v>12910</v>
      </c>
      <c r="N774" s="1" t="s">
        <v>26</v>
      </c>
      <c r="O774" s="1" t="str">
        <f>IF(Table1[[#This Row],[Total_Income]]&lt;3000,"Low",IF(Table1[[#This Row],[Total_Income]]&lt;7000,"Medium","High"))</f>
        <v>High</v>
      </c>
      <c r="P774" s="1" t="str">
        <f t="shared" si="36"/>
        <v>Rejected</v>
      </c>
      <c r="Q774" s="1" t="str">
        <f t="shared" si="37"/>
        <v>High Risk</v>
      </c>
      <c r="R774" s="2">
        <f t="shared" si="38"/>
        <v>4373.2368603210825</v>
      </c>
    </row>
    <row r="775" spans="1:18" s="1" customFormat="1" ht="11.5" x14ac:dyDescent="0.25">
      <c r="A775" s="1" t="s">
        <v>806</v>
      </c>
      <c r="B775" s="1" t="s">
        <v>1238</v>
      </c>
      <c r="C775" s="1" t="s">
        <v>29</v>
      </c>
      <c r="D775" s="1">
        <v>1</v>
      </c>
      <c r="E775" s="1" t="s">
        <v>17</v>
      </c>
      <c r="F775" s="1" t="s">
        <v>29</v>
      </c>
      <c r="G775" s="1">
        <v>19364</v>
      </c>
      <c r="H775" s="1">
        <v>6387</v>
      </c>
      <c r="I775" s="1">
        <v>582</v>
      </c>
      <c r="J775" s="1">
        <v>120</v>
      </c>
      <c r="K775" s="1">
        <v>0</v>
      </c>
      <c r="L775" s="1" t="s">
        <v>30</v>
      </c>
      <c r="M775" s="1">
        <f>Table1[[#This Row],[ApplicantIncome]]+Table1[[#This Row],[CoapplicantIncome]]</f>
        <v>25751</v>
      </c>
      <c r="N775" s="1" t="s">
        <v>20</v>
      </c>
      <c r="O775" s="1" t="str">
        <f>IF(Table1[[#This Row],[Total_Income]]&lt;3000,"Low",IF(Table1[[#This Row],[Total_Income]]&lt;7000,"Medium","High"))</f>
        <v>High</v>
      </c>
      <c r="P775" s="1" t="str">
        <f t="shared" si="36"/>
        <v>Approved</v>
      </c>
      <c r="Q775" s="1" t="str">
        <f t="shared" si="37"/>
        <v>High Risk</v>
      </c>
      <c r="R775" s="2">
        <f t="shared" si="38"/>
        <v>7061.2659914817732</v>
      </c>
    </row>
    <row r="776" spans="1:18" s="1" customFormat="1" ht="11.5" x14ac:dyDescent="0.25">
      <c r="A776" s="1" t="s">
        <v>807</v>
      </c>
      <c r="B776" s="1" t="s">
        <v>52</v>
      </c>
      <c r="C776" s="1" t="s">
        <v>29</v>
      </c>
      <c r="D776" s="1">
        <v>0</v>
      </c>
      <c r="E776" s="1" t="s">
        <v>17</v>
      </c>
      <c r="F776" s="1" t="s">
        <v>22</v>
      </c>
      <c r="G776" s="1">
        <v>12301</v>
      </c>
      <c r="H776" s="1">
        <v>4381</v>
      </c>
      <c r="I776" s="1">
        <v>261</v>
      </c>
      <c r="J776" s="1">
        <v>120</v>
      </c>
      <c r="K776" s="1">
        <v>0</v>
      </c>
      <c r="L776" s="1" t="s">
        <v>19</v>
      </c>
      <c r="M776" s="1">
        <f>Table1[[#This Row],[ApplicantIncome]]+Table1[[#This Row],[CoapplicantIncome]]</f>
        <v>16682</v>
      </c>
      <c r="N776" s="1" t="s">
        <v>26</v>
      </c>
      <c r="O776" s="1" t="str">
        <f>IF(Table1[[#This Row],[Total_Income]]&lt;3000,"Low",IF(Table1[[#This Row],[Total_Income]]&lt;7000,"Medium","High"))</f>
        <v>High</v>
      </c>
      <c r="P776" s="1" t="str">
        <f t="shared" si="36"/>
        <v>Rejected</v>
      </c>
      <c r="Q776" s="1" t="str">
        <f t="shared" si="37"/>
        <v>High Risk</v>
      </c>
      <c r="R776" s="2">
        <f t="shared" si="38"/>
        <v>3166.650212674816</v>
      </c>
    </row>
    <row r="777" spans="1:18" s="1" customFormat="1" ht="11.5" x14ac:dyDescent="0.25">
      <c r="A777" s="1" t="s">
        <v>808</v>
      </c>
      <c r="B777" s="1" t="s">
        <v>28</v>
      </c>
      <c r="C777" s="1" t="s">
        <v>22</v>
      </c>
      <c r="D777" s="1">
        <v>0</v>
      </c>
      <c r="E777" s="1" t="s">
        <v>17</v>
      </c>
      <c r="F777" s="1" t="s">
        <v>22</v>
      </c>
      <c r="G777" s="1">
        <v>16333</v>
      </c>
      <c r="H777" s="1">
        <v>6678</v>
      </c>
      <c r="I777" s="1">
        <v>650</v>
      </c>
      <c r="J777" s="1">
        <v>360</v>
      </c>
      <c r="K777" s="1">
        <v>1</v>
      </c>
      <c r="L777" s="1" t="s">
        <v>30</v>
      </c>
      <c r="M777" s="1">
        <f>Table1[[#This Row],[ApplicantIncome]]+Table1[[#This Row],[CoapplicantIncome]]</f>
        <v>23011</v>
      </c>
      <c r="N777" s="1" t="s">
        <v>26</v>
      </c>
      <c r="O777" s="1" t="str">
        <f>IF(Table1[[#This Row],[Total_Income]]&lt;3000,"Low",IF(Table1[[#This Row],[Total_Income]]&lt;7000,"Medium","High"))</f>
        <v>High</v>
      </c>
      <c r="P777" s="1" t="str">
        <f t="shared" si="36"/>
        <v>Rejected</v>
      </c>
      <c r="Q777" s="1" t="str">
        <f t="shared" si="37"/>
        <v>Low Risk</v>
      </c>
      <c r="R777" s="2">
        <f t="shared" si="38"/>
        <v>4769.4697302159457</v>
      </c>
    </row>
    <row r="778" spans="1:18" s="1" customFormat="1" ht="11.5" x14ac:dyDescent="0.25">
      <c r="A778" s="1" t="s">
        <v>809</v>
      </c>
      <c r="B778" s="1" t="s">
        <v>52</v>
      </c>
      <c r="C778" s="1" t="s">
        <v>29</v>
      </c>
      <c r="D778" s="1">
        <v>0</v>
      </c>
      <c r="E778" s="1" t="s">
        <v>17</v>
      </c>
      <c r="F778" s="1" t="s">
        <v>29</v>
      </c>
      <c r="G778" s="1">
        <v>11162</v>
      </c>
      <c r="H778" s="1">
        <v>853</v>
      </c>
      <c r="I778" s="1">
        <v>235</v>
      </c>
      <c r="J778" s="1">
        <v>360</v>
      </c>
      <c r="K778" s="1">
        <v>0</v>
      </c>
      <c r="L778" s="1" t="s">
        <v>41</v>
      </c>
      <c r="M778" s="1">
        <f>Table1[[#This Row],[ApplicantIncome]]+Table1[[#This Row],[CoapplicantIncome]]</f>
        <v>12015</v>
      </c>
      <c r="N778" s="1" t="s">
        <v>26</v>
      </c>
      <c r="O778" s="1" t="str">
        <f>IF(Table1[[#This Row],[Total_Income]]&lt;3000,"Low",IF(Table1[[#This Row],[Total_Income]]&lt;7000,"Medium","High"))</f>
        <v>High</v>
      </c>
      <c r="P778" s="1" t="str">
        <f t="shared" si="36"/>
        <v>Rejected</v>
      </c>
      <c r="Q778" s="1" t="str">
        <f t="shared" si="37"/>
        <v>High Risk</v>
      </c>
      <c r="R778" s="2">
        <f t="shared" si="38"/>
        <v>1724.3467486165341</v>
      </c>
    </row>
    <row r="779" spans="1:18" s="1" customFormat="1" ht="11.5" x14ac:dyDescent="0.25">
      <c r="A779" s="1" t="s">
        <v>810</v>
      </c>
      <c r="B779" s="1" t="s">
        <v>52</v>
      </c>
      <c r="C779" s="1" t="s">
        <v>22</v>
      </c>
      <c r="D779" s="1">
        <v>0</v>
      </c>
      <c r="E779" s="1" t="s">
        <v>17</v>
      </c>
      <c r="F779" s="1" t="s">
        <v>29</v>
      </c>
      <c r="G779" s="1">
        <v>18569</v>
      </c>
      <c r="H779" s="1">
        <v>8930</v>
      </c>
      <c r="I779" s="1">
        <v>464</v>
      </c>
      <c r="J779" s="1">
        <v>180</v>
      </c>
      <c r="K779" s="1">
        <v>0</v>
      </c>
      <c r="L779" s="1" t="s">
        <v>41</v>
      </c>
      <c r="M779" s="1">
        <f>Table1[[#This Row],[ApplicantIncome]]+Table1[[#This Row],[CoapplicantIncome]]</f>
        <v>27499</v>
      </c>
      <c r="N779" s="1" t="s">
        <v>26</v>
      </c>
      <c r="O779" s="1" t="str">
        <f>IF(Table1[[#This Row],[Total_Income]]&lt;3000,"Low",IF(Table1[[#This Row],[Total_Income]]&lt;7000,"Medium","High"))</f>
        <v>High</v>
      </c>
      <c r="P779" s="1" t="str">
        <f t="shared" si="36"/>
        <v>Rejected</v>
      </c>
      <c r="Q779" s="1" t="str">
        <f t="shared" si="37"/>
        <v>High Risk</v>
      </c>
      <c r="R779" s="2">
        <f t="shared" si="38"/>
        <v>4434.2256712928311</v>
      </c>
    </row>
    <row r="780" spans="1:18" s="1" customFormat="1" ht="11.5" x14ac:dyDescent="0.25">
      <c r="A780" s="1" t="s">
        <v>811</v>
      </c>
      <c r="B780" s="1" t="s">
        <v>28</v>
      </c>
      <c r="C780" s="1" t="s">
        <v>22</v>
      </c>
      <c r="D780" s="1" t="s">
        <v>16</v>
      </c>
      <c r="E780" s="1" t="s">
        <v>17</v>
      </c>
      <c r="F780" s="1" t="s">
        <v>22</v>
      </c>
      <c r="G780" s="1">
        <v>19801</v>
      </c>
      <c r="H780" s="1">
        <v>33</v>
      </c>
      <c r="I780" s="1">
        <v>339</v>
      </c>
      <c r="J780" s="1">
        <v>360</v>
      </c>
      <c r="K780" s="1">
        <v>1</v>
      </c>
      <c r="L780" s="1" t="s">
        <v>19</v>
      </c>
      <c r="M780" s="1">
        <f>Table1[[#This Row],[ApplicantIncome]]+Table1[[#This Row],[CoapplicantIncome]]</f>
        <v>19834</v>
      </c>
      <c r="N780" s="1" t="s">
        <v>26</v>
      </c>
      <c r="O780" s="1" t="str">
        <f>IF(Table1[[#This Row],[Total_Income]]&lt;3000,"Low",IF(Table1[[#This Row],[Total_Income]]&lt;7000,"Medium","High"))</f>
        <v>High</v>
      </c>
      <c r="P780" s="1" t="str">
        <f t="shared" si="36"/>
        <v>Rejected</v>
      </c>
      <c r="Q780" s="1" t="str">
        <f t="shared" si="37"/>
        <v>Low Risk</v>
      </c>
      <c r="R780" s="2">
        <f t="shared" si="38"/>
        <v>2487.4619054510854</v>
      </c>
    </row>
    <row r="781" spans="1:18" s="1" customFormat="1" ht="11.5" x14ac:dyDescent="0.25">
      <c r="A781" s="1" t="s">
        <v>812</v>
      </c>
      <c r="B781" s="1" t="s">
        <v>52</v>
      </c>
      <c r="C781" s="1" t="s">
        <v>29</v>
      </c>
      <c r="D781" s="1">
        <v>1</v>
      </c>
      <c r="E781" s="1" t="s">
        <v>17</v>
      </c>
      <c r="F781" s="1" t="s">
        <v>22</v>
      </c>
      <c r="G781" s="1">
        <v>12479</v>
      </c>
      <c r="H781" s="1">
        <v>8043</v>
      </c>
      <c r="I781" s="1">
        <v>400</v>
      </c>
      <c r="J781" s="1">
        <v>180</v>
      </c>
      <c r="K781" s="1">
        <v>0</v>
      </c>
      <c r="L781" s="1" t="s">
        <v>19</v>
      </c>
      <c r="M781" s="1">
        <f>Table1[[#This Row],[ApplicantIncome]]+Table1[[#This Row],[CoapplicantIncome]]</f>
        <v>20522</v>
      </c>
      <c r="N781" s="1" t="s">
        <v>20</v>
      </c>
      <c r="O781" s="1" t="str">
        <f>IF(Table1[[#This Row],[Total_Income]]&lt;3000,"Low",IF(Table1[[#This Row],[Total_Income]]&lt;7000,"Medium","High"))</f>
        <v>High</v>
      </c>
      <c r="P781" s="1" t="str">
        <f t="shared" si="36"/>
        <v>Approved</v>
      </c>
      <c r="Q781" s="1" t="str">
        <f t="shared" si="37"/>
        <v>High Risk</v>
      </c>
      <c r="R781" s="2">
        <f t="shared" si="38"/>
        <v>3822.608337321406</v>
      </c>
    </row>
    <row r="782" spans="1:18" s="1" customFormat="1" ht="11.5" x14ac:dyDescent="0.25">
      <c r="A782" s="1" t="s">
        <v>813</v>
      </c>
      <c r="B782" s="1" t="s">
        <v>28</v>
      </c>
      <c r="C782" s="1" t="s">
        <v>22</v>
      </c>
      <c r="D782" s="1" t="s">
        <v>16</v>
      </c>
      <c r="E782" s="1" t="s">
        <v>25</v>
      </c>
      <c r="F782" s="1" t="s">
        <v>29</v>
      </c>
      <c r="G782" s="1">
        <v>6098</v>
      </c>
      <c r="H782" s="1">
        <v>9865</v>
      </c>
      <c r="I782" s="1">
        <v>700</v>
      </c>
      <c r="J782" s="1">
        <v>180</v>
      </c>
      <c r="K782" s="1">
        <v>1</v>
      </c>
      <c r="L782" s="1" t="s">
        <v>19</v>
      </c>
      <c r="M782" s="1">
        <f>Table1[[#This Row],[ApplicantIncome]]+Table1[[#This Row],[CoapplicantIncome]]</f>
        <v>15963</v>
      </c>
      <c r="N782" s="1" t="s">
        <v>26</v>
      </c>
      <c r="O782" s="1" t="str">
        <f>IF(Table1[[#This Row],[Total_Income]]&lt;3000,"Low",IF(Table1[[#This Row],[Total_Income]]&lt;7000,"Medium","High"))</f>
        <v>High</v>
      </c>
      <c r="P782" s="1" t="str">
        <f t="shared" si="36"/>
        <v>Rejected</v>
      </c>
      <c r="Q782" s="1" t="str">
        <f t="shared" si="37"/>
        <v>Low Risk</v>
      </c>
      <c r="R782" s="2">
        <f t="shared" si="38"/>
        <v>6689.5645903124605</v>
      </c>
    </row>
    <row r="783" spans="1:18" s="1" customFormat="1" ht="11.5" x14ac:dyDescent="0.25">
      <c r="A783" s="1" t="s">
        <v>814</v>
      </c>
      <c r="B783" s="1" t="s">
        <v>1238</v>
      </c>
      <c r="C783" s="1" t="s">
        <v>29</v>
      </c>
      <c r="D783" s="1" t="s">
        <v>16</v>
      </c>
      <c r="E783" s="1" t="s">
        <v>25</v>
      </c>
      <c r="F783" s="1" t="s">
        <v>22</v>
      </c>
      <c r="G783" s="1">
        <v>13790</v>
      </c>
      <c r="H783" s="1">
        <v>9741</v>
      </c>
      <c r="I783" s="1">
        <v>149</v>
      </c>
      <c r="J783" s="1">
        <v>120</v>
      </c>
      <c r="K783" s="1">
        <v>0</v>
      </c>
      <c r="L783" s="1" t="s">
        <v>41</v>
      </c>
      <c r="M783" s="1">
        <f>Table1[[#This Row],[ApplicantIncome]]+Table1[[#This Row],[CoapplicantIncome]]</f>
        <v>23531</v>
      </c>
      <c r="N783" s="1" t="s">
        <v>26</v>
      </c>
      <c r="O783" s="1" t="str">
        <f>IF(Table1[[#This Row],[Total_Income]]&lt;3000,"Low",IF(Table1[[#This Row],[Total_Income]]&lt;7000,"Medium","High"))</f>
        <v>High</v>
      </c>
      <c r="P783" s="1" t="str">
        <f t="shared" si="36"/>
        <v>Rejected</v>
      </c>
      <c r="Q783" s="1" t="str">
        <f t="shared" si="37"/>
        <v>High Risk</v>
      </c>
      <c r="R783" s="2">
        <f t="shared" si="38"/>
        <v>1807.7811558948183</v>
      </c>
    </row>
    <row r="784" spans="1:18" s="1" customFormat="1" ht="11.5" x14ac:dyDescent="0.25">
      <c r="A784" s="1" t="s">
        <v>815</v>
      </c>
      <c r="B784" s="1" t="s">
        <v>52</v>
      </c>
      <c r="C784" s="1" t="s">
        <v>22</v>
      </c>
      <c r="D784" s="1" t="s">
        <v>16</v>
      </c>
      <c r="E784" s="1" t="s">
        <v>17</v>
      </c>
      <c r="F784" s="1" t="s">
        <v>22</v>
      </c>
      <c r="G784" s="1">
        <v>3539</v>
      </c>
      <c r="H784" s="1">
        <v>5575</v>
      </c>
      <c r="I784" s="1">
        <v>353</v>
      </c>
      <c r="J784" s="1">
        <v>360</v>
      </c>
      <c r="K784" s="1">
        <v>1</v>
      </c>
      <c r="L784" s="1" t="s">
        <v>41</v>
      </c>
      <c r="M784" s="1">
        <f>Table1[[#This Row],[ApplicantIncome]]+Table1[[#This Row],[CoapplicantIncome]]</f>
        <v>9114</v>
      </c>
      <c r="N784" s="1" t="s">
        <v>20</v>
      </c>
      <c r="O784" s="1" t="str">
        <f>IF(Table1[[#This Row],[Total_Income]]&lt;3000,"Low",IF(Table1[[#This Row],[Total_Income]]&lt;7000,"Medium","High"))</f>
        <v>High</v>
      </c>
      <c r="P784" s="1" t="str">
        <f t="shared" si="36"/>
        <v>Approved</v>
      </c>
      <c r="Q784" s="1" t="str">
        <f t="shared" si="37"/>
        <v>Low Risk</v>
      </c>
      <c r="R784" s="2">
        <f t="shared" si="38"/>
        <v>2590.1889457941979</v>
      </c>
    </row>
    <row r="785" spans="1:18" s="1" customFormat="1" ht="11.5" x14ac:dyDescent="0.25">
      <c r="A785" s="1" t="s">
        <v>816</v>
      </c>
      <c r="B785" s="1" t="s">
        <v>28</v>
      </c>
      <c r="C785" s="1" t="s">
        <v>22</v>
      </c>
      <c r="D785" s="1" t="s">
        <v>16</v>
      </c>
      <c r="E785" s="1" t="s">
        <v>17</v>
      </c>
      <c r="F785" s="1" t="s">
        <v>29</v>
      </c>
      <c r="G785" s="1">
        <v>2970</v>
      </c>
      <c r="H785" s="1">
        <v>2347</v>
      </c>
      <c r="I785" s="1">
        <v>344</v>
      </c>
      <c r="J785" s="1">
        <v>360</v>
      </c>
      <c r="K785" s="1">
        <v>1</v>
      </c>
      <c r="L785" s="1" t="s">
        <v>19</v>
      </c>
      <c r="M785" s="1">
        <f>Table1[[#This Row],[ApplicantIncome]]+Table1[[#This Row],[CoapplicantIncome]]</f>
        <v>5317</v>
      </c>
      <c r="N785" s="1" t="s">
        <v>20</v>
      </c>
      <c r="O785" s="1" t="str">
        <f>IF(Table1[[#This Row],[Total_Income]]&lt;3000,"Low",IF(Table1[[#This Row],[Total_Income]]&lt;7000,"Medium","High"))</f>
        <v>Medium</v>
      </c>
      <c r="P785" s="1" t="str">
        <f t="shared" si="36"/>
        <v>Approved</v>
      </c>
      <c r="Q785" s="1" t="str">
        <f t="shared" si="37"/>
        <v>Low Risk</v>
      </c>
      <c r="R785" s="2">
        <f t="shared" si="38"/>
        <v>2524.1501341450544</v>
      </c>
    </row>
    <row r="786" spans="1:18" s="1" customFormat="1" ht="11.5" x14ac:dyDescent="0.25">
      <c r="A786" s="1" t="s">
        <v>817</v>
      </c>
      <c r="B786" s="1" t="s">
        <v>52</v>
      </c>
      <c r="C786" s="1" t="s">
        <v>22</v>
      </c>
      <c r="D786" s="1" t="s">
        <v>16</v>
      </c>
      <c r="E786" s="1" t="s">
        <v>25</v>
      </c>
      <c r="F786" s="1" t="s">
        <v>29</v>
      </c>
      <c r="G786" s="1">
        <v>2747</v>
      </c>
      <c r="H786" s="1">
        <v>3517</v>
      </c>
      <c r="I786" s="1">
        <v>559</v>
      </c>
      <c r="J786" s="1">
        <v>180</v>
      </c>
      <c r="K786" s="1">
        <v>0</v>
      </c>
      <c r="L786" s="1" t="s">
        <v>19</v>
      </c>
      <c r="M786" s="1">
        <f>Table1[[#This Row],[ApplicantIncome]]+Table1[[#This Row],[CoapplicantIncome]]</f>
        <v>6264</v>
      </c>
      <c r="N786" s="1" t="s">
        <v>20</v>
      </c>
      <c r="O786" s="1" t="str">
        <f>IF(Table1[[#This Row],[Total_Income]]&lt;3000,"Low",IF(Table1[[#This Row],[Total_Income]]&lt;7000,"Medium","High"))</f>
        <v>Medium</v>
      </c>
      <c r="P786" s="1" t="str">
        <f t="shared" si="36"/>
        <v>Approved</v>
      </c>
      <c r="Q786" s="1" t="str">
        <f t="shared" si="37"/>
        <v>High Risk</v>
      </c>
      <c r="R786" s="2">
        <f t="shared" si="38"/>
        <v>5342.0951514066646</v>
      </c>
    </row>
    <row r="787" spans="1:18" s="1" customFormat="1" ht="11.5" x14ac:dyDescent="0.25">
      <c r="A787" s="1" t="s">
        <v>818</v>
      </c>
      <c r="B787" s="1" t="s">
        <v>1238</v>
      </c>
      <c r="C787" s="1" t="s">
        <v>29</v>
      </c>
      <c r="D787" s="1" t="s">
        <v>16</v>
      </c>
      <c r="E787" s="1" t="s">
        <v>25</v>
      </c>
      <c r="F787" s="1" t="s">
        <v>22</v>
      </c>
      <c r="G787" s="1">
        <v>7809</v>
      </c>
      <c r="H787" s="1">
        <v>2243</v>
      </c>
      <c r="I787" s="1">
        <v>213</v>
      </c>
      <c r="J787" s="1">
        <v>180</v>
      </c>
      <c r="K787" s="1">
        <v>1</v>
      </c>
      <c r="L787" s="1" t="s">
        <v>19</v>
      </c>
      <c r="M787" s="1">
        <f>Table1[[#This Row],[ApplicantIncome]]+Table1[[#This Row],[CoapplicantIncome]]</f>
        <v>10052</v>
      </c>
      <c r="N787" s="1" t="s">
        <v>26</v>
      </c>
      <c r="O787" s="1" t="str">
        <f>IF(Table1[[#This Row],[Total_Income]]&lt;3000,"Low",IF(Table1[[#This Row],[Total_Income]]&lt;7000,"Medium","High"))</f>
        <v>High</v>
      </c>
      <c r="P787" s="1" t="str">
        <f t="shared" si="36"/>
        <v>Rejected</v>
      </c>
      <c r="Q787" s="1" t="str">
        <f t="shared" si="37"/>
        <v>Low Risk</v>
      </c>
      <c r="R787" s="2">
        <f t="shared" si="38"/>
        <v>2035.5389396236485</v>
      </c>
    </row>
    <row r="788" spans="1:18" s="1" customFormat="1" ht="11.5" x14ac:dyDescent="0.25">
      <c r="A788" s="1" t="s">
        <v>819</v>
      </c>
      <c r="B788" s="1" t="s">
        <v>28</v>
      </c>
      <c r="C788" s="1" t="s">
        <v>29</v>
      </c>
      <c r="D788" s="1" t="s">
        <v>16</v>
      </c>
      <c r="E788" s="1" t="s">
        <v>25</v>
      </c>
      <c r="F788" s="1" t="s">
        <v>22</v>
      </c>
      <c r="G788" s="1">
        <v>3238</v>
      </c>
      <c r="H788" s="1">
        <v>33</v>
      </c>
      <c r="I788" s="1">
        <v>571</v>
      </c>
      <c r="J788" s="1">
        <v>180</v>
      </c>
      <c r="K788" s="1">
        <v>0</v>
      </c>
      <c r="L788" s="1" t="s">
        <v>19</v>
      </c>
      <c r="M788" s="1">
        <f>Table1[[#This Row],[ApplicantIncome]]+Table1[[#This Row],[CoapplicantIncome]]</f>
        <v>3271</v>
      </c>
      <c r="N788" s="1" t="s">
        <v>20</v>
      </c>
      <c r="O788" s="1" t="str">
        <f>IF(Table1[[#This Row],[Total_Income]]&lt;3000,"Low",IF(Table1[[#This Row],[Total_Income]]&lt;7000,"Medium","High"))</f>
        <v>Medium</v>
      </c>
      <c r="P788" s="1" t="str">
        <f t="shared" si="36"/>
        <v>Approved</v>
      </c>
      <c r="Q788" s="1" t="str">
        <f t="shared" si="37"/>
        <v>High Risk</v>
      </c>
      <c r="R788" s="2">
        <f t="shared" si="38"/>
        <v>5456.7734015263068</v>
      </c>
    </row>
    <row r="789" spans="1:18" s="1" customFormat="1" ht="11.5" x14ac:dyDescent="0.25">
      <c r="A789" s="1" t="s">
        <v>820</v>
      </c>
      <c r="B789" s="1" t="s">
        <v>28</v>
      </c>
      <c r="C789" s="1" t="s">
        <v>22</v>
      </c>
      <c r="D789" s="1" t="s">
        <v>16</v>
      </c>
      <c r="E789" s="1" t="s">
        <v>25</v>
      </c>
      <c r="F789" s="1" t="s">
        <v>22</v>
      </c>
      <c r="G789" s="1">
        <v>6459</v>
      </c>
      <c r="H789" s="1">
        <v>4361</v>
      </c>
      <c r="I789" s="1">
        <v>646</v>
      </c>
      <c r="J789" s="1">
        <v>180</v>
      </c>
      <c r="K789" s="1">
        <v>0</v>
      </c>
      <c r="L789" s="1" t="s">
        <v>30</v>
      </c>
      <c r="M789" s="1">
        <f>Table1[[#This Row],[ApplicantIncome]]+Table1[[#This Row],[CoapplicantIncome]]</f>
        <v>10820</v>
      </c>
      <c r="N789" s="1" t="s">
        <v>26</v>
      </c>
      <c r="O789" s="1" t="str">
        <f>IF(Table1[[#This Row],[Total_Income]]&lt;3000,"Low",IF(Table1[[#This Row],[Total_Income]]&lt;7000,"Medium","High"))</f>
        <v>High</v>
      </c>
      <c r="P789" s="1" t="str">
        <f t="shared" si="36"/>
        <v>Rejected</v>
      </c>
      <c r="Q789" s="1" t="str">
        <f t="shared" si="37"/>
        <v>High Risk</v>
      </c>
      <c r="R789" s="2">
        <f t="shared" si="38"/>
        <v>6173.5124647740704</v>
      </c>
    </row>
    <row r="790" spans="1:18" s="1" customFormat="1" ht="11.5" x14ac:dyDescent="0.25">
      <c r="A790" s="1" t="s">
        <v>821</v>
      </c>
      <c r="B790" s="1" t="s">
        <v>52</v>
      </c>
      <c r="C790" s="1" t="s">
        <v>29</v>
      </c>
      <c r="D790" s="1" t="s">
        <v>16</v>
      </c>
      <c r="E790" s="1" t="s">
        <v>25</v>
      </c>
      <c r="F790" s="1" t="s">
        <v>22</v>
      </c>
      <c r="G790" s="1">
        <v>17400</v>
      </c>
      <c r="H790" s="1">
        <v>5527</v>
      </c>
      <c r="I790" s="1">
        <v>372</v>
      </c>
      <c r="J790" s="1">
        <v>360</v>
      </c>
      <c r="K790" s="1">
        <v>1</v>
      </c>
      <c r="L790" s="1" t="s">
        <v>19</v>
      </c>
      <c r="M790" s="1">
        <f>Table1[[#This Row],[ApplicantIncome]]+Table1[[#This Row],[CoapplicantIncome]]</f>
        <v>22927</v>
      </c>
      <c r="N790" s="1" t="s">
        <v>20</v>
      </c>
      <c r="O790" s="1" t="str">
        <f>IF(Table1[[#This Row],[Total_Income]]&lt;3000,"Low",IF(Table1[[#This Row],[Total_Income]]&lt;7000,"Medium","High"))</f>
        <v>High</v>
      </c>
      <c r="P790" s="1" t="str">
        <f t="shared" si="36"/>
        <v>Approved</v>
      </c>
      <c r="Q790" s="1" t="str">
        <f t="shared" si="37"/>
        <v>Low Risk</v>
      </c>
      <c r="R790" s="2">
        <f t="shared" si="38"/>
        <v>2729.6042148312795</v>
      </c>
    </row>
    <row r="791" spans="1:18" s="1" customFormat="1" ht="11.5" x14ac:dyDescent="0.25">
      <c r="A791" s="1" t="s">
        <v>822</v>
      </c>
      <c r="B791" s="1" t="s">
        <v>28</v>
      </c>
      <c r="C791" s="1" t="s">
        <v>22</v>
      </c>
      <c r="D791" s="1">
        <v>0</v>
      </c>
      <c r="E791" s="1" t="s">
        <v>17</v>
      </c>
      <c r="F791" s="1" t="s">
        <v>29</v>
      </c>
      <c r="G791" s="1">
        <v>16439</v>
      </c>
      <c r="H791" s="1">
        <v>7144</v>
      </c>
      <c r="I791" s="1">
        <v>610</v>
      </c>
      <c r="J791" s="1">
        <v>360</v>
      </c>
      <c r="K791" s="1">
        <v>0</v>
      </c>
      <c r="L791" s="1" t="s">
        <v>41</v>
      </c>
      <c r="M791" s="1">
        <f>Table1[[#This Row],[ApplicantIncome]]+Table1[[#This Row],[CoapplicantIncome]]</f>
        <v>23583</v>
      </c>
      <c r="N791" s="1" t="s">
        <v>26</v>
      </c>
      <c r="O791" s="1" t="str">
        <f>IF(Table1[[#This Row],[Total_Income]]&lt;3000,"Low",IF(Table1[[#This Row],[Total_Income]]&lt;7000,"Medium","High"))</f>
        <v>High</v>
      </c>
      <c r="P791" s="1" t="str">
        <f t="shared" si="36"/>
        <v>Rejected</v>
      </c>
      <c r="Q791" s="1" t="str">
        <f t="shared" si="37"/>
        <v>High Risk</v>
      </c>
      <c r="R791" s="2">
        <f t="shared" si="38"/>
        <v>4475.9639006641946</v>
      </c>
    </row>
    <row r="792" spans="1:18" s="1" customFormat="1" ht="11.5" x14ac:dyDescent="0.25">
      <c r="A792" s="1" t="s">
        <v>823</v>
      </c>
      <c r="B792" s="1" t="s">
        <v>28</v>
      </c>
      <c r="C792" s="1" t="s">
        <v>22</v>
      </c>
      <c r="D792" s="1" t="s">
        <v>16</v>
      </c>
      <c r="E792" s="1" t="s">
        <v>17</v>
      </c>
      <c r="F792" s="1" t="s">
        <v>22</v>
      </c>
      <c r="G792" s="1">
        <v>9132</v>
      </c>
      <c r="H792" s="1">
        <v>8723</v>
      </c>
      <c r="I792" s="1">
        <v>667</v>
      </c>
      <c r="J792" s="1">
        <v>360</v>
      </c>
      <c r="K792" s="1">
        <v>1</v>
      </c>
      <c r="L792" s="1" t="s">
        <v>41</v>
      </c>
      <c r="M792" s="1">
        <f>Table1[[#This Row],[ApplicantIncome]]+Table1[[#This Row],[CoapplicantIncome]]</f>
        <v>17855</v>
      </c>
      <c r="N792" s="1" t="s">
        <v>20</v>
      </c>
      <c r="O792" s="1" t="str">
        <f>IF(Table1[[#This Row],[Total_Income]]&lt;3000,"Low",IF(Table1[[#This Row],[Total_Income]]&lt;7000,"Medium","High"))</f>
        <v>High</v>
      </c>
      <c r="P792" s="1" t="str">
        <f t="shared" si="36"/>
        <v>Approved</v>
      </c>
      <c r="Q792" s="1" t="str">
        <f t="shared" si="37"/>
        <v>Low Risk</v>
      </c>
      <c r="R792" s="2">
        <f t="shared" si="38"/>
        <v>4894.2097077754388</v>
      </c>
    </row>
    <row r="793" spans="1:18" s="1" customFormat="1" ht="11.5" x14ac:dyDescent="0.25">
      <c r="A793" s="1" t="s">
        <v>824</v>
      </c>
      <c r="B793" s="1" t="s">
        <v>1238</v>
      </c>
      <c r="C793" s="1" t="s">
        <v>22</v>
      </c>
      <c r="D793" s="1">
        <v>2</v>
      </c>
      <c r="E793" s="1" t="s">
        <v>25</v>
      </c>
      <c r="F793" s="1" t="s">
        <v>22</v>
      </c>
      <c r="G793" s="1">
        <v>11610</v>
      </c>
      <c r="H793" s="1">
        <v>7663</v>
      </c>
      <c r="I793" s="1">
        <v>350</v>
      </c>
      <c r="J793" s="1">
        <v>360</v>
      </c>
      <c r="K793" s="1">
        <v>1</v>
      </c>
      <c r="L793" s="1" t="s">
        <v>41</v>
      </c>
      <c r="M793" s="1">
        <f>Table1[[#This Row],[ApplicantIncome]]+Table1[[#This Row],[CoapplicantIncome]]</f>
        <v>19273</v>
      </c>
      <c r="N793" s="1" t="s">
        <v>26</v>
      </c>
      <c r="O793" s="1" t="str">
        <f>IF(Table1[[#This Row],[Total_Income]]&lt;3000,"Low",IF(Table1[[#This Row],[Total_Income]]&lt;7000,"Medium","High"))</f>
        <v>High</v>
      </c>
      <c r="P793" s="1" t="str">
        <f t="shared" si="36"/>
        <v>Rejected</v>
      </c>
      <c r="Q793" s="1" t="str">
        <f t="shared" si="37"/>
        <v>Low Risk</v>
      </c>
      <c r="R793" s="2">
        <f t="shared" si="38"/>
        <v>2568.1760085778164</v>
      </c>
    </row>
    <row r="794" spans="1:18" s="1" customFormat="1" ht="11.5" x14ac:dyDescent="0.25">
      <c r="A794" s="1" t="s">
        <v>825</v>
      </c>
      <c r="B794" s="1" t="s">
        <v>52</v>
      </c>
      <c r="C794" s="1" t="s">
        <v>22</v>
      </c>
      <c r="D794" s="1" t="s">
        <v>16</v>
      </c>
      <c r="E794" s="1" t="s">
        <v>17</v>
      </c>
      <c r="F794" s="1" t="s">
        <v>22</v>
      </c>
      <c r="G794" s="1">
        <v>10408</v>
      </c>
      <c r="H794" s="1">
        <v>3695</v>
      </c>
      <c r="I794" s="1">
        <v>395</v>
      </c>
      <c r="J794" s="1">
        <v>180</v>
      </c>
      <c r="K794" s="1">
        <v>0</v>
      </c>
      <c r="L794" s="1" t="s">
        <v>30</v>
      </c>
      <c r="M794" s="1">
        <f>Table1[[#This Row],[ApplicantIncome]]+Table1[[#This Row],[CoapplicantIncome]]</f>
        <v>14103</v>
      </c>
      <c r="N794" s="1" t="s">
        <v>26</v>
      </c>
      <c r="O794" s="1" t="str">
        <f>IF(Table1[[#This Row],[Total_Income]]&lt;3000,"Low",IF(Table1[[#This Row],[Total_Income]]&lt;7000,"Medium","High"))</f>
        <v>High</v>
      </c>
      <c r="P794" s="1" t="str">
        <f t="shared" si="36"/>
        <v>Rejected</v>
      </c>
      <c r="Q794" s="1" t="str">
        <f t="shared" si="37"/>
        <v>High Risk</v>
      </c>
      <c r="R794" s="2">
        <f t="shared" si="38"/>
        <v>3774.8257331048885</v>
      </c>
    </row>
    <row r="795" spans="1:18" s="1" customFormat="1" ht="11.5" x14ac:dyDescent="0.25">
      <c r="A795" s="1" t="s">
        <v>826</v>
      </c>
      <c r="B795" s="1" t="s">
        <v>28</v>
      </c>
      <c r="C795" s="1" t="s">
        <v>22</v>
      </c>
      <c r="D795" s="1">
        <v>2</v>
      </c>
      <c r="E795" s="1" t="s">
        <v>17</v>
      </c>
      <c r="F795" s="1" t="s">
        <v>22</v>
      </c>
      <c r="G795" s="1">
        <v>3807</v>
      </c>
      <c r="H795" s="1">
        <v>2480</v>
      </c>
      <c r="I795" s="1">
        <v>369</v>
      </c>
      <c r="J795" s="1">
        <v>360</v>
      </c>
      <c r="K795" s="1">
        <v>0</v>
      </c>
      <c r="L795" s="1" t="s">
        <v>41</v>
      </c>
      <c r="M795" s="1">
        <f>Table1[[#This Row],[ApplicantIncome]]+Table1[[#This Row],[CoapplicantIncome]]</f>
        <v>6287</v>
      </c>
      <c r="N795" s="1" t="s">
        <v>20</v>
      </c>
      <c r="O795" s="1" t="str">
        <f>IF(Table1[[#This Row],[Total_Income]]&lt;3000,"Low",IF(Table1[[#This Row],[Total_Income]]&lt;7000,"Medium","High"))</f>
        <v>Medium</v>
      </c>
      <c r="P795" s="1" t="str">
        <f t="shared" si="36"/>
        <v>Approved</v>
      </c>
      <c r="Q795" s="1" t="str">
        <f t="shared" si="37"/>
        <v>High Risk</v>
      </c>
      <c r="R795" s="2">
        <f t="shared" si="38"/>
        <v>2707.591277614898</v>
      </c>
    </row>
    <row r="796" spans="1:18" s="1" customFormat="1" ht="11.5" x14ac:dyDescent="0.25">
      <c r="A796" s="1" t="s">
        <v>827</v>
      </c>
      <c r="B796" s="1" t="s">
        <v>1238</v>
      </c>
      <c r="C796" s="1" t="s">
        <v>22</v>
      </c>
      <c r="D796" s="1">
        <v>0</v>
      </c>
      <c r="E796" s="1" t="s">
        <v>25</v>
      </c>
      <c r="F796" s="1" t="s">
        <v>29</v>
      </c>
      <c r="G796" s="1">
        <v>9194</v>
      </c>
      <c r="H796" s="1">
        <v>3299</v>
      </c>
      <c r="I796" s="1">
        <v>333</v>
      </c>
      <c r="J796" s="1">
        <v>360</v>
      </c>
      <c r="K796" s="1">
        <v>1</v>
      </c>
      <c r="L796" s="1" t="s">
        <v>30</v>
      </c>
      <c r="M796" s="1">
        <f>Table1[[#This Row],[ApplicantIncome]]+Table1[[#This Row],[CoapplicantIncome]]</f>
        <v>12493</v>
      </c>
      <c r="N796" s="1" t="s">
        <v>26</v>
      </c>
      <c r="O796" s="1" t="str">
        <f>IF(Table1[[#This Row],[Total_Income]]&lt;3000,"Low",IF(Table1[[#This Row],[Total_Income]]&lt;7000,"Medium","High"))</f>
        <v>High</v>
      </c>
      <c r="P796" s="1" t="str">
        <f t="shared" si="36"/>
        <v>Rejected</v>
      </c>
      <c r="Q796" s="1" t="str">
        <f t="shared" si="37"/>
        <v>Low Risk</v>
      </c>
      <c r="R796" s="2">
        <f t="shared" si="38"/>
        <v>2443.4360310183229</v>
      </c>
    </row>
    <row r="797" spans="1:18" s="1" customFormat="1" ht="11.5" x14ac:dyDescent="0.25">
      <c r="A797" s="1" t="s">
        <v>828</v>
      </c>
      <c r="B797" s="1" t="s">
        <v>1238</v>
      </c>
      <c r="C797" s="1" t="s">
        <v>22</v>
      </c>
      <c r="D797" s="1">
        <v>2</v>
      </c>
      <c r="E797" s="1" t="s">
        <v>25</v>
      </c>
      <c r="F797" s="1" t="s">
        <v>29</v>
      </c>
      <c r="G797" s="1">
        <v>13707</v>
      </c>
      <c r="H797" s="1">
        <v>2688</v>
      </c>
      <c r="I797" s="1">
        <v>203</v>
      </c>
      <c r="J797" s="1">
        <v>120</v>
      </c>
      <c r="K797" s="1">
        <v>0</v>
      </c>
      <c r="L797" s="1" t="s">
        <v>30</v>
      </c>
      <c r="M797" s="1">
        <f>Table1[[#This Row],[ApplicantIncome]]+Table1[[#This Row],[CoapplicantIncome]]</f>
        <v>16395</v>
      </c>
      <c r="N797" s="1" t="s">
        <v>20</v>
      </c>
      <c r="O797" s="1" t="str">
        <f>IF(Table1[[#This Row],[Total_Income]]&lt;3000,"Low",IF(Table1[[#This Row],[Total_Income]]&lt;7000,"Medium","High"))</f>
        <v>High</v>
      </c>
      <c r="P797" s="1" t="str">
        <f t="shared" si="36"/>
        <v>Approved</v>
      </c>
      <c r="Q797" s="1" t="str">
        <f t="shared" si="37"/>
        <v>High Risk</v>
      </c>
      <c r="R797" s="2">
        <f t="shared" si="38"/>
        <v>2462.9501654137457</v>
      </c>
    </row>
    <row r="798" spans="1:18" s="1" customFormat="1" ht="11.5" x14ac:dyDescent="0.25">
      <c r="A798" s="1" t="s">
        <v>829</v>
      </c>
      <c r="B798" s="1" t="s">
        <v>28</v>
      </c>
      <c r="C798" s="1" t="s">
        <v>22</v>
      </c>
      <c r="D798" s="1">
        <v>1</v>
      </c>
      <c r="E798" s="1" t="s">
        <v>17</v>
      </c>
      <c r="F798" s="1" t="s">
        <v>22</v>
      </c>
      <c r="G798" s="1">
        <v>17848</v>
      </c>
      <c r="H798" s="1">
        <v>1368</v>
      </c>
      <c r="I798" s="1">
        <v>139</v>
      </c>
      <c r="J798" s="1">
        <v>360</v>
      </c>
      <c r="K798" s="1">
        <v>0</v>
      </c>
      <c r="L798" s="1" t="s">
        <v>30</v>
      </c>
      <c r="M798" s="1">
        <f>Table1[[#This Row],[ApplicantIncome]]+Table1[[#This Row],[CoapplicantIncome]]</f>
        <v>19216</v>
      </c>
      <c r="N798" s="1" t="s">
        <v>26</v>
      </c>
      <c r="O798" s="1" t="str">
        <f>IF(Table1[[#This Row],[Total_Income]]&lt;3000,"Low",IF(Table1[[#This Row],[Total_Income]]&lt;7000,"Medium","High"))</f>
        <v>High</v>
      </c>
      <c r="P798" s="1" t="str">
        <f t="shared" si="36"/>
        <v>Rejected</v>
      </c>
      <c r="Q798" s="1" t="str">
        <f t="shared" si="37"/>
        <v>High Risk</v>
      </c>
      <c r="R798" s="2">
        <f t="shared" si="38"/>
        <v>1019.9327576923329</v>
      </c>
    </row>
    <row r="799" spans="1:18" s="1" customFormat="1" ht="11.5" x14ac:dyDescent="0.25">
      <c r="A799" s="1" t="s">
        <v>830</v>
      </c>
      <c r="B799" s="1" t="s">
        <v>52</v>
      </c>
      <c r="C799" s="1" t="s">
        <v>29</v>
      </c>
      <c r="D799" s="1" t="s">
        <v>16</v>
      </c>
      <c r="E799" s="1" t="s">
        <v>25</v>
      </c>
      <c r="F799" s="1" t="s">
        <v>22</v>
      </c>
      <c r="G799" s="1">
        <v>1961</v>
      </c>
      <c r="H799" s="1">
        <v>1892</v>
      </c>
      <c r="I799" s="1">
        <v>465</v>
      </c>
      <c r="J799" s="1">
        <v>120</v>
      </c>
      <c r="K799" s="1">
        <v>0</v>
      </c>
      <c r="L799" s="1" t="s">
        <v>30</v>
      </c>
      <c r="M799" s="1">
        <f>Table1[[#This Row],[ApplicantIncome]]+Table1[[#This Row],[CoapplicantIncome]]</f>
        <v>3853</v>
      </c>
      <c r="N799" s="1" t="s">
        <v>20</v>
      </c>
      <c r="O799" s="1" t="str">
        <f>IF(Table1[[#This Row],[Total_Income]]&lt;3000,"Low",IF(Table1[[#This Row],[Total_Income]]&lt;7000,"Medium","High"))</f>
        <v>Medium</v>
      </c>
      <c r="P799" s="1" t="str">
        <f t="shared" si="36"/>
        <v>Approved</v>
      </c>
      <c r="Q799" s="1" t="str">
        <f t="shared" si="37"/>
        <v>High Risk</v>
      </c>
      <c r="R799" s="2">
        <f t="shared" si="38"/>
        <v>5641.7331375240974</v>
      </c>
    </row>
    <row r="800" spans="1:18" s="1" customFormat="1" ht="11.5" x14ac:dyDescent="0.25">
      <c r="A800" s="1" t="s">
        <v>831</v>
      </c>
      <c r="B800" s="1" t="s">
        <v>52</v>
      </c>
      <c r="C800" s="1" t="s">
        <v>29</v>
      </c>
      <c r="D800" s="1" t="s">
        <v>16</v>
      </c>
      <c r="E800" s="1" t="s">
        <v>17</v>
      </c>
      <c r="F800" s="1" t="s">
        <v>22</v>
      </c>
      <c r="G800" s="1">
        <v>15120</v>
      </c>
      <c r="H800" s="1">
        <v>4483</v>
      </c>
      <c r="I800" s="1">
        <v>351</v>
      </c>
      <c r="J800" s="1">
        <v>180</v>
      </c>
      <c r="K800" s="1">
        <v>0</v>
      </c>
      <c r="L800" s="1" t="s">
        <v>19</v>
      </c>
      <c r="M800" s="1">
        <f>Table1[[#This Row],[ApplicantIncome]]+Table1[[#This Row],[CoapplicantIncome]]</f>
        <v>19603</v>
      </c>
      <c r="N800" s="1" t="s">
        <v>26</v>
      </c>
      <c r="O800" s="1" t="str">
        <f>IF(Table1[[#This Row],[Total_Income]]&lt;3000,"Low",IF(Table1[[#This Row],[Total_Income]]&lt;7000,"Medium","High"))</f>
        <v>High</v>
      </c>
      <c r="P800" s="1" t="str">
        <f t="shared" si="36"/>
        <v>Rejected</v>
      </c>
      <c r="Q800" s="1" t="str">
        <f t="shared" si="37"/>
        <v>High Risk</v>
      </c>
      <c r="R800" s="2">
        <f t="shared" si="38"/>
        <v>3354.3388159995334</v>
      </c>
    </row>
    <row r="801" spans="1:18" s="1" customFormat="1" ht="11.5" x14ac:dyDescent="0.25">
      <c r="A801" s="1" t="s">
        <v>832</v>
      </c>
      <c r="B801" s="1" t="s">
        <v>52</v>
      </c>
      <c r="C801" s="1" t="s">
        <v>29</v>
      </c>
      <c r="D801" s="1" t="s">
        <v>16</v>
      </c>
      <c r="E801" s="1" t="s">
        <v>17</v>
      </c>
      <c r="F801" s="1" t="s">
        <v>29</v>
      </c>
      <c r="G801" s="1">
        <v>19980</v>
      </c>
      <c r="H801" s="1">
        <v>8869</v>
      </c>
      <c r="I801" s="1">
        <v>531</v>
      </c>
      <c r="J801" s="1">
        <v>180</v>
      </c>
      <c r="K801" s="1">
        <v>0</v>
      </c>
      <c r="L801" s="1" t="s">
        <v>19</v>
      </c>
      <c r="M801" s="1">
        <f>Table1[[#This Row],[ApplicantIncome]]+Table1[[#This Row],[CoapplicantIncome]]</f>
        <v>28849</v>
      </c>
      <c r="N801" s="1" t="s">
        <v>26</v>
      </c>
      <c r="O801" s="1" t="str">
        <f>IF(Table1[[#This Row],[Total_Income]]&lt;3000,"Low",IF(Table1[[#This Row],[Total_Income]]&lt;7000,"Medium","High"))</f>
        <v>High</v>
      </c>
      <c r="P801" s="1" t="str">
        <f t="shared" si="36"/>
        <v>Rejected</v>
      </c>
      <c r="Q801" s="1" t="str">
        <f t="shared" si="37"/>
        <v>High Risk</v>
      </c>
      <c r="R801" s="2">
        <f t="shared" si="38"/>
        <v>5074.5125677941669</v>
      </c>
    </row>
    <row r="802" spans="1:18" s="1" customFormat="1" ht="11.5" x14ac:dyDescent="0.25">
      <c r="A802" s="1" t="s">
        <v>833</v>
      </c>
      <c r="B802" s="1" t="s">
        <v>1238</v>
      </c>
      <c r="C802" s="1" t="s">
        <v>22</v>
      </c>
      <c r="D802" s="1" t="s">
        <v>16</v>
      </c>
      <c r="E802" s="1" t="s">
        <v>25</v>
      </c>
      <c r="F802" s="1" t="s">
        <v>22</v>
      </c>
      <c r="G802" s="1">
        <v>9286</v>
      </c>
      <c r="H802" s="1">
        <v>7278</v>
      </c>
      <c r="I802" s="1">
        <v>192</v>
      </c>
      <c r="J802" s="1">
        <v>180</v>
      </c>
      <c r="K802" s="1">
        <v>1</v>
      </c>
      <c r="L802" s="1" t="s">
        <v>30</v>
      </c>
      <c r="M802" s="1">
        <f>Table1[[#This Row],[ApplicantIncome]]+Table1[[#This Row],[CoapplicantIncome]]</f>
        <v>16564</v>
      </c>
      <c r="N802" s="1" t="s">
        <v>26</v>
      </c>
      <c r="O802" s="1" t="str">
        <f>IF(Table1[[#This Row],[Total_Income]]&lt;3000,"Low",IF(Table1[[#This Row],[Total_Income]]&lt;7000,"Medium","High"))</f>
        <v>High</v>
      </c>
      <c r="P802" s="1" t="str">
        <f t="shared" si="36"/>
        <v>Rejected</v>
      </c>
      <c r="Q802" s="1" t="str">
        <f t="shared" si="37"/>
        <v>Low Risk</v>
      </c>
      <c r="R802" s="2">
        <f t="shared" si="38"/>
        <v>1834.8520019142745</v>
      </c>
    </row>
    <row r="803" spans="1:18" s="1" customFormat="1" ht="11.5" x14ac:dyDescent="0.25">
      <c r="A803" s="1" t="s">
        <v>834</v>
      </c>
      <c r="B803" s="1" t="s">
        <v>52</v>
      </c>
      <c r="C803" s="1" t="s">
        <v>22</v>
      </c>
      <c r="D803" s="1" t="s">
        <v>16</v>
      </c>
      <c r="E803" s="1" t="s">
        <v>25</v>
      </c>
      <c r="F803" s="1" t="s">
        <v>22</v>
      </c>
      <c r="G803" s="1">
        <v>1979</v>
      </c>
      <c r="H803" s="1">
        <v>2135</v>
      </c>
      <c r="I803" s="1">
        <v>238</v>
      </c>
      <c r="J803" s="1">
        <v>120</v>
      </c>
      <c r="K803" s="1">
        <v>0</v>
      </c>
      <c r="L803" s="1" t="s">
        <v>30</v>
      </c>
      <c r="M803" s="1">
        <f>Table1[[#This Row],[ApplicantIncome]]+Table1[[#This Row],[CoapplicantIncome]]</f>
        <v>4114</v>
      </c>
      <c r="N803" s="1" t="s">
        <v>20</v>
      </c>
      <c r="O803" s="1" t="str">
        <f>IF(Table1[[#This Row],[Total_Income]]&lt;3000,"Low",IF(Table1[[#This Row],[Total_Income]]&lt;7000,"Medium","High"))</f>
        <v>Medium</v>
      </c>
      <c r="P803" s="1" t="str">
        <f t="shared" si="36"/>
        <v>Approved</v>
      </c>
      <c r="Q803" s="1" t="str">
        <f t="shared" si="37"/>
        <v>High Risk</v>
      </c>
      <c r="R803" s="2">
        <f t="shared" si="38"/>
        <v>2887.5967456574949</v>
      </c>
    </row>
    <row r="804" spans="1:18" s="1" customFormat="1" ht="11.5" x14ac:dyDescent="0.25">
      <c r="A804" s="1" t="s">
        <v>835</v>
      </c>
      <c r="B804" s="1" t="s">
        <v>52</v>
      </c>
      <c r="C804" s="1" t="s">
        <v>22</v>
      </c>
      <c r="D804" s="1" t="s">
        <v>16</v>
      </c>
      <c r="E804" s="1" t="s">
        <v>25</v>
      </c>
      <c r="F804" s="1" t="s">
        <v>29</v>
      </c>
      <c r="G804" s="1">
        <v>12988</v>
      </c>
      <c r="H804" s="1">
        <v>3897</v>
      </c>
      <c r="I804" s="1">
        <v>76</v>
      </c>
      <c r="J804" s="1">
        <v>360</v>
      </c>
      <c r="K804" s="1">
        <v>1</v>
      </c>
      <c r="L804" s="1" t="s">
        <v>19</v>
      </c>
      <c r="M804" s="1">
        <f>Table1[[#This Row],[ApplicantIncome]]+Table1[[#This Row],[CoapplicantIncome]]</f>
        <v>16885</v>
      </c>
      <c r="N804" s="1" t="s">
        <v>26</v>
      </c>
      <c r="O804" s="1" t="str">
        <f>IF(Table1[[#This Row],[Total_Income]]&lt;3000,"Low",IF(Table1[[#This Row],[Total_Income]]&lt;7000,"Medium","High"))</f>
        <v>High</v>
      </c>
      <c r="P804" s="1" t="str">
        <f t="shared" si="36"/>
        <v>Rejected</v>
      </c>
      <c r="Q804" s="1" t="str">
        <f t="shared" si="37"/>
        <v>Low Risk</v>
      </c>
      <c r="R804" s="2">
        <f t="shared" si="38"/>
        <v>557.66107614832595</v>
      </c>
    </row>
    <row r="805" spans="1:18" s="1" customFormat="1" ht="11.5" x14ac:dyDescent="0.25">
      <c r="A805" s="1" t="s">
        <v>836</v>
      </c>
      <c r="B805" s="1" t="s">
        <v>52</v>
      </c>
      <c r="C805" s="1" t="s">
        <v>29</v>
      </c>
      <c r="D805" s="1">
        <v>2</v>
      </c>
      <c r="E805" s="1" t="s">
        <v>25</v>
      </c>
      <c r="F805" s="1" t="s">
        <v>22</v>
      </c>
      <c r="G805" s="1">
        <v>19692</v>
      </c>
      <c r="H805" s="1">
        <v>7290</v>
      </c>
      <c r="I805" s="1">
        <v>697</v>
      </c>
      <c r="J805" s="1">
        <v>120</v>
      </c>
      <c r="K805" s="1">
        <v>0</v>
      </c>
      <c r="L805" s="1" t="s">
        <v>30</v>
      </c>
      <c r="M805" s="1">
        <f>Table1[[#This Row],[ApplicantIncome]]+Table1[[#This Row],[CoapplicantIncome]]</f>
        <v>26982</v>
      </c>
      <c r="N805" s="1" t="s">
        <v>26</v>
      </c>
      <c r="O805" s="1" t="str">
        <f>IF(Table1[[#This Row],[Total_Income]]&lt;3000,"Low",IF(Table1[[#This Row],[Total_Income]]&lt;7000,"Medium","High"))</f>
        <v>High</v>
      </c>
      <c r="P805" s="1" t="str">
        <f t="shared" si="36"/>
        <v>Rejected</v>
      </c>
      <c r="Q805" s="1" t="str">
        <f t="shared" si="37"/>
        <v>High Risk</v>
      </c>
      <c r="R805" s="2">
        <f t="shared" si="38"/>
        <v>8456.5333265683767</v>
      </c>
    </row>
    <row r="806" spans="1:18" s="1" customFormat="1" ht="11.5" x14ac:dyDescent="0.25">
      <c r="A806" s="1" t="s">
        <v>837</v>
      </c>
      <c r="B806" s="1" t="s">
        <v>1238</v>
      </c>
      <c r="C806" s="1" t="s">
        <v>29</v>
      </c>
      <c r="D806" s="1" t="s">
        <v>16</v>
      </c>
      <c r="E806" s="1" t="s">
        <v>25</v>
      </c>
      <c r="F806" s="1" t="s">
        <v>22</v>
      </c>
      <c r="G806" s="1">
        <v>9987</v>
      </c>
      <c r="H806" s="1">
        <v>821</v>
      </c>
      <c r="I806" s="1">
        <v>372</v>
      </c>
      <c r="J806" s="1">
        <v>360</v>
      </c>
      <c r="K806" s="1">
        <v>1</v>
      </c>
      <c r="L806" s="1" t="s">
        <v>30</v>
      </c>
      <c r="M806" s="1">
        <f>Table1[[#This Row],[ApplicantIncome]]+Table1[[#This Row],[CoapplicantIncome]]</f>
        <v>10808</v>
      </c>
      <c r="N806" s="1" t="s">
        <v>26</v>
      </c>
      <c r="O806" s="1" t="str">
        <f>IF(Table1[[#This Row],[Total_Income]]&lt;3000,"Low",IF(Table1[[#This Row],[Total_Income]]&lt;7000,"Medium","High"))</f>
        <v>High</v>
      </c>
      <c r="P806" s="1" t="str">
        <f t="shared" si="36"/>
        <v>Rejected</v>
      </c>
      <c r="Q806" s="1" t="str">
        <f t="shared" si="37"/>
        <v>Low Risk</v>
      </c>
      <c r="R806" s="2">
        <f t="shared" si="38"/>
        <v>2729.6042148312795</v>
      </c>
    </row>
    <row r="807" spans="1:18" s="1" customFormat="1" ht="11.5" x14ac:dyDescent="0.25">
      <c r="A807" s="1" t="s">
        <v>838</v>
      </c>
      <c r="B807" s="1" t="s">
        <v>1238</v>
      </c>
      <c r="C807" s="1" t="s">
        <v>22</v>
      </c>
      <c r="D807" s="1">
        <v>2</v>
      </c>
      <c r="E807" s="1" t="s">
        <v>25</v>
      </c>
      <c r="F807" s="1" t="s">
        <v>22</v>
      </c>
      <c r="G807" s="1">
        <v>15021</v>
      </c>
      <c r="H807" s="1">
        <v>1295</v>
      </c>
      <c r="I807" s="1">
        <v>503</v>
      </c>
      <c r="J807" s="1">
        <v>360</v>
      </c>
      <c r="K807" s="1">
        <v>0</v>
      </c>
      <c r="L807" s="1" t="s">
        <v>41</v>
      </c>
      <c r="M807" s="1">
        <f>Table1[[#This Row],[ApplicantIncome]]+Table1[[#This Row],[CoapplicantIncome]]</f>
        <v>16316</v>
      </c>
      <c r="N807" s="1" t="s">
        <v>20</v>
      </c>
      <c r="O807" s="1" t="str">
        <f>IF(Table1[[#This Row],[Total_Income]]&lt;3000,"Low",IF(Table1[[#This Row],[Total_Income]]&lt;7000,"Medium","High"))</f>
        <v>High</v>
      </c>
      <c r="P807" s="1" t="str">
        <f t="shared" si="36"/>
        <v>Approved</v>
      </c>
      <c r="Q807" s="1" t="str">
        <f t="shared" si="37"/>
        <v>High Risk</v>
      </c>
      <c r="R807" s="2">
        <f t="shared" si="38"/>
        <v>3690.8358066132619</v>
      </c>
    </row>
    <row r="808" spans="1:18" s="1" customFormat="1" ht="11.5" x14ac:dyDescent="0.25">
      <c r="A808" s="1" t="s">
        <v>839</v>
      </c>
      <c r="B808" s="1" t="s">
        <v>52</v>
      </c>
      <c r="C808" s="1" t="s">
        <v>22</v>
      </c>
      <c r="D808" s="1">
        <v>1</v>
      </c>
      <c r="E808" s="1" t="s">
        <v>25</v>
      </c>
      <c r="F808" s="1" t="s">
        <v>29</v>
      </c>
      <c r="G808" s="1">
        <v>12385</v>
      </c>
      <c r="H808" s="1">
        <v>6042</v>
      </c>
      <c r="I808" s="1">
        <v>121</v>
      </c>
      <c r="J808" s="1">
        <v>360</v>
      </c>
      <c r="K808" s="1">
        <v>0</v>
      </c>
      <c r="L808" s="1" t="s">
        <v>41</v>
      </c>
      <c r="M808" s="1">
        <f>Table1[[#This Row],[ApplicantIncome]]+Table1[[#This Row],[CoapplicantIncome]]</f>
        <v>18427</v>
      </c>
      <c r="N808" s="1" t="s">
        <v>20</v>
      </c>
      <c r="O808" s="1" t="str">
        <f>IF(Table1[[#This Row],[Total_Income]]&lt;3000,"Low",IF(Table1[[#This Row],[Total_Income]]&lt;7000,"Medium","High"))</f>
        <v>High</v>
      </c>
      <c r="P808" s="1" t="str">
        <f t="shared" si="36"/>
        <v>Approved</v>
      </c>
      <c r="Q808" s="1" t="str">
        <f t="shared" si="37"/>
        <v>High Risk</v>
      </c>
      <c r="R808" s="2">
        <f t="shared" si="38"/>
        <v>887.85513439404508</v>
      </c>
    </row>
    <row r="809" spans="1:18" s="1" customFormat="1" ht="11.5" x14ac:dyDescent="0.25">
      <c r="A809" s="1" t="s">
        <v>840</v>
      </c>
      <c r="B809" s="1" t="s">
        <v>1238</v>
      </c>
      <c r="C809" s="1" t="s">
        <v>29</v>
      </c>
      <c r="D809" s="1" t="s">
        <v>16</v>
      </c>
      <c r="E809" s="1" t="s">
        <v>25</v>
      </c>
      <c r="F809" s="1" t="s">
        <v>22</v>
      </c>
      <c r="G809" s="1">
        <v>10727</v>
      </c>
      <c r="H809" s="1">
        <v>2537</v>
      </c>
      <c r="I809" s="1">
        <v>621</v>
      </c>
      <c r="J809" s="1">
        <v>180</v>
      </c>
      <c r="K809" s="1">
        <v>0</v>
      </c>
      <c r="L809" s="1" t="s">
        <v>19</v>
      </c>
      <c r="M809" s="1">
        <f>Table1[[#This Row],[ApplicantIncome]]+Table1[[#This Row],[CoapplicantIncome]]</f>
        <v>13264</v>
      </c>
      <c r="N809" s="1" t="s">
        <v>20</v>
      </c>
      <c r="O809" s="1" t="str">
        <f>IF(Table1[[#This Row],[Total_Income]]&lt;3000,"Low",IF(Table1[[#This Row],[Total_Income]]&lt;7000,"Medium","High"))</f>
        <v>High</v>
      </c>
      <c r="P809" s="1" t="str">
        <f t="shared" si="36"/>
        <v>Approved</v>
      </c>
      <c r="Q809" s="1" t="str">
        <f t="shared" si="37"/>
        <v>High Risk</v>
      </c>
      <c r="R809" s="2">
        <f t="shared" si="38"/>
        <v>5934.5994436914825</v>
      </c>
    </row>
    <row r="810" spans="1:18" s="1" customFormat="1" ht="11.5" x14ac:dyDescent="0.25">
      <c r="A810" s="1" t="s">
        <v>841</v>
      </c>
      <c r="B810" s="1" t="s">
        <v>52</v>
      </c>
      <c r="C810" s="1" t="s">
        <v>22</v>
      </c>
      <c r="D810" s="1">
        <v>2</v>
      </c>
      <c r="E810" s="1" t="s">
        <v>17</v>
      </c>
      <c r="F810" s="1" t="s">
        <v>29</v>
      </c>
      <c r="G810" s="1">
        <v>4726</v>
      </c>
      <c r="H810" s="1">
        <v>970</v>
      </c>
      <c r="I810" s="1">
        <v>524</v>
      </c>
      <c r="J810" s="1">
        <v>360</v>
      </c>
      <c r="K810" s="1">
        <v>1</v>
      </c>
      <c r="L810" s="1" t="s">
        <v>41</v>
      </c>
      <c r="M810" s="1">
        <f>Table1[[#This Row],[ApplicantIncome]]+Table1[[#This Row],[CoapplicantIncome]]</f>
        <v>5696</v>
      </c>
      <c r="N810" s="1" t="s">
        <v>26</v>
      </c>
      <c r="O810" s="1" t="str">
        <f>IF(Table1[[#This Row],[Total_Income]]&lt;3000,"Low",IF(Table1[[#This Row],[Total_Income]]&lt;7000,"Medium","High"))</f>
        <v>Medium</v>
      </c>
      <c r="P810" s="1" t="str">
        <f t="shared" si="36"/>
        <v>Rejected</v>
      </c>
      <c r="Q810" s="1" t="str">
        <f t="shared" si="37"/>
        <v>Low Risk</v>
      </c>
      <c r="R810" s="2">
        <f t="shared" si="38"/>
        <v>3844.9263671279314</v>
      </c>
    </row>
    <row r="811" spans="1:18" s="1" customFormat="1" ht="11.5" x14ac:dyDescent="0.25">
      <c r="A811" s="1" t="s">
        <v>842</v>
      </c>
      <c r="B811" s="1" t="s">
        <v>1238</v>
      </c>
      <c r="C811" s="1" t="s">
        <v>22</v>
      </c>
      <c r="D811" s="1" t="s">
        <v>16</v>
      </c>
      <c r="E811" s="1" t="s">
        <v>25</v>
      </c>
      <c r="F811" s="1" t="s">
        <v>22</v>
      </c>
      <c r="G811" s="1">
        <v>6989</v>
      </c>
      <c r="H811" s="1">
        <v>3230</v>
      </c>
      <c r="I811" s="1">
        <v>214</v>
      </c>
      <c r="J811" s="1">
        <v>360</v>
      </c>
      <c r="K811" s="1">
        <v>1</v>
      </c>
      <c r="L811" s="1" t="s">
        <v>30</v>
      </c>
      <c r="M811" s="1">
        <f>Table1[[#This Row],[ApplicantIncome]]+Table1[[#This Row],[CoapplicantIncome]]</f>
        <v>10219</v>
      </c>
      <c r="N811" s="1" t="s">
        <v>20</v>
      </c>
      <c r="O811" s="1" t="str">
        <f>IF(Table1[[#This Row],[Total_Income]]&lt;3000,"Low",IF(Table1[[#This Row],[Total_Income]]&lt;7000,"Medium","High"))</f>
        <v>High</v>
      </c>
      <c r="P811" s="1" t="str">
        <f t="shared" si="36"/>
        <v>Approved</v>
      </c>
      <c r="Q811" s="1" t="str">
        <f t="shared" si="37"/>
        <v>Low Risk</v>
      </c>
      <c r="R811" s="2">
        <f t="shared" si="38"/>
        <v>1570.2561881018651</v>
      </c>
    </row>
    <row r="812" spans="1:18" s="1" customFormat="1" ht="11.5" x14ac:dyDescent="0.25">
      <c r="A812" s="1" t="s">
        <v>843</v>
      </c>
      <c r="B812" s="1" t="s">
        <v>1238</v>
      </c>
      <c r="C812" s="1" t="s">
        <v>22</v>
      </c>
      <c r="D812" s="1" t="s">
        <v>16</v>
      </c>
      <c r="E812" s="1" t="s">
        <v>17</v>
      </c>
      <c r="F812" s="1" t="s">
        <v>22</v>
      </c>
      <c r="G812" s="1">
        <v>10611</v>
      </c>
      <c r="H812" s="1">
        <v>8670</v>
      </c>
      <c r="I812" s="1">
        <v>83</v>
      </c>
      <c r="J812" s="1">
        <v>360</v>
      </c>
      <c r="K812" s="1">
        <v>1</v>
      </c>
      <c r="L812" s="1" t="s">
        <v>19</v>
      </c>
      <c r="M812" s="1">
        <f>Table1[[#This Row],[ApplicantIncome]]+Table1[[#This Row],[CoapplicantIncome]]</f>
        <v>19281</v>
      </c>
      <c r="N812" s="1" t="s">
        <v>20</v>
      </c>
      <c r="O812" s="1" t="str">
        <f>IF(Table1[[#This Row],[Total_Income]]&lt;3000,"Low",IF(Table1[[#This Row],[Total_Income]]&lt;7000,"Medium","High"))</f>
        <v>High</v>
      </c>
      <c r="P812" s="1" t="str">
        <f t="shared" si="36"/>
        <v>Approved</v>
      </c>
      <c r="Q812" s="1" t="str">
        <f t="shared" si="37"/>
        <v>Low Risk</v>
      </c>
      <c r="R812" s="2">
        <f t="shared" si="38"/>
        <v>609.02459631988222</v>
      </c>
    </row>
    <row r="813" spans="1:18" s="1" customFormat="1" ht="11.5" x14ac:dyDescent="0.25">
      <c r="A813" s="1" t="s">
        <v>844</v>
      </c>
      <c r="B813" s="1" t="s">
        <v>1238</v>
      </c>
      <c r="C813" s="1" t="s">
        <v>29</v>
      </c>
      <c r="D813" s="1">
        <v>0</v>
      </c>
      <c r="E813" s="1" t="s">
        <v>25</v>
      </c>
      <c r="F813" s="1" t="s">
        <v>22</v>
      </c>
      <c r="G813" s="1">
        <v>8432</v>
      </c>
      <c r="H813" s="1">
        <v>7769</v>
      </c>
      <c r="I813" s="1">
        <v>454</v>
      </c>
      <c r="J813" s="1">
        <v>360</v>
      </c>
      <c r="K813" s="1">
        <v>0</v>
      </c>
      <c r="L813" s="1" t="s">
        <v>19</v>
      </c>
      <c r="M813" s="1">
        <f>Table1[[#This Row],[ApplicantIncome]]+Table1[[#This Row],[CoapplicantIncome]]</f>
        <v>16201</v>
      </c>
      <c r="N813" s="1" t="s">
        <v>20</v>
      </c>
      <c r="O813" s="1" t="str">
        <f>IF(Table1[[#This Row],[Total_Income]]&lt;3000,"Low",IF(Table1[[#This Row],[Total_Income]]&lt;7000,"Medium","High"))</f>
        <v>High</v>
      </c>
      <c r="P813" s="1" t="str">
        <f t="shared" si="36"/>
        <v>Approved</v>
      </c>
      <c r="Q813" s="1" t="str">
        <f t="shared" si="37"/>
        <v>High Risk</v>
      </c>
      <c r="R813" s="2">
        <f t="shared" si="38"/>
        <v>3331.2911654123677</v>
      </c>
    </row>
    <row r="814" spans="1:18" s="1" customFormat="1" ht="11.5" x14ac:dyDescent="0.25">
      <c r="A814" s="1" t="s">
        <v>845</v>
      </c>
      <c r="B814" s="1" t="s">
        <v>28</v>
      </c>
      <c r="C814" s="1" t="s">
        <v>22</v>
      </c>
      <c r="D814" s="1" t="s">
        <v>16</v>
      </c>
      <c r="E814" s="1" t="s">
        <v>17</v>
      </c>
      <c r="F814" s="1" t="s">
        <v>22</v>
      </c>
      <c r="G814" s="1">
        <v>10084</v>
      </c>
      <c r="H814" s="1">
        <v>9033</v>
      </c>
      <c r="I814" s="1">
        <v>531</v>
      </c>
      <c r="J814" s="1">
        <v>120</v>
      </c>
      <c r="K814" s="1">
        <v>0</v>
      </c>
      <c r="L814" s="1" t="s">
        <v>41</v>
      </c>
      <c r="M814" s="1">
        <f>Table1[[#This Row],[ApplicantIncome]]+Table1[[#This Row],[CoapplicantIncome]]</f>
        <v>19117</v>
      </c>
      <c r="N814" s="1" t="s">
        <v>26</v>
      </c>
      <c r="O814" s="1" t="str">
        <f>IF(Table1[[#This Row],[Total_Income]]&lt;3000,"Low",IF(Table1[[#This Row],[Total_Income]]&lt;7000,"Medium","High"))</f>
        <v>High</v>
      </c>
      <c r="P814" s="1" t="str">
        <f t="shared" si="36"/>
        <v>Rejected</v>
      </c>
      <c r="Q814" s="1" t="str">
        <f t="shared" si="37"/>
        <v>High Risk</v>
      </c>
      <c r="R814" s="2">
        <f t="shared" si="38"/>
        <v>6442.495260269453</v>
      </c>
    </row>
    <row r="815" spans="1:18" s="1" customFormat="1" ht="11.5" x14ac:dyDescent="0.25">
      <c r="A815" s="1" t="s">
        <v>846</v>
      </c>
      <c r="B815" s="1" t="s">
        <v>28</v>
      </c>
      <c r="C815" s="1" t="s">
        <v>29</v>
      </c>
      <c r="D815" s="1">
        <v>2</v>
      </c>
      <c r="E815" s="1" t="s">
        <v>25</v>
      </c>
      <c r="F815" s="1" t="s">
        <v>29</v>
      </c>
      <c r="G815" s="1">
        <v>17340</v>
      </c>
      <c r="H815" s="1">
        <v>4476</v>
      </c>
      <c r="I815" s="1">
        <v>183</v>
      </c>
      <c r="J815" s="1">
        <v>120</v>
      </c>
      <c r="K815" s="1">
        <v>0</v>
      </c>
      <c r="L815" s="1" t="s">
        <v>30</v>
      </c>
      <c r="M815" s="1">
        <f>Table1[[#This Row],[ApplicantIncome]]+Table1[[#This Row],[CoapplicantIncome]]</f>
        <v>21816</v>
      </c>
      <c r="N815" s="1" t="s">
        <v>26</v>
      </c>
      <c r="O815" s="1" t="str">
        <f>IF(Table1[[#This Row],[Total_Income]]&lt;3000,"Low",IF(Table1[[#This Row],[Total_Income]]&lt;7000,"Medium","High"))</f>
        <v>High</v>
      </c>
      <c r="P815" s="1" t="str">
        <f t="shared" si="36"/>
        <v>Rejected</v>
      </c>
      <c r="Q815" s="1" t="str">
        <f t="shared" si="37"/>
        <v>High Risk</v>
      </c>
      <c r="R815" s="2">
        <f t="shared" si="38"/>
        <v>2220.2949767030318</v>
      </c>
    </row>
    <row r="816" spans="1:18" s="1" customFormat="1" ht="11.5" x14ac:dyDescent="0.25">
      <c r="A816" s="1" t="s">
        <v>847</v>
      </c>
      <c r="B816" s="1" t="s">
        <v>28</v>
      </c>
      <c r="C816" s="1" t="s">
        <v>29</v>
      </c>
      <c r="D816" s="1" t="s">
        <v>16</v>
      </c>
      <c r="E816" s="1" t="s">
        <v>25</v>
      </c>
      <c r="F816" s="1" t="s">
        <v>22</v>
      </c>
      <c r="G816" s="1">
        <v>3058</v>
      </c>
      <c r="H816" s="1">
        <v>2384</v>
      </c>
      <c r="I816" s="1">
        <v>546</v>
      </c>
      <c r="J816" s="1">
        <v>360</v>
      </c>
      <c r="K816" s="1">
        <v>1</v>
      </c>
      <c r="L816" s="1" t="s">
        <v>30</v>
      </c>
      <c r="M816" s="1">
        <f>Table1[[#This Row],[ApplicantIncome]]+Table1[[#This Row],[CoapplicantIncome]]</f>
        <v>5442</v>
      </c>
      <c r="N816" s="1" t="s">
        <v>20</v>
      </c>
      <c r="O816" s="1" t="str">
        <f>IF(Table1[[#This Row],[Total_Income]]&lt;3000,"Low",IF(Table1[[#This Row],[Total_Income]]&lt;7000,"Medium","High"))</f>
        <v>Medium</v>
      </c>
      <c r="P816" s="1" t="str">
        <f t="shared" si="36"/>
        <v>Approved</v>
      </c>
      <c r="Q816" s="1" t="str">
        <f t="shared" si="37"/>
        <v>Low Risk</v>
      </c>
      <c r="R816" s="2">
        <f t="shared" si="38"/>
        <v>4006.3545733813944</v>
      </c>
    </row>
    <row r="817" spans="1:18" s="1" customFormat="1" ht="11.5" x14ac:dyDescent="0.25">
      <c r="A817" s="1" t="s">
        <v>848</v>
      </c>
      <c r="B817" s="1" t="s">
        <v>1238</v>
      </c>
      <c r="C817" s="1" t="s">
        <v>22</v>
      </c>
      <c r="D817" s="1">
        <v>2</v>
      </c>
      <c r="E817" s="1" t="s">
        <v>17</v>
      </c>
      <c r="F817" s="1" t="s">
        <v>29</v>
      </c>
      <c r="G817" s="1">
        <v>18681</v>
      </c>
      <c r="H817" s="1">
        <v>7023</v>
      </c>
      <c r="I817" s="1">
        <v>99</v>
      </c>
      <c r="J817" s="1">
        <v>120</v>
      </c>
      <c r="K817" s="1">
        <v>0</v>
      </c>
      <c r="L817" s="1" t="s">
        <v>41</v>
      </c>
      <c r="M817" s="1">
        <f>Table1[[#This Row],[ApplicantIncome]]+Table1[[#This Row],[CoapplicantIncome]]</f>
        <v>25704</v>
      </c>
      <c r="N817" s="1" t="s">
        <v>20</v>
      </c>
      <c r="O817" s="1" t="str">
        <f>IF(Table1[[#This Row],[Total_Income]]&lt;3000,"Low",IF(Table1[[#This Row],[Total_Income]]&lt;7000,"Medium","High"))</f>
        <v>High</v>
      </c>
      <c r="P817" s="1" t="str">
        <f t="shared" si="36"/>
        <v>Approved</v>
      </c>
      <c r="Q817" s="1" t="str">
        <f t="shared" si="37"/>
        <v>High Risk</v>
      </c>
      <c r="R817" s="2">
        <f t="shared" si="38"/>
        <v>1201.1431841180336</v>
      </c>
    </row>
    <row r="818" spans="1:18" s="1" customFormat="1" ht="11.5" x14ac:dyDescent="0.25">
      <c r="A818" s="1" t="s">
        <v>849</v>
      </c>
      <c r="B818" s="1" t="s">
        <v>28</v>
      </c>
      <c r="C818" s="1" t="s">
        <v>22</v>
      </c>
      <c r="D818" s="1">
        <v>2</v>
      </c>
      <c r="E818" s="1" t="s">
        <v>25</v>
      </c>
      <c r="F818" s="1" t="s">
        <v>22</v>
      </c>
      <c r="G818" s="1">
        <v>2885</v>
      </c>
      <c r="H818" s="1">
        <v>9207</v>
      </c>
      <c r="I818" s="1">
        <v>402</v>
      </c>
      <c r="J818" s="1">
        <v>120</v>
      </c>
      <c r="K818" s="1">
        <v>0</v>
      </c>
      <c r="L818" s="1" t="s">
        <v>41</v>
      </c>
      <c r="M818" s="1">
        <f>Table1[[#This Row],[ApplicantIncome]]+Table1[[#This Row],[CoapplicantIncome]]</f>
        <v>12092</v>
      </c>
      <c r="N818" s="1" t="s">
        <v>26</v>
      </c>
      <c r="O818" s="1" t="str">
        <f>IF(Table1[[#This Row],[Total_Income]]&lt;3000,"Low",IF(Table1[[#This Row],[Total_Income]]&lt;7000,"Medium","High"))</f>
        <v>High</v>
      </c>
      <c r="P818" s="1" t="str">
        <f t="shared" si="36"/>
        <v>Rejected</v>
      </c>
      <c r="Q818" s="1" t="str">
        <f t="shared" si="37"/>
        <v>High Risk</v>
      </c>
      <c r="R818" s="2">
        <f t="shared" si="38"/>
        <v>4877.3692930853485</v>
      </c>
    </row>
    <row r="819" spans="1:18" s="1" customFormat="1" ht="11.5" x14ac:dyDescent="0.25">
      <c r="A819" s="1" t="s">
        <v>850</v>
      </c>
      <c r="B819" s="1" t="s">
        <v>52</v>
      </c>
      <c r="C819" s="1" t="s">
        <v>22</v>
      </c>
      <c r="D819" s="1" t="s">
        <v>16</v>
      </c>
      <c r="E819" s="1" t="s">
        <v>25</v>
      </c>
      <c r="F819" s="1" t="s">
        <v>29</v>
      </c>
      <c r="G819" s="1">
        <v>2012</v>
      </c>
      <c r="H819" s="1">
        <v>1235</v>
      </c>
      <c r="I819" s="1">
        <v>507</v>
      </c>
      <c r="J819" s="1">
        <v>360</v>
      </c>
      <c r="K819" s="1">
        <v>0</v>
      </c>
      <c r="L819" s="1" t="s">
        <v>41</v>
      </c>
      <c r="M819" s="1">
        <f>Table1[[#This Row],[ApplicantIncome]]+Table1[[#This Row],[CoapplicantIncome]]</f>
        <v>3247</v>
      </c>
      <c r="N819" s="1" t="s">
        <v>26</v>
      </c>
      <c r="O819" s="1" t="str">
        <f>IF(Table1[[#This Row],[Total_Income]]&lt;3000,"Low",IF(Table1[[#This Row],[Total_Income]]&lt;7000,"Medium","High"))</f>
        <v>Medium</v>
      </c>
      <c r="P819" s="1" t="str">
        <f t="shared" si="36"/>
        <v>Rejected</v>
      </c>
      <c r="Q819" s="1" t="str">
        <f t="shared" si="37"/>
        <v>High Risk</v>
      </c>
      <c r="R819" s="2">
        <f t="shared" si="38"/>
        <v>3720.1863895684373</v>
      </c>
    </row>
    <row r="820" spans="1:18" s="1" customFormat="1" ht="11.5" x14ac:dyDescent="0.25">
      <c r="A820" s="1" t="s">
        <v>851</v>
      </c>
      <c r="B820" s="1" t="s">
        <v>1238</v>
      </c>
      <c r="C820" s="1" t="s">
        <v>22</v>
      </c>
      <c r="D820" s="1" t="s">
        <v>16</v>
      </c>
      <c r="E820" s="1" t="s">
        <v>17</v>
      </c>
      <c r="F820" s="1" t="s">
        <v>29</v>
      </c>
      <c r="G820" s="1">
        <v>10033</v>
      </c>
      <c r="H820" s="1">
        <v>6174</v>
      </c>
      <c r="I820" s="1">
        <v>100</v>
      </c>
      <c r="J820" s="1">
        <v>120</v>
      </c>
      <c r="K820" s="1">
        <v>0</v>
      </c>
      <c r="L820" s="1" t="s">
        <v>30</v>
      </c>
      <c r="M820" s="1">
        <f>Table1[[#This Row],[ApplicantIncome]]+Table1[[#This Row],[CoapplicantIncome]]</f>
        <v>16207</v>
      </c>
      <c r="N820" s="1" t="s">
        <v>26</v>
      </c>
      <c r="O820" s="1" t="str">
        <f>IF(Table1[[#This Row],[Total_Income]]&lt;3000,"Low",IF(Table1[[#This Row],[Total_Income]]&lt;7000,"Medium","High"))</f>
        <v>High</v>
      </c>
      <c r="P820" s="1" t="str">
        <f t="shared" si="36"/>
        <v>Rejected</v>
      </c>
      <c r="Q820" s="1" t="str">
        <f t="shared" si="37"/>
        <v>High Risk</v>
      </c>
      <c r="R820" s="2">
        <f t="shared" si="38"/>
        <v>1213.2759435535693</v>
      </c>
    </row>
    <row r="821" spans="1:18" s="1" customFormat="1" ht="11.5" x14ac:dyDescent="0.25">
      <c r="A821" s="1" t="s">
        <v>852</v>
      </c>
      <c r="B821" s="1" t="s">
        <v>1238</v>
      </c>
      <c r="C821" s="1" t="s">
        <v>22</v>
      </c>
      <c r="D821" s="1">
        <v>2</v>
      </c>
      <c r="E821" s="1" t="s">
        <v>17</v>
      </c>
      <c r="F821" s="1" t="s">
        <v>22</v>
      </c>
      <c r="G821" s="1">
        <v>5357</v>
      </c>
      <c r="H821" s="1">
        <v>5336</v>
      </c>
      <c r="I821" s="1">
        <v>86</v>
      </c>
      <c r="J821" s="1">
        <v>360</v>
      </c>
      <c r="K821" s="1">
        <v>0</v>
      </c>
      <c r="L821" s="1" t="s">
        <v>41</v>
      </c>
      <c r="M821" s="1">
        <f>Table1[[#This Row],[ApplicantIncome]]+Table1[[#This Row],[CoapplicantIncome]]</f>
        <v>10693</v>
      </c>
      <c r="N821" s="1" t="s">
        <v>20</v>
      </c>
      <c r="O821" s="1" t="str">
        <f>IF(Table1[[#This Row],[Total_Income]]&lt;3000,"Low",IF(Table1[[#This Row],[Total_Income]]&lt;7000,"Medium","High"))</f>
        <v>High</v>
      </c>
      <c r="P821" s="1" t="str">
        <f t="shared" si="36"/>
        <v>Approved</v>
      </c>
      <c r="Q821" s="1" t="str">
        <f t="shared" si="37"/>
        <v>High Risk</v>
      </c>
      <c r="R821" s="2">
        <f t="shared" si="38"/>
        <v>631.0375335362636</v>
      </c>
    </row>
    <row r="822" spans="1:18" s="1" customFormat="1" ht="11.5" x14ac:dyDescent="0.25">
      <c r="A822" s="1" t="s">
        <v>853</v>
      </c>
      <c r="B822" s="1" t="s">
        <v>52</v>
      </c>
      <c r="C822" s="1" t="s">
        <v>22</v>
      </c>
      <c r="D822" s="1" t="s">
        <v>16</v>
      </c>
      <c r="E822" s="1" t="s">
        <v>25</v>
      </c>
      <c r="F822" s="1" t="s">
        <v>22</v>
      </c>
      <c r="G822" s="1">
        <v>5749</v>
      </c>
      <c r="H822" s="1">
        <v>4668</v>
      </c>
      <c r="I822" s="1">
        <v>446</v>
      </c>
      <c r="J822" s="1">
        <v>360</v>
      </c>
      <c r="K822" s="1">
        <v>0</v>
      </c>
      <c r="L822" s="1" t="s">
        <v>30</v>
      </c>
      <c r="M822" s="1">
        <f>Table1[[#This Row],[ApplicantIncome]]+Table1[[#This Row],[CoapplicantIncome]]</f>
        <v>10417</v>
      </c>
      <c r="N822" s="1" t="s">
        <v>26</v>
      </c>
      <c r="O822" s="1" t="str">
        <f>IF(Table1[[#This Row],[Total_Income]]&lt;3000,"Low",IF(Table1[[#This Row],[Total_Income]]&lt;7000,"Medium","High"))</f>
        <v>High</v>
      </c>
      <c r="P822" s="1" t="str">
        <f t="shared" si="36"/>
        <v>Rejected</v>
      </c>
      <c r="Q822" s="1" t="str">
        <f t="shared" si="37"/>
        <v>High Risk</v>
      </c>
      <c r="R822" s="2">
        <f t="shared" si="38"/>
        <v>3272.5899995020177</v>
      </c>
    </row>
    <row r="823" spans="1:18" s="1" customFormat="1" ht="11.5" x14ac:dyDescent="0.25">
      <c r="A823" s="1" t="s">
        <v>854</v>
      </c>
      <c r="B823" s="1" t="s">
        <v>28</v>
      </c>
      <c r="C823" s="1" t="s">
        <v>29</v>
      </c>
      <c r="D823" s="1">
        <v>0</v>
      </c>
      <c r="E823" s="1" t="s">
        <v>25</v>
      </c>
      <c r="F823" s="1" t="s">
        <v>22</v>
      </c>
      <c r="G823" s="1">
        <v>6303</v>
      </c>
      <c r="H823" s="1">
        <v>4935</v>
      </c>
      <c r="I823" s="1">
        <v>585</v>
      </c>
      <c r="J823" s="1">
        <v>120</v>
      </c>
      <c r="K823" s="1">
        <v>1</v>
      </c>
      <c r="L823" s="1" t="s">
        <v>41</v>
      </c>
      <c r="M823" s="1">
        <f>Table1[[#This Row],[ApplicantIncome]]+Table1[[#This Row],[CoapplicantIncome]]</f>
        <v>11238</v>
      </c>
      <c r="N823" s="1" t="s">
        <v>20</v>
      </c>
      <c r="O823" s="1" t="str">
        <f>IF(Table1[[#This Row],[Total_Income]]&lt;3000,"Low",IF(Table1[[#This Row],[Total_Income]]&lt;7000,"Medium","High"))</f>
        <v>High</v>
      </c>
      <c r="P823" s="1" t="str">
        <f t="shared" si="36"/>
        <v>Approved</v>
      </c>
      <c r="Q823" s="1" t="str">
        <f t="shared" si="37"/>
        <v>Low Risk</v>
      </c>
      <c r="R823" s="2">
        <f t="shared" si="38"/>
        <v>7097.6642697883808</v>
      </c>
    </row>
    <row r="824" spans="1:18" s="1" customFormat="1" ht="11.5" x14ac:dyDescent="0.25">
      <c r="A824" s="1" t="s">
        <v>855</v>
      </c>
      <c r="B824" s="1" t="s">
        <v>1238</v>
      </c>
      <c r="C824" s="1" t="s">
        <v>22</v>
      </c>
      <c r="D824" s="1" t="s">
        <v>16</v>
      </c>
      <c r="E824" s="1" t="s">
        <v>17</v>
      </c>
      <c r="F824" s="1" t="s">
        <v>22</v>
      </c>
      <c r="G824" s="1">
        <v>1619</v>
      </c>
      <c r="H824" s="1">
        <v>5316</v>
      </c>
      <c r="I824" s="1">
        <v>495</v>
      </c>
      <c r="J824" s="1">
        <v>180</v>
      </c>
      <c r="K824" s="1">
        <v>0</v>
      </c>
      <c r="L824" s="1" t="s">
        <v>41</v>
      </c>
      <c r="M824" s="1">
        <f>Table1[[#This Row],[ApplicantIncome]]+Table1[[#This Row],[CoapplicantIncome]]</f>
        <v>6935</v>
      </c>
      <c r="N824" s="1" t="s">
        <v>26</v>
      </c>
      <c r="O824" s="1" t="str">
        <f>IF(Table1[[#This Row],[Total_Income]]&lt;3000,"Low",IF(Table1[[#This Row],[Total_Income]]&lt;7000,"Medium","High"))</f>
        <v>Medium</v>
      </c>
      <c r="P824" s="1" t="str">
        <f t="shared" si="36"/>
        <v>Rejected</v>
      </c>
      <c r="Q824" s="1" t="str">
        <f t="shared" si="37"/>
        <v>High Risk</v>
      </c>
      <c r="R824" s="2">
        <f t="shared" si="38"/>
        <v>4730.4778174352396</v>
      </c>
    </row>
    <row r="825" spans="1:18" s="1" customFormat="1" ht="11.5" x14ac:dyDescent="0.25">
      <c r="A825" s="1" t="s">
        <v>856</v>
      </c>
      <c r="B825" s="1" t="s">
        <v>52</v>
      </c>
      <c r="C825" s="1" t="s">
        <v>22</v>
      </c>
      <c r="D825" s="1">
        <v>1</v>
      </c>
      <c r="E825" s="1" t="s">
        <v>25</v>
      </c>
      <c r="F825" s="1" t="s">
        <v>29</v>
      </c>
      <c r="G825" s="1">
        <v>12762</v>
      </c>
      <c r="H825" s="1">
        <v>1286</v>
      </c>
      <c r="I825" s="1">
        <v>158</v>
      </c>
      <c r="J825" s="1">
        <v>360</v>
      </c>
      <c r="K825" s="1">
        <v>1</v>
      </c>
      <c r="L825" s="1" t="s">
        <v>41</v>
      </c>
      <c r="M825" s="1">
        <f>Table1[[#This Row],[ApplicantIncome]]+Table1[[#This Row],[CoapplicantIncome]]</f>
        <v>14048</v>
      </c>
      <c r="N825" s="1" t="s">
        <v>26</v>
      </c>
      <c r="O825" s="1" t="str">
        <f>IF(Table1[[#This Row],[Total_Income]]&lt;3000,"Low",IF(Table1[[#This Row],[Total_Income]]&lt;7000,"Medium","High"))</f>
        <v>High</v>
      </c>
      <c r="P825" s="1" t="str">
        <f t="shared" si="36"/>
        <v>Rejected</v>
      </c>
      <c r="Q825" s="1" t="str">
        <f t="shared" si="37"/>
        <v>Low Risk</v>
      </c>
      <c r="R825" s="2">
        <f t="shared" si="38"/>
        <v>1159.3480267294144</v>
      </c>
    </row>
    <row r="826" spans="1:18" s="1" customFormat="1" ht="11.5" x14ac:dyDescent="0.25">
      <c r="A826" s="1" t="s">
        <v>857</v>
      </c>
      <c r="B826" s="1" t="s">
        <v>52</v>
      </c>
      <c r="C826" s="1" t="s">
        <v>29</v>
      </c>
      <c r="D826" s="1">
        <v>1</v>
      </c>
      <c r="E826" s="1" t="s">
        <v>25</v>
      </c>
      <c r="F826" s="1" t="s">
        <v>22</v>
      </c>
      <c r="G826" s="1">
        <v>10886</v>
      </c>
      <c r="H826" s="1">
        <v>4879</v>
      </c>
      <c r="I826" s="1">
        <v>351</v>
      </c>
      <c r="J826" s="1">
        <v>180</v>
      </c>
      <c r="K826" s="1">
        <v>0</v>
      </c>
      <c r="L826" s="1" t="s">
        <v>41</v>
      </c>
      <c r="M826" s="1">
        <f>Table1[[#This Row],[ApplicantIncome]]+Table1[[#This Row],[CoapplicantIncome]]</f>
        <v>15765</v>
      </c>
      <c r="N826" s="1" t="s">
        <v>26</v>
      </c>
      <c r="O826" s="1" t="str">
        <f>IF(Table1[[#This Row],[Total_Income]]&lt;3000,"Low",IF(Table1[[#This Row],[Total_Income]]&lt;7000,"Medium","High"))</f>
        <v>High</v>
      </c>
      <c r="P826" s="1" t="str">
        <f t="shared" si="36"/>
        <v>Rejected</v>
      </c>
      <c r="Q826" s="1" t="str">
        <f t="shared" si="37"/>
        <v>High Risk</v>
      </c>
      <c r="R826" s="2">
        <f t="shared" si="38"/>
        <v>3354.3388159995334</v>
      </c>
    </row>
    <row r="827" spans="1:18" s="1" customFormat="1" ht="11.5" x14ac:dyDescent="0.25">
      <c r="A827" s="1" t="s">
        <v>858</v>
      </c>
      <c r="B827" s="1" t="s">
        <v>52</v>
      </c>
      <c r="C827" s="1" t="s">
        <v>29</v>
      </c>
      <c r="D827" s="1" t="s">
        <v>16</v>
      </c>
      <c r="E827" s="1" t="s">
        <v>17</v>
      </c>
      <c r="F827" s="1" t="s">
        <v>22</v>
      </c>
      <c r="G827" s="1">
        <v>17357</v>
      </c>
      <c r="H827" s="1">
        <v>302</v>
      </c>
      <c r="I827" s="1">
        <v>664</v>
      </c>
      <c r="J827" s="1">
        <v>360</v>
      </c>
      <c r="K827" s="1">
        <v>1</v>
      </c>
      <c r="L827" s="1" t="s">
        <v>30</v>
      </c>
      <c r="M827" s="1">
        <f>Table1[[#This Row],[ApplicantIncome]]+Table1[[#This Row],[CoapplicantIncome]]</f>
        <v>17659</v>
      </c>
      <c r="N827" s="1" t="s">
        <v>20</v>
      </c>
      <c r="O827" s="1" t="str">
        <f>IF(Table1[[#This Row],[Total_Income]]&lt;3000,"Low",IF(Table1[[#This Row],[Total_Income]]&lt;7000,"Medium","High"))</f>
        <v>High</v>
      </c>
      <c r="P827" s="1" t="str">
        <f t="shared" si="36"/>
        <v>Approved</v>
      </c>
      <c r="Q827" s="1" t="str">
        <f t="shared" si="37"/>
        <v>Low Risk</v>
      </c>
      <c r="R827" s="2">
        <f t="shared" si="38"/>
        <v>4872.1967705590578</v>
      </c>
    </row>
    <row r="828" spans="1:18" s="1" customFormat="1" ht="11.5" x14ac:dyDescent="0.25">
      <c r="A828" s="1" t="s">
        <v>859</v>
      </c>
      <c r="B828" s="1" t="s">
        <v>28</v>
      </c>
      <c r="C828" s="1" t="s">
        <v>22</v>
      </c>
      <c r="D828" s="1" t="s">
        <v>16</v>
      </c>
      <c r="E828" s="1" t="s">
        <v>25</v>
      </c>
      <c r="F828" s="1" t="s">
        <v>22</v>
      </c>
      <c r="G828" s="1">
        <v>6595</v>
      </c>
      <c r="H828" s="1">
        <v>5404</v>
      </c>
      <c r="I828" s="1">
        <v>431</v>
      </c>
      <c r="J828" s="1">
        <v>120</v>
      </c>
      <c r="K828" s="1">
        <v>1</v>
      </c>
      <c r="L828" s="1" t="s">
        <v>41</v>
      </c>
      <c r="M828" s="1">
        <f>Table1[[#This Row],[ApplicantIncome]]+Table1[[#This Row],[CoapplicantIncome]]</f>
        <v>11999</v>
      </c>
      <c r="N828" s="1" t="s">
        <v>26</v>
      </c>
      <c r="O828" s="1" t="str">
        <f>IF(Table1[[#This Row],[Total_Income]]&lt;3000,"Low",IF(Table1[[#This Row],[Total_Income]]&lt;7000,"Medium","High"))</f>
        <v>High</v>
      </c>
      <c r="P828" s="1" t="str">
        <f t="shared" si="36"/>
        <v>Rejected</v>
      </c>
      <c r="Q828" s="1" t="str">
        <f t="shared" si="37"/>
        <v>Low Risk</v>
      </c>
      <c r="R828" s="2">
        <f t="shared" si="38"/>
        <v>5229.219316715883</v>
      </c>
    </row>
    <row r="829" spans="1:18" s="1" customFormat="1" ht="11.5" x14ac:dyDescent="0.25">
      <c r="A829" s="1" t="s">
        <v>860</v>
      </c>
      <c r="B829" s="1" t="s">
        <v>52</v>
      </c>
      <c r="C829" s="1" t="s">
        <v>22</v>
      </c>
      <c r="D829" s="1">
        <v>0</v>
      </c>
      <c r="E829" s="1" t="s">
        <v>17</v>
      </c>
      <c r="F829" s="1" t="s">
        <v>29</v>
      </c>
      <c r="G829" s="1">
        <v>19866</v>
      </c>
      <c r="H829" s="1">
        <v>5323</v>
      </c>
      <c r="I829" s="1">
        <v>356</v>
      </c>
      <c r="J829" s="1">
        <v>360</v>
      </c>
      <c r="K829" s="1">
        <v>0</v>
      </c>
      <c r="L829" s="1" t="s">
        <v>41</v>
      </c>
      <c r="M829" s="1">
        <f>Table1[[#This Row],[ApplicantIncome]]+Table1[[#This Row],[CoapplicantIncome]]</f>
        <v>25189</v>
      </c>
      <c r="N829" s="1" t="s">
        <v>20</v>
      </c>
      <c r="O829" s="1" t="str">
        <f>IF(Table1[[#This Row],[Total_Income]]&lt;3000,"Low",IF(Table1[[#This Row],[Total_Income]]&lt;7000,"Medium","High"))</f>
        <v>High</v>
      </c>
      <c r="P829" s="1" t="str">
        <f t="shared" si="36"/>
        <v>Approved</v>
      </c>
      <c r="Q829" s="1" t="str">
        <f t="shared" si="37"/>
        <v>High Risk</v>
      </c>
      <c r="R829" s="2">
        <f t="shared" si="38"/>
        <v>2612.2018830105794</v>
      </c>
    </row>
    <row r="830" spans="1:18" s="1" customFormat="1" ht="11.5" x14ac:dyDescent="0.25">
      <c r="A830" s="1" t="s">
        <v>861</v>
      </c>
      <c r="B830" s="1" t="s">
        <v>1238</v>
      </c>
      <c r="C830" s="1" t="s">
        <v>29</v>
      </c>
      <c r="D830" s="1">
        <v>2</v>
      </c>
      <c r="E830" s="1" t="s">
        <v>25</v>
      </c>
      <c r="F830" s="1" t="s">
        <v>22</v>
      </c>
      <c r="G830" s="1">
        <v>15395</v>
      </c>
      <c r="H830" s="1">
        <v>657</v>
      </c>
      <c r="I830" s="1">
        <v>582</v>
      </c>
      <c r="J830" s="1">
        <v>360</v>
      </c>
      <c r="K830" s="1">
        <v>1</v>
      </c>
      <c r="L830" s="1" t="s">
        <v>41</v>
      </c>
      <c r="M830" s="1">
        <f>Table1[[#This Row],[ApplicantIncome]]+Table1[[#This Row],[CoapplicantIncome]]</f>
        <v>16052</v>
      </c>
      <c r="N830" s="1" t="s">
        <v>20</v>
      </c>
      <c r="O830" s="1" t="str">
        <f>IF(Table1[[#This Row],[Total_Income]]&lt;3000,"Low",IF(Table1[[#This Row],[Total_Income]]&lt;7000,"Medium","High"))</f>
        <v>High</v>
      </c>
      <c r="P830" s="1" t="str">
        <f t="shared" si="36"/>
        <v>Approved</v>
      </c>
      <c r="Q830" s="1" t="str">
        <f t="shared" si="37"/>
        <v>Low Risk</v>
      </c>
      <c r="R830" s="2">
        <f t="shared" si="38"/>
        <v>4270.5098199779695</v>
      </c>
    </row>
    <row r="831" spans="1:18" s="1" customFormat="1" ht="11.5" x14ac:dyDescent="0.25">
      <c r="A831" s="1" t="s">
        <v>862</v>
      </c>
      <c r="B831" s="1" t="s">
        <v>52</v>
      </c>
      <c r="C831" s="1" t="s">
        <v>22</v>
      </c>
      <c r="D831" s="1">
        <v>0</v>
      </c>
      <c r="E831" s="1" t="s">
        <v>17</v>
      </c>
      <c r="F831" s="1" t="s">
        <v>22</v>
      </c>
      <c r="G831" s="1">
        <v>2291</v>
      </c>
      <c r="H831" s="1">
        <v>8855</v>
      </c>
      <c r="I831" s="1">
        <v>286</v>
      </c>
      <c r="J831" s="1">
        <v>180</v>
      </c>
      <c r="K831" s="1">
        <v>0</v>
      </c>
      <c r="L831" s="1" t="s">
        <v>41</v>
      </c>
      <c r="M831" s="1">
        <f>Table1[[#This Row],[ApplicantIncome]]+Table1[[#This Row],[CoapplicantIncome]]</f>
        <v>11146</v>
      </c>
      <c r="N831" s="1" t="s">
        <v>26</v>
      </c>
      <c r="O831" s="1" t="str">
        <f>IF(Table1[[#This Row],[Total_Income]]&lt;3000,"Low",IF(Table1[[#This Row],[Total_Income]]&lt;7000,"Medium","High"))</f>
        <v>High</v>
      </c>
      <c r="P831" s="1" t="str">
        <f t="shared" si="36"/>
        <v>Rejected</v>
      </c>
      <c r="Q831" s="1" t="str">
        <f t="shared" si="37"/>
        <v>High Risk</v>
      </c>
      <c r="R831" s="2">
        <f t="shared" si="38"/>
        <v>2733.1649611848052</v>
      </c>
    </row>
    <row r="832" spans="1:18" s="1" customFormat="1" ht="11.5" x14ac:dyDescent="0.25">
      <c r="A832" s="1" t="s">
        <v>863</v>
      </c>
      <c r="B832" s="1" t="s">
        <v>28</v>
      </c>
      <c r="C832" s="1" t="s">
        <v>22</v>
      </c>
      <c r="D832" s="1">
        <v>0</v>
      </c>
      <c r="E832" s="1" t="s">
        <v>17</v>
      </c>
      <c r="F832" s="1" t="s">
        <v>29</v>
      </c>
      <c r="G832" s="1">
        <v>7011</v>
      </c>
      <c r="H832" s="1">
        <v>6719</v>
      </c>
      <c r="I832" s="1">
        <v>81</v>
      </c>
      <c r="J832" s="1">
        <v>120</v>
      </c>
      <c r="K832" s="1">
        <v>0</v>
      </c>
      <c r="L832" s="1" t="s">
        <v>19</v>
      </c>
      <c r="M832" s="1">
        <f>Table1[[#This Row],[ApplicantIncome]]+Table1[[#This Row],[CoapplicantIncome]]</f>
        <v>13730</v>
      </c>
      <c r="N832" s="1" t="s">
        <v>26</v>
      </c>
      <c r="O832" s="1" t="str">
        <f>IF(Table1[[#This Row],[Total_Income]]&lt;3000,"Low",IF(Table1[[#This Row],[Total_Income]]&lt;7000,"Medium","High"))</f>
        <v>High</v>
      </c>
      <c r="P832" s="1" t="str">
        <f t="shared" si="36"/>
        <v>Rejected</v>
      </c>
      <c r="Q832" s="1" t="str">
        <f t="shared" si="37"/>
        <v>High Risk</v>
      </c>
      <c r="R832" s="2">
        <f t="shared" si="38"/>
        <v>982.75351427839109</v>
      </c>
    </row>
    <row r="833" spans="1:18" s="1" customFormat="1" ht="11.5" x14ac:dyDescent="0.25">
      <c r="A833" s="1" t="s">
        <v>864</v>
      </c>
      <c r="B833" s="1" t="s">
        <v>1238</v>
      </c>
      <c r="C833" s="1" t="s">
        <v>22</v>
      </c>
      <c r="D833" s="1">
        <v>0</v>
      </c>
      <c r="E833" s="1" t="s">
        <v>17</v>
      </c>
      <c r="F833" s="1" t="s">
        <v>22</v>
      </c>
      <c r="G833" s="1">
        <v>11521</v>
      </c>
      <c r="H833" s="1">
        <v>4175</v>
      </c>
      <c r="I833" s="1">
        <v>615</v>
      </c>
      <c r="J833" s="1">
        <v>360</v>
      </c>
      <c r="K833" s="1">
        <v>1</v>
      </c>
      <c r="L833" s="1" t="s">
        <v>41</v>
      </c>
      <c r="M833" s="1">
        <f>Table1[[#This Row],[ApplicantIncome]]+Table1[[#This Row],[CoapplicantIncome]]</f>
        <v>15696</v>
      </c>
      <c r="N833" s="1" t="s">
        <v>20</v>
      </c>
      <c r="O833" s="1" t="str">
        <f>IF(Table1[[#This Row],[Total_Income]]&lt;3000,"Low",IF(Table1[[#This Row],[Total_Income]]&lt;7000,"Medium","High"))</f>
        <v>High</v>
      </c>
      <c r="P833" s="1" t="str">
        <f t="shared" si="36"/>
        <v>Approved</v>
      </c>
      <c r="Q833" s="1" t="str">
        <f t="shared" si="37"/>
        <v>Low Risk</v>
      </c>
      <c r="R833" s="2">
        <f t="shared" si="38"/>
        <v>4512.6521293581636</v>
      </c>
    </row>
    <row r="834" spans="1:18" s="1" customFormat="1" ht="11.5" x14ac:dyDescent="0.25">
      <c r="A834" s="1" t="s">
        <v>865</v>
      </c>
      <c r="B834" s="1" t="s">
        <v>28</v>
      </c>
      <c r="C834" s="1" t="s">
        <v>22</v>
      </c>
      <c r="D834" s="1">
        <v>1</v>
      </c>
      <c r="E834" s="1" t="s">
        <v>17</v>
      </c>
      <c r="F834" s="1" t="s">
        <v>29</v>
      </c>
      <c r="G834" s="1">
        <v>7808</v>
      </c>
      <c r="H834" s="1">
        <v>23</v>
      </c>
      <c r="I834" s="1">
        <v>385</v>
      </c>
      <c r="J834" s="1">
        <v>120</v>
      </c>
      <c r="K834" s="1">
        <v>1</v>
      </c>
      <c r="L834" s="1" t="s">
        <v>41</v>
      </c>
      <c r="M834" s="1">
        <f>Table1[[#This Row],[ApplicantIncome]]+Table1[[#This Row],[CoapplicantIncome]]</f>
        <v>7831</v>
      </c>
      <c r="N834" s="1" t="s">
        <v>26</v>
      </c>
      <c r="O834" s="1" t="str">
        <f>IF(Table1[[#This Row],[Total_Income]]&lt;3000,"Low",IF(Table1[[#This Row],[Total_Income]]&lt;7000,"Medium","High"))</f>
        <v>High</v>
      </c>
      <c r="P834" s="1" t="str">
        <f t="shared" ref="P834:P897" si="39">IF(N834="Y","Approved","Rejected")</f>
        <v>Rejected</v>
      </c>
      <c r="Q834" s="1" t="str">
        <f t="shared" ref="Q834:Q897" si="40">IF(K834=1,"Low Risk","High Risk")</f>
        <v>Low Risk</v>
      </c>
      <c r="R834" s="2">
        <f t="shared" ref="R834:R897" si="41">-PMT(8%/12,J834,I834*1000)</f>
        <v>4671.1123826812418</v>
      </c>
    </row>
    <row r="835" spans="1:18" s="1" customFormat="1" ht="11.5" x14ac:dyDescent="0.25">
      <c r="A835" s="1" t="s">
        <v>866</v>
      </c>
      <c r="B835" s="1" t="s">
        <v>28</v>
      </c>
      <c r="C835" s="1" t="s">
        <v>29</v>
      </c>
      <c r="D835" s="1">
        <v>0</v>
      </c>
      <c r="E835" s="1" t="s">
        <v>25</v>
      </c>
      <c r="F835" s="1" t="s">
        <v>29</v>
      </c>
      <c r="G835" s="1">
        <v>8788</v>
      </c>
      <c r="H835" s="1">
        <v>681</v>
      </c>
      <c r="I835" s="1">
        <v>565</v>
      </c>
      <c r="J835" s="1">
        <v>360</v>
      </c>
      <c r="K835" s="1">
        <v>0</v>
      </c>
      <c r="L835" s="1" t="s">
        <v>30</v>
      </c>
      <c r="M835" s="1">
        <f>Table1[[#This Row],[ApplicantIncome]]+Table1[[#This Row],[CoapplicantIncome]]</f>
        <v>9469</v>
      </c>
      <c r="N835" s="1" t="s">
        <v>26</v>
      </c>
      <c r="O835" s="1" t="str">
        <f>IF(Table1[[#This Row],[Total_Income]]&lt;3000,"Low",IF(Table1[[#This Row],[Total_Income]]&lt;7000,"Medium","High"))</f>
        <v>High</v>
      </c>
      <c r="P835" s="1" t="str">
        <f t="shared" si="39"/>
        <v>Rejected</v>
      </c>
      <c r="Q835" s="1" t="str">
        <f t="shared" si="40"/>
        <v>High Risk</v>
      </c>
      <c r="R835" s="2">
        <f t="shared" si="41"/>
        <v>4145.7698424184755</v>
      </c>
    </row>
    <row r="836" spans="1:18" s="1" customFormat="1" ht="11.5" x14ac:dyDescent="0.25">
      <c r="A836" s="1" t="s">
        <v>867</v>
      </c>
      <c r="B836" s="1" t="s">
        <v>52</v>
      </c>
      <c r="C836" s="1" t="s">
        <v>22</v>
      </c>
      <c r="D836" s="1">
        <v>0</v>
      </c>
      <c r="E836" s="1" t="s">
        <v>25</v>
      </c>
      <c r="F836" s="1" t="s">
        <v>29</v>
      </c>
      <c r="G836" s="1">
        <v>9620</v>
      </c>
      <c r="H836" s="1">
        <v>2232</v>
      </c>
      <c r="I836" s="1">
        <v>149</v>
      </c>
      <c r="J836" s="1">
        <v>360</v>
      </c>
      <c r="K836" s="1">
        <v>0</v>
      </c>
      <c r="L836" s="1" t="s">
        <v>41</v>
      </c>
      <c r="M836" s="1">
        <f>Table1[[#This Row],[ApplicantIncome]]+Table1[[#This Row],[CoapplicantIncome]]</f>
        <v>11852</v>
      </c>
      <c r="N836" s="1" t="s">
        <v>26</v>
      </c>
      <c r="O836" s="1" t="str">
        <f>IF(Table1[[#This Row],[Total_Income]]&lt;3000,"Low",IF(Table1[[#This Row],[Total_Income]]&lt;7000,"Medium","High"))</f>
        <v>High</v>
      </c>
      <c r="P836" s="1" t="str">
        <f t="shared" si="39"/>
        <v>Rejected</v>
      </c>
      <c r="Q836" s="1" t="str">
        <f t="shared" si="40"/>
        <v>High Risk</v>
      </c>
      <c r="R836" s="2">
        <f t="shared" si="41"/>
        <v>1093.3092150802706</v>
      </c>
    </row>
    <row r="837" spans="1:18" s="1" customFormat="1" ht="11.5" x14ac:dyDescent="0.25">
      <c r="A837" s="1" t="s">
        <v>868</v>
      </c>
      <c r="B837" s="1" t="s">
        <v>28</v>
      </c>
      <c r="C837" s="1" t="s">
        <v>22</v>
      </c>
      <c r="D837" s="1" t="s">
        <v>16</v>
      </c>
      <c r="E837" s="1" t="s">
        <v>17</v>
      </c>
      <c r="F837" s="1" t="s">
        <v>22</v>
      </c>
      <c r="G837" s="1">
        <v>5168</v>
      </c>
      <c r="H837" s="1">
        <v>610</v>
      </c>
      <c r="I837" s="1">
        <v>368</v>
      </c>
      <c r="J837" s="1">
        <v>180</v>
      </c>
      <c r="K837" s="1">
        <v>0</v>
      </c>
      <c r="L837" s="1" t="s">
        <v>41</v>
      </c>
      <c r="M837" s="1">
        <f>Table1[[#This Row],[ApplicantIncome]]+Table1[[#This Row],[CoapplicantIncome]]</f>
        <v>5778</v>
      </c>
      <c r="N837" s="1" t="s">
        <v>26</v>
      </c>
      <c r="O837" s="1" t="str">
        <f>IF(Table1[[#This Row],[Total_Income]]&lt;3000,"Low",IF(Table1[[#This Row],[Total_Income]]&lt;7000,"Medium","High"))</f>
        <v>Medium</v>
      </c>
      <c r="P837" s="1" t="str">
        <f t="shared" si="39"/>
        <v>Rejected</v>
      </c>
      <c r="Q837" s="1" t="str">
        <f t="shared" si="40"/>
        <v>High Risk</v>
      </c>
      <c r="R837" s="2">
        <f t="shared" si="41"/>
        <v>3516.7996703356935</v>
      </c>
    </row>
    <row r="838" spans="1:18" s="1" customFormat="1" ht="11.5" x14ac:dyDescent="0.25">
      <c r="A838" s="1" t="s">
        <v>869</v>
      </c>
      <c r="B838" s="1" t="s">
        <v>1238</v>
      </c>
      <c r="C838" s="1" t="s">
        <v>22</v>
      </c>
      <c r="D838" s="1">
        <v>0</v>
      </c>
      <c r="E838" s="1" t="s">
        <v>25</v>
      </c>
      <c r="F838" s="1" t="s">
        <v>22</v>
      </c>
      <c r="G838" s="1">
        <v>5292</v>
      </c>
      <c r="H838" s="1">
        <v>6913</v>
      </c>
      <c r="I838" s="1">
        <v>167</v>
      </c>
      <c r="J838" s="1">
        <v>360</v>
      </c>
      <c r="K838" s="1">
        <v>0</v>
      </c>
      <c r="L838" s="1" t="s">
        <v>19</v>
      </c>
      <c r="M838" s="1">
        <f>Table1[[#This Row],[ApplicantIncome]]+Table1[[#This Row],[CoapplicantIncome]]</f>
        <v>12205</v>
      </c>
      <c r="N838" s="1" t="s">
        <v>20</v>
      </c>
      <c r="O838" s="1" t="str">
        <f>IF(Table1[[#This Row],[Total_Income]]&lt;3000,"Low",IF(Table1[[#This Row],[Total_Income]]&lt;7000,"Medium","High"))</f>
        <v>High</v>
      </c>
      <c r="P838" s="1" t="str">
        <f t="shared" si="39"/>
        <v>Approved</v>
      </c>
      <c r="Q838" s="1" t="str">
        <f t="shared" si="40"/>
        <v>High Risk</v>
      </c>
      <c r="R838" s="2">
        <f t="shared" si="41"/>
        <v>1225.3868383785582</v>
      </c>
    </row>
    <row r="839" spans="1:18" s="1" customFormat="1" ht="11.5" x14ac:dyDescent="0.25">
      <c r="A839" s="1" t="s">
        <v>870</v>
      </c>
      <c r="B839" s="1" t="s">
        <v>1238</v>
      </c>
      <c r="C839" s="1" t="s">
        <v>29</v>
      </c>
      <c r="D839" s="1">
        <v>0</v>
      </c>
      <c r="E839" s="1" t="s">
        <v>17</v>
      </c>
      <c r="F839" s="1" t="s">
        <v>22</v>
      </c>
      <c r="G839" s="1">
        <v>14163</v>
      </c>
      <c r="H839" s="1">
        <v>1657</v>
      </c>
      <c r="I839" s="1">
        <v>373</v>
      </c>
      <c r="J839" s="1">
        <v>120</v>
      </c>
      <c r="K839" s="1">
        <v>0</v>
      </c>
      <c r="L839" s="1" t="s">
        <v>30</v>
      </c>
      <c r="M839" s="1">
        <f>Table1[[#This Row],[ApplicantIncome]]+Table1[[#This Row],[CoapplicantIncome]]</f>
        <v>15820</v>
      </c>
      <c r="N839" s="1" t="s">
        <v>26</v>
      </c>
      <c r="O839" s="1" t="str">
        <f>IF(Table1[[#This Row],[Total_Income]]&lt;3000,"Low",IF(Table1[[#This Row],[Total_Income]]&lt;7000,"Medium","High"))</f>
        <v>High</v>
      </c>
      <c r="P839" s="1" t="str">
        <f t="shared" si="39"/>
        <v>Rejected</v>
      </c>
      <c r="Q839" s="1" t="str">
        <f t="shared" si="40"/>
        <v>High Risk</v>
      </c>
      <c r="R839" s="2">
        <f t="shared" si="41"/>
        <v>4525.5192694548132</v>
      </c>
    </row>
    <row r="840" spans="1:18" s="1" customFormat="1" ht="11.5" x14ac:dyDescent="0.25">
      <c r="A840" s="1" t="s">
        <v>871</v>
      </c>
      <c r="B840" s="1" t="s">
        <v>1238</v>
      </c>
      <c r="C840" s="1" t="s">
        <v>22</v>
      </c>
      <c r="D840" s="1" t="s">
        <v>16</v>
      </c>
      <c r="E840" s="1" t="s">
        <v>25</v>
      </c>
      <c r="F840" s="1" t="s">
        <v>22</v>
      </c>
      <c r="G840" s="1">
        <v>9611</v>
      </c>
      <c r="H840" s="1">
        <v>1877</v>
      </c>
      <c r="I840" s="1">
        <v>660</v>
      </c>
      <c r="J840" s="1">
        <v>180</v>
      </c>
      <c r="K840" s="1">
        <v>0</v>
      </c>
      <c r="L840" s="1" t="s">
        <v>19</v>
      </c>
      <c r="M840" s="1">
        <f>Table1[[#This Row],[ApplicantIncome]]+Table1[[#This Row],[CoapplicantIncome]]</f>
        <v>11488</v>
      </c>
      <c r="N840" s="1" t="s">
        <v>20</v>
      </c>
      <c r="O840" s="1" t="str">
        <f>IF(Table1[[#This Row],[Total_Income]]&lt;3000,"Low",IF(Table1[[#This Row],[Total_Income]]&lt;7000,"Medium","High"))</f>
        <v>High</v>
      </c>
      <c r="P840" s="1" t="str">
        <f t="shared" si="39"/>
        <v>Approved</v>
      </c>
      <c r="Q840" s="1" t="str">
        <f t="shared" si="40"/>
        <v>High Risk</v>
      </c>
      <c r="R840" s="2">
        <f t="shared" si="41"/>
        <v>6307.3037565803197</v>
      </c>
    </row>
    <row r="841" spans="1:18" s="1" customFormat="1" ht="11.5" x14ac:dyDescent="0.25">
      <c r="A841" s="1" t="s">
        <v>872</v>
      </c>
      <c r="B841" s="1" t="s">
        <v>52</v>
      </c>
      <c r="C841" s="1" t="s">
        <v>22</v>
      </c>
      <c r="D841" s="1" t="s">
        <v>16</v>
      </c>
      <c r="E841" s="1" t="s">
        <v>17</v>
      </c>
      <c r="F841" s="1" t="s">
        <v>29</v>
      </c>
      <c r="G841" s="1">
        <v>10772</v>
      </c>
      <c r="H841" s="1">
        <v>1022</v>
      </c>
      <c r="I841" s="1">
        <v>81</v>
      </c>
      <c r="J841" s="1">
        <v>360</v>
      </c>
      <c r="K841" s="1">
        <v>1</v>
      </c>
      <c r="L841" s="1" t="s">
        <v>19</v>
      </c>
      <c r="M841" s="1">
        <f>Table1[[#This Row],[ApplicantIncome]]+Table1[[#This Row],[CoapplicantIncome]]</f>
        <v>11794</v>
      </c>
      <c r="N841" s="1" t="s">
        <v>20</v>
      </c>
      <c r="O841" s="1" t="str">
        <f>IF(Table1[[#This Row],[Total_Income]]&lt;3000,"Low",IF(Table1[[#This Row],[Total_Income]]&lt;7000,"Medium","High"))</f>
        <v>High</v>
      </c>
      <c r="P841" s="1" t="str">
        <f t="shared" si="39"/>
        <v>Approved</v>
      </c>
      <c r="Q841" s="1" t="str">
        <f t="shared" si="40"/>
        <v>Low Risk</v>
      </c>
      <c r="R841" s="2">
        <f t="shared" si="41"/>
        <v>594.34930484229471</v>
      </c>
    </row>
    <row r="842" spans="1:18" s="1" customFormat="1" ht="11.5" x14ac:dyDescent="0.25">
      <c r="A842" s="1" t="s">
        <v>873</v>
      </c>
      <c r="B842" s="1" t="s">
        <v>28</v>
      </c>
      <c r="C842" s="1" t="s">
        <v>22</v>
      </c>
      <c r="D842" s="1" t="s">
        <v>16</v>
      </c>
      <c r="E842" s="1" t="s">
        <v>25</v>
      </c>
      <c r="F842" s="1" t="s">
        <v>22</v>
      </c>
      <c r="G842" s="1">
        <v>7238</v>
      </c>
      <c r="H842" s="1">
        <v>1616</v>
      </c>
      <c r="I842" s="1">
        <v>284</v>
      </c>
      <c r="J842" s="1">
        <v>360</v>
      </c>
      <c r="K842" s="1">
        <v>0</v>
      </c>
      <c r="L842" s="1" t="s">
        <v>41</v>
      </c>
      <c r="M842" s="1">
        <f>Table1[[#This Row],[ApplicantIncome]]+Table1[[#This Row],[CoapplicantIncome]]</f>
        <v>8854</v>
      </c>
      <c r="N842" s="1" t="s">
        <v>20</v>
      </c>
      <c r="O842" s="1" t="str">
        <f>IF(Table1[[#This Row],[Total_Income]]&lt;3000,"Low",IF(Table1[[#This Row],[Total_Income]]&lt;7000,"Medium","High"))</f>
        <v>High</v>
      </c>
      <c r="P842" s="1" t="str">
        <f t="shared" si="39"/>
        <v>Approved</v>
      </c>
      <c r="Q842" s="1" t="str">
        <f t="shared" si="40"/>
        <v>High Risk</v>
      </c>
      <c r="R842" s="2">
        <f t="shared" si="41"/>
        <v>2083.8913898174283</v>
      </c>
    </row>
    <row r="843" spans="1:18" s="1" customFormat="1" ht="11.5" x14ac:dyDescent="0.25">
      <c r="A843" s="1" t="s">
        <v>874</v>
      </c>
      <c r="B843" s="1" t="s">
        <v>1238</v>
      </c>
      <c r="C843" s="1" t="s">
        <v>29</v>
      </c>
      <c r="D843" s="1">
        <v>0</v>
      </c>
      <c r="E843" s="1" t="s">
        <v>25</v>
      </c>
      <c r="F843" s="1" t="s">
        <v>22</v>
      </c>
      <c r="G843" s="1">
        <v>18957</v>
      </c>
      <c r="H843" s="1">
        <v>1612</v>
      </c>
      <c r="I843" s="1">
        <v>579</v>
      </c>
      <c r="J843" s="1">
        <v>360</v>
      </c>
      <c r="K843" s="1">
        <v>0</v>
      </c>
      <c r="L843" s="1" t="s">
        <v>19</v>
      </c>
      <c r="M843" s="1">
        <f>Table1[[#This Row],[ApplicantIncome]]+Table1[[#This Row],[CoapplicantIncome]]</f>
        <v>20569</v>
      </c>
      <c r="N843" s="1" t="s">
        <v>20</v>
      </c>
      <c r="O843" s="1" t="str">
        <f>IF(Table1[[#This Row],[Total_Income]]&lt;3000,"Low",IF(Table1[[#This Row],[Total_Income]]&lt;7000,"Medium","High"))</f>
        <v>High</v>
      </c>
      <c r="P843" s="1" t="str">
        <f t="shared" si="39"/>
        <v>Approved</v>
      </c>
      <c r="Q843" s="1" t="str">
        <f t="shared" si="40"/>
        <v>High Risk</v>
      </c>
      <c r="R843" s="2">
        <f t="shared" si="41"/>
        <v>4248.4968827615885</v>
      </c>
    </row>
    <row r="844" spans="1:18" s="1" customFormat="1" ht="11.5" x14ac:dyDescent="0.25">
      <c r="A844" s="1" t="s">
        <v>875</v>
      </c>
      <c r="B844" s="1" t="s">
        <v>28</v>
      </c>
      <c r="C844" s="1" t="s">
        <v>22</v>
      </c>
      <c r="D844" s="1" t="s">
        <v>16</v>
      </c>
      <c r="E844" s="1" t="s">
        <v>17</v>
      </c>
      <c r="F844" s="1" t="s">
        <v>29</v>
      </c>
      <c r="G844" s="1">
        <v>9099</v>
      </c>
      <c r="H844" s="1">
        <v>291</v>
      </c>
      <c r="I844" s="1">
        <v>304</v>
      </c>
      <c r="J844" s="1">
        <v>180</v>
      </c>
      <c r="K844" s="1">
        <v>1</v>
      </c>
      <c r="L844" s="1" t="s">
        <v>19</v>
      </c>
      <c r="M844" s="1">
        <f>Table1[[#This Row],[ApplicantIncome]]+Table1[[#This Row],[CoapplicantIncome]]</f>
        <v>9390</v>
      </c>
      <c r="N844" s="1" t="s">
        <v>26</v>
      </c>
      <c r="O844" s="1" t="str">
        <f>IF(Table1[[#This Row],[Total_Income]]&lt;3000,"Low",IF(Table1[[#This Row],[Total_Income]]&lt;7000,"Medium","High"))</f>
        <v>High</v>
      </c>
      <c r="P844" s="1" t="str">
        <f t="shared" si="39"/>
        <v>Rejected</v>
      </c>
      <c r="Q844" s="1" t="str">
        <f t="shared" si="40"/>
        <v>Low Risk</v>
      </c>
      <c r="R844" s="2">
        <f t="shared" si="41"/>
        <v>2905.1823363642684</v>
      </c>
    </row>
    <row r="845" spans="1:18" s="1" customFormat="1" ht="11.5" x14ac:dyDescent="0.25">
      <c r="A845" s="1" t="s">
        <v>876</v>
      </c>
      <c r="B845" s="1" t="s">
        <v>1238</v>
      </c>
      <c r="C845" s="1" t="s">
        <v>22</v>
      </c>
      <c r="D845" s="1">
        <v>2</v>
      </c>
      <c r="E845" s="1" t="s">
        <v>17</v>
      </c>
      <c r="F845" s="1" t="s">
        <v>22</v>
      </c>
      <c r="G845" s="1">
        <v>12126</v>
      </c>
      <c r="H845" s="1">
        <v>5495</v>
      </c>
      <c r="I845" s="1">
        <v>394</v>
      </c>
      <c r="J845" s="1">
        <v>360</v>
      </c>
      <c r="K845" s="1">
        <v>0</v>
      </c>
      <c r="L845" s="1" t="s">
        <v>30</v>
      </c>
      <c r="M845" s="1">
        <f>Table1[[#This Row],[ApplicantIncome]]+Table1[[#This Row],[CoapplicantIncome]]</f>
        <v>17621</v>
      </c>
      <c r="N845" s="1" t="s">
        <v>20</v>
      </c>
      <c r="O845" s="1" t="str">
        <f>IF(Table1[[#This Row],[Total_Income]]&lt;3000,"Low",IF(Table1[[#This Row],[Total_Income]]&lt;7000,"Medium","High"))</f>
        <v>High</v>
      </c>
      <c r="P845" s="1" t="str">
        <f t="shared" si="39"/>
        <v>Approved</v>
      </c>
      <c r="Q845" s="1" t="str">
        <f t="shared" si="40"/>
        <v>High Risk</v>
      </c>
      <c r="R845" s="2">
        <f t="shared" si="41"/>
        <v>2891.0324210847425</v>
      </c>
    </row>
    <row r="846" spans="1:18" s="1" customFormat="1" ht="11.5" x14ac:dyDescent="0.25">
      <c r="A846" s="1" t="s">
        <v>877</v>
      </c>
      <c r="B846" s="1" t="s">
        <v>1238</v>
      </c>
      <c r="C846" s="1" t="s">
        <v>22</v>
      </c>
      <c r="D846" s="1">
        <v>0</v>
      </c>
      <c r="E846" s="1" t="s">
        <v>25</v>
      </c>
      <c r="F846" s="1" t="s">
        <v>22</v>
      </c>
      <c r="G846" s="1">
        <v>3246</v>
      </c>
      <c r="H846" s="1">
        <v>2433</v>
      </c>
      <c r="I846" s="1">
        <v>134</v>
      </c>
      <c r="J846" s="1">
        <v>360</v>
      </c>
      <c r="K846" s="1">
        <v>1</v>
      </c>
      <c r="L846" s="1" t="s">
        <v>41</v>
      </c>
      <c r="M846" s="1">
        <f>Table1[[#This Row],[ApplicantIncome]]+Table1[[#This Row],[CoapplicantIncome]]</f>
        <v>5679</v>
      </c>
      <c r="N846" s="1" t="s">
        <v>26</v>
      </c>
      <c r="O846" s="1" t="str">
        <f>IF(Table1[[#This Row],[Total_Income]]&lt;3000,"Low",IF(Table1[[#This Row],[Total_Income]]&lt;7000,"Medium","High"))</f>
        <v>Medium</v>
      </c>
      <c r="P846" s="1" t="str">
        <f t="shared" si="39"/>
        <v>Rejected</v>
      </c>
      <c r="Q846" s="1" t="str">
        <f t="shared" si="40"/>
        <v>Low Risk</v>
      </c>
      <c r="R846" s="2">
        <f t="shared" si="41"/>
        <v>983.24452899836422</v>
      </c>
    </row>
    <row r="847" spans="1:18" s="1" customFormat="1" ht="11.5" x14ac:dyDescent="0.25">
      <c r="A847" s="1" t="s">
        <v>878</v>
      </c>
      <c r="B847" s="1" t="s">
        <v>52</v>
      </c>
      <c r="C847" s="1" t="s">
        <v>22</v>
      </c>
      <c r="D847" s="1" t="s">
        <v>16</v>
      </c>
      <c r="E847" s="1" t="s">
        <v>17</v>
      </c>
      <c r="F847" s="1" t="s">
        <v>22</v>
      </c>
      <c r="G847" s="1">
        <v>13625</v>
      </c>
      <c r="H847" s="1">
        <v>4556</v>
      </c>
      <c r="I847" s="1">
        <v>446</v>
      </c>
      <c r="J847" s="1">
        <v>120</v>
      </c>
      <c r="K847" s="1">
        <v>1</v>
      </c>
      <c r="L847" s="1" t="s">
        <v>19</v>
      </c>
      <c r="M847" s="1">
        <f>Table1[[#This Row],[ApplicantIncome]]+Table1[[#This Row],[CoapplicantIncome]]</f>
        <v>18181</v>
      </c>
      <c r="N847" s="1" t="s">
        <v>20</v>
      </c>
      <c r="O847" s="1" t="str">
        <f>IF(Table1[[#This Row],[Total_Income]]&lt;3000,"Low",IF(Table1[[#This Row],[Total_Income]]&lt;7000,"Medium","High"))</f>
        <v>High</v>
      </c>
      <c r="P847" s="1" t="str">
        <f t="shared" si="39"/>
        <v>Approved</v>
      </c>
      <c r="Q847" s="1" t="str">
        <f t="shared" si="40"/>
        <v>Low Risk</v>
      </c>
      <c r="R847" s="2">
        <f t="shared" si="41"/>
        <v>5411.2107082489192</v>
      </c>
    </row>
    <row r="848" spans="1:18" s="1" customFormat="1" ht="11.5" x14ac:dyDescent="0.25">
      <c r="A848" s="1" t="s">
        <v>879</v>
      </c>
      <c r="B848" s="1" t="s">
        <v>1238</v>
      </c>
      <c r="C848" s="1" t="s">
        <v>29</v>
      </c>
      <c r="D848" s="1">
        <v>2</v>
      </c>
      <c r="E848" s="1" t="s">
        <v>17</v>
      </c>
      <c r="F848" s="1" t="s">
        <v>29</v>
      </c>
      <c r="G848" s="1">
        <v>16895</v>
      </c>
      <c r="H848" s="1">
        <v>42</v>
      </c>
      <c r="I848" s="1">
        <v>351</v>
      </c>
      <c r="J848" s="1">
        <v>360</v>
      </c>
      <c r="K848" s="1">
        <v>0</v>
      </c>
      <c r="L848" s="1" t="s">
        <v>41</v>
      </c>
      <c r="M848" s="1">
        <f>Table1[[#This Row],[ApplicantIncome]]+Table1[[#This Row],[CoapplicantIncome]]</f>
        <v>16937</v>
      </c>
      <c r="N848" s="1" t="s">
        <v>20</v>
      </c>
      <c r="O848" s="1" t="str">
        <f>IF(Table1[[#This Row],[Total_Income]]&lt;3000,"Low",IF(Table1[[#This Row],[Total_Income]]&lt;7000,"Medium","High"))</f>
        <v>High</v>
      </c>
      <c r="P848" s="1" t="str">
        <f t="shared" si="39"/>
        <v>Approved</v>
      </c>
      <c r="Q848" s="1" t="str">
        <f t="shared" si="40"/>
        <v>High Risk</v>
      </c>
      <c r="R848" s="2">
        <f t="shared" si="41"/>
        <v>2575.5136543166104</v>
      </c>
    </row>
    <row r="849" spans="1:18" s="1" customFormat="1" ht="11.5" x14ac:dyDescent="0.25">
      <c r="A849" s="1" t="s">
        <v>880</v>
      </c>
      <c r="B849" s="1" t="s">
        <v>52</v>
      </c>
      <c r="C849" s="1" t="s">
        <v>22</v>
      </c>
      <c r="D849" s="1">
        <v>1</v>
      </c>
      <c r="E849" s="1" t="s">
        <v>17</v>
      </c>
      <c r="F849" s="1" t="s">
        <v>29</v>
      </c>
      <c r="G849" s="1">
        <v>6850</v>
      </c>
      <c r="H849" s="1">
        <v>1311</v>
      </c>
      <c r="I849" s="1">
        <v>533</v>
      </c>
      <c r="J849" s="1">
        <v>120</v>
      </c>
      <c r="K849" s="1">
        <v>0</v>
      </c>
      <c r="L849" s="1" t="s">
        <v>19</v>
      </c>
      <c r="M849" s="1">
        <f>Table1[[#This Row],[ApplicantIncome]]+Table1[[#This Row],[CoapplicantIncome]]</f>
        <v>8161</v>
      </c>
      <c r="N849" s="1" t="s">
        <v>26</v>
      </c>
      <c r="O849" s="1" t="str">
        <f>IF(Table1[[#This Row],[Total_Income]]&lt;3000,"Low",IF(Table1[[#This Row],[Total_Income]]&lt;7000,"Medium","High"))</f>
        <v>High</v>
      </c>
      <c r="P849" s="1" t="str">
        <f t="shared" si="39"/>
        <v>Rejected</v>
      </c>
      <c r="Q849" s="1" t="str">
        <f t="shared" si="40"/>
        <v>High Risk</v>
      </c>
      <c r="R849" s="2">
        <f t="shared" si="41"/>
        <v>6466.7607791405244</v>
      </c>
    </row>
    <row r="850" spans="1:18" s="1" customFormat="1" ht="11.5" x14ac:dyDescent="0.25">
      <c r="A850" s="1" t="s">
        <v>881</v>
      </c>
      <c r="B850" s="1" t="s">
        <v>1238</v>
      </c>
      <c r="C850" s="1" t="s">
        <v>29</v>
      </c>
      <c r="D850" s="1" t="s">
        <v>16</v>
      </c>
      <c r="E850" s="1" t="s">
        <v>25</v>
      </c>
      <c r="F850" s="1" t="s">
        <v>29</v>
      </c>
      <c r="G850" s="1">
        <v>3080</v>
      </c>
      <c r="H850" s="1">
        <v>8249</v>
      </c>
      <c r="I850" s="1">
        <v>534</v>
      </c>
      <c r="J850" s="1">
        <v>360</v>
      </c>
      <c r="K850" s="1">
        <v>0</v>
      </c>
      <c r="L850" s="1" t="s">
        <v>19</v>
      </c>
      <c r="M850" s="1">
        <f>Table1[[#This Row],[ApplicantIncome]]+Table1[[#This Row],[CoapplicantIncome]]</f>
        <v>11329</v>
      </c>
      <c r="N850" s="1" t="s">
        <v>26</v>
      </c>
      <c r="O850" s="1" t="str">
        <f>IF(Table1[[#This Row],[Total_Income]]&lt;3000,"Low",IF(Table1[[#This Row],[Total_Income]]&lt;7000,"Medium","High"))</f>
        <v>High</v>
      </c>
      <c r="P850" s="1" t="str">
        <f t="shared" si="39"/>
        <v>Rejected</v>
      </c>
      <c r="Q850" s="1" t="str">
        <f t="shared" si="40"/>
        <v>High Risk</v>
      </c>
      <c r="R850" s="2">
        <f t="shared" si="41"/>
        <v>3918.3028245158689</v>
      </c>
    </row>
    <row r="851" spans="1:18" s="1" customFormat="1" ht="11.5" x14ac:dyDescent="0.25">
      <c r="A851" s="1" t="s">
        <v>882</v>
      </c>
      <c r="B851" s="1" t="s">
        <v>1238</v>
      </c>
      <c r="C851" s="1" t="s">
        <v>22</v>
      </c>
      <c r="D851" s="1">
        <v>1</v>
      </c>
      <c r="E851" s="1" t="s">
        <v>25</v>
      </c>
      <c r="F851" s="1" t="s">
        <v>22</v>
      </c>
      <c r="G851" s="1">
        <v>13939</v>
      </c>
      <c r="H851" s="1">
        <v>6544</v>
      </c>
      <c r="I851" s="1">
        <v>450</v>
      </c>
      <c r="J851" s="1">
        <v>360</v>
      </c>
      <c r="K851" s="1">
        <v>0</v>
      </c>
      <c r="L851" s="1" t="s">
        <v>30</v>
      </c>
      <c r="M851" s="1">
        <f>Table1[[#This Row],[ApplicantIncome]]+Table1[[#This Row],[CoapplicantIncome]]</f>
        <v>20483</v>
      </c>
      <c r="N851" s="1" t="s">
        <v>20</v>
      </c>
      <c r="O851" s="1" t="str">
        <f>IF(Table1[[#This Row],[Total_Income]]&lt;3000,"Low",IF(Table1[[#This Row],[Total_Income]]&lt;7000,"Medium","High"))</f>
        <v>High</v>
      </c>
      <c r="P851" s="1" t="str">
        <f t="shared" si="39"/>
        <v>Approved</v>
      </c>
      <c r="Q851" s="1" t="str">
        <f t="shared" si="40"/>
        <v>High Risk</v>
      </c>
      <c r="R851" s="2">
        <f t="shared" si="41"/>
        <v>3301.9405824571927</v>
      </c>
    </row>
    <row r="852" spans="1:18" s="1" customFormat="1" ht="11.5" x14ac:dyDescent="0.25">
      <c r="A852" s="1" t="s">
        <v>883</v>
      </c>
      <c r="B852" s="1" t="s">
        <v>28</v>
      </c>
      <c r="C852" s="1" t="s">
        <v>22</v>
      </c>
      <c r="D852" s="1">
        <v>0</v>
      </c>
      <c r="E852" s="1" t="s">
        <v>17</v>
      </c>
      <c r="F852" s="1" t="s">
        <v>22</v>
      </c>
      <c r="G852" s="1">
        <v>18299</v>
      </c>
      <c r="H852" s="1">
        <v>5717</v>
      </c>
      <c r="I852" s="1">
        <v>531</v>
      </c>
      <c r="J852" s="1">
        <v>120</v>
      </c>
      <c r="K852" s="1">
        <v>1</v>
      </c>
      <c r="L852" s="1" t="s">
        <v>30</v>
      </c>
      <c r="M852" s="1">
        <f>Table1[[#This Row],[ApplicantIncome]]+Table1[[#This Row],[CoapplicantIncome]]</f>
        <v>24016</v>
      </c>
      <c r="N852" s="1" t="s">
        <v>20</v>
      </c>
      <c r="O852" s="1" t="str">
        <f>IF(Table1[[#This Row],[Total_Income]]&lt;3000,"Low",IF(Table1[[#This Row],[Total_Income]]&lt;7000,"Medium","High"))</f>
        <v>High</v>
      </c>
      <c r="P852" s="1" t="str">
        <f t="shared" si="39"/>
        <v>Approved</v>
      </c>
      <c r="Q852" s="1" t="str">
        <f t="shared" si="40"/>
        <v>Low Risk</v>
      </c>
      <c r="R852" s="2">
        <f t="shared" si="41"/>
        <v>6442.495260269453</v>
      </c>
    </row>
    <row r="853" spans="1:18" s="1" customFormat="1" ht="11.5" x14ac:dyDescent="0.25">
      <c r="A853" s="1" t="s">
        <v>884</v>
      </c>
      <c r="B853" s="1" t="s">
        <v>52</v>
      </c>
      <c r="C853" s="1" t="s">
        <v>29</v>
      </c>
      <c r="D853" s="1" t="s">
        <v>16</v>
      </c>
      <c r="E853" s="1" t="s">
        <v>25</v>
      </c>
      <c r="F853" s="1" t="s">
        <v>29</v>
      </c>
      <c r="G853" s="1">
        <v>18319</v>
      </c>
      <c r="H853" s="1">
        <v>185</v>
      </c>
      <c r="I853" s="1">
        <v>131</v>
      </c>
      <c r="J853" s="1">
        <v>180</v>
      </c>
      <c r="K853" s="1">
        <v>0</v>
      </c>
      <c r="L853" s="1" t="s">
        <v>19</v>
      </c>
      <c r="M853" s="1">
        <f>Table1[[#This Row],[ApplicantIncome]]+Table1[[#This Row],[CoapplicantIncome]]</f>
        <v>18504</v>
      </c>
      <c r="N853" s="1" t="s">
        <v>20</v>
      </c>
      <c r="O853" s="1" t="str">
        <f>IF(Table1[[#This Row],[Total_Income]]&lt;3000,"Low",IF(Table1[[#This Row],[Total_Income]]&lt;7000,"Medium","High"))</f>
        <v>High</v>
      </c>
      <c r="P853" s="1" t="str">
        <f t="shared" si="39"/>
        <v>Approved</v>
      </c>
      <c r="Q853" s="1" t="str">
        <f t="shared" si="40"/>
        <v>High Risk</v>
      </c>
      <c r="R853" s="2">
        <f t="shared" si="41"/>
        <v>1251.9042304727604</v>
      </c>
    </row>
    <row r="854" spans="1:18" s="1" customFormat="1" ht="11.5" x14ac:dyDescent="0.25">
      <c r="A854" s="1" t="s">
        <v>885</v>
      </c>
      <c r="B854" s="1" t="s">
        <v>28</v>
      </c>
      <c r="C854" s="1" t="s">
        <v>29</v>
      </c>
      <c r="D854" s="1">
        <v>2</v>
      </c>
      <c r="E854" s="1" t="s">
        <v>25</v>
      </c>
      <c r="F854" s="1" t="s">
        <v>22</v>
      </c>
      <c r="G854" s="1">
        <v>7816</v>
      </c>
      <c r="H854" s="1">
        <v>1522</v>
      </c>
      <c r="I854" s="1">
        <v>238</v>
      </c>
      <c r="J854" s="1">
        <v>180</v>
      </c>
      <c r="K854" s="1">
        <v>0</v>
      </c>
      <c r="L854" s="1" t="s">
        <v>30</v>
      </c>
      <c r="M854" s="1">
        <f>Table1[[#This Row],[ApplicantIncome]]+Table1[[#This Row],[CoapplicantIncome]]</f>
        <v>9338</v>
      </c>
      <c r="N854" s="1" t="s">
        <v>20</v>
      </c>
      <c r="O854" s="1" t="str">
        <f>IF(Table1[[#This Row],[Total_Income]]&lt;3000,"Low",IF(Table1[[#This Row],[Total_Income]]&lt;7000,"Medium","High"))</f>
        <v>High</v>
      </c>
      <c r="P854" s="1" t="str">
        <f t="shared" si="39"/>
        <v>Approved</v>
      </c>
      <c r="Q854" s="1" t="str">
        <f t="shared" si="40"/>
        <v>High Risk</v>
      </c>
      <c r="R854" s="2">
        <f t="shared" si="41"/>
        <v>2274.4519607062362</v>
      </c>
    </row>
    <row r="855" spans="1:18" s="1" customFormat="1" ht="11.5" x14ac:dyDescent="0.25">
      <c r="A855" s="1" t="s">
        <v>886</v>
      </c>
      <c r="B855" s="1" t="s">
        <v>1238</v>
      </c>
      <c r="C855" s="1" t="s">
        <v>29</v>
      </c>
      <c r="D855" s="1">
        <v>1</v>
      </c>
      <c r="E855" s="1" t="s">
        <v>17</v>
      </c>
      <c r="F855" s="1" t="s">
        <v>29</v>
      </c>
      <c r="G855" s="1">
        <v>12123</v>
      </c>
      <c r="H855" s="1">
        <v>5342</v>
      </c>
      <c r="I855" s="1">
        <v>636</v>
      </c>
      <c r="J855" s="1">
        <v>120</v>
      </c>
      <c r="K855" s="1">
        <v>1</v>
      </c>
      <c r="L855" s="1" t="s">
        <v>30</v>
      </c>
      <c r="M855" s="1">
        <f>Table1[[#This Row],[ApplicantIncome]]+Table1[[#This Row],[CoapplicantIncome]]</f>
        <v>17465</v>
      </c>
      <c r="N855" s="1" t="s">
        <v>26</v>
      </c>
      <c r="O855" s="1" t="str">
        <f>IF(Table1[[#This Row],[Total_Income]]&lt;3000,"Low",IF(Table1[[#This Row],[Total_Income]]&lt;7000,"Medium","High"))</f>
        <v>High</v>
      </c>
      <c r="P855" s="1" t="str">
        <f t="shared" si="39"/>
        <v>Rejected</v>
      </c>
      <c r="Q855" s="1" t="str">
        <f t="shared" si="40"/>
        <v>Low Risk</v>
      </c>
      <c r="R855" s="2">
        <f t="shared" si="41"/>
        <v>7716.4350010007001</v>
      </c>
    </row>
    <row r="856" spans="1:18" s="1" customFormat="1" ht="11.5" x14ac:dyDescent="0.25">
      <c r="A856" s="1" t="s">
        <v>887</v>
      </c>
      <c r="B856" s="1" t="s">
        <v>52</v>
      </c>
      <c r="C856" s="1" t="s">
        <v>22</v>
      </c>
      <c r="D856" s="1">
        <v>0</v>
      </c>
      <c r="E856" s="1" t="s">
        <v>17</v>
      </c>
      <c r="F856" s="1" t="s">
        <v>29</v>
      </c>
      <c r="G856" s="1">
        <v>18107</v>
      </c>
      <c r="H856" s="1">
        <v>349</v>
      </c>
      <c r="I856" s="1">
        <v>467</v>
      </c>
      <c r="J856" s="1">
        <v>120</v>
      </c>
      <c r="K856" s="1">
        <v>0</v>
      </c>
      <c r="L856" s="1" t="s">
        <v>41</v>
      </c>
      <c r="M856" s="1">
        <f>Table1[[#This Row],[ApplicantIncome]]+Table1[[#This Row],[CoapplicantIncome]]</f>
        <v>18456</v>
      </c>
      <c r="N856" s="1" t="s">
        <v>20</v>
      </c>
      <c r="O856" s="1" t="str">
        <f>IF(Table1[[#This Row],[Total_Income]]&lt;3000,"Low",IF(Table1[[#This Row],[Total_Income]]&lt;7000,"Medium","High"))</f>
        <v>High</v>
      </c>
      <c r="P856" s="1" t="str">
        <f t="shared" si="39"/>
        <v>Approved</v>
      </c>
      <c r="Q856" s="1" t="str">
        <f t="shared" si="40"/>
        <v>High Risk</v>
      </c>
      <c r="R856" s="2">
        <f t="shared" si="41"/>
        <v>5665.9986563951679</v>
      </c>
    </row>
    <row r="857" spans="1:18" s="1" customFormat="1" ht="11.5" x14ac:dyDescent="0.25">
      <c r="A857" s="1" t="s">
        <v>888</v>
      </c>
      <c r="B857" s="1" t="s">
        <v>28</v>
      </c>
      <c r="C857" s="1" t="s">
        <v>29</v>
      </c>
      <c r="D857" s="1">
        <v>0</v>
      </c>
      <c r="E857" s="1" t="s">
        <v>17</v>
      </c>
      <c r="F857" s="1" t="s">
        <v>22</v>
      </c>
      <c r="G857" s="1">
        <v>14258</v>
      </c>
      <c r="H857" s="1">
        <v>9656</v>
      </c>
      <c r="I857" s="1">
        <v>56</v>
      </c>
      <c r="J857" s="1">
        <v>360</v>
      </c>
      <c r="K857" s="1">
        <v>1</v>
      </c>
      <c r="L857" s="1" t="s">
        <v>41</v>
      </c>
      <c r="M857" s="1">
        <f>Table1[[#This Row],[ApplicantIncome]]+Table1[[#This Row],[CoapplicantIncome]]</f>
        <v>23914</v>
      </c>
      <c r="N857" s="1" t="s">
        <v>26</v>
      </c>
      <c r="O857" s="1" t="str">
        <f>IF(Table1[[#This Row],[Total_Income]]&lt;3000,"Low",IF(Table1[[#This Row],[Total_Income]]&lt;7000,"Medium","High"))</f>
        <v>High</v>
      </c>
      <c r="P857" s="1" t="str">
        <f t="shared" si="39"/>
        <v>Rejected</v>
      </c>
      <c r="Q857" s="1" t="str">
        <f t="shared" si="40"/>
        <v>Low Risk</v>
      </c>
      <c r="R857" s="2">
        <f t="shared" si="41"/>
        <v>410.90816137245071</v>
      </c>
    </row>
    <row r="858" spans="1:18" s="1" customFormat="1" ht="11.5" x14ac:dyDescent="0.25">
      <c r="A858" s="1" t="s">
        <v>889</v>
      </c>
      <c r="B858" s="1" t="s">
        <v>52</v>
      </c>
      <c r="C858" s="1" t="s">
        <v>22</v>
      </c>
      <c r="D858" s="1">
        <v>2</v>
      </c>
      <c r="E858" s="1" t="s">
        <v>17</v>
      </c>
      <c r="F858" s="1" t="s">
        <v>29</v>
      </c>
      <c r="G858" s="1">
        <v>9315</v>
      </c>
      <c r="H858" s="1">
        <v>2672</v>
      </c>
      <c r="I858" s="1">
        <v>669</v>
      </c>
      <c r="J858" s="1">
        <v>360</v>
      </c>
      <c r="K858" s="1">
        <v>1</v>
      </c>
      <c r="L858" s="1" t="s">
        <v>30</v>
      </c>
      <c r="M858" s="1">
        <f>Table1[[#This Row],[ApplicantIncome]]+Table1[[#This Row],[CoapplicantIncome]]</f>
        <v>11987</v>
      </c>
      <c r="N858" s="1" t="s">
        <v>26</v>
      </c>
      <c r="O858" s="1" t="str">
        <f>IF(Table1[[#This Row],[Total_Income]]&lt;3000,"Low",IF(Table1[[#This Row],[Total_Income]]&lt;7000,"Medium","High"))</f>
        <v>High</v>
      </c>
      <c r="P858" s="1" t="str">
        <f t="shared" si="39"/>
        <v>Rejected</v>
      </c>
      <c r="Q858" s="1" t="str">
        <f t="shared" si="40"/>
        <v>Low Risk</v>
      </c>
      <c r="R858" s="2">
        <f t="shared" si="41"/>
        <v>4908.8849992530268</v>
      </c>
    </row>
    <row r="859" spans="1:18" s="1" customFormat="1" ht="11.5" x14ac:dyDescent="0.25">
      <c r="A859" s="1" t="s">
        <v>890</v>
      </c>
      <c r="B859" s="1" t="s">
        <v>1238</v>
      </c>
      <c r="C859" s="1" t="s">
        <v>22</v>
      </c>
      <c r="D859" s="1" t="s">
        <v>16</v>
      </c>
      <c r="E859" s="1" t="s">
        <v>17</v>
      </c>
      <c r="F859" s="1" t="s">
        <v>22</v>
      </c>
      <c r="G859" s="1">
        <v>2103</v>
      </c>
      <c r="H859" s="1">
        <v>2803</v>
      </c>
      <c r="I859" s="1">
        <v>643</v>
      </c>
      <c r="J859" s="1">
        <v>180</v>
      </c>
      <c r="K859" s="1">
        <v>1</v>
      </c>
      <c r="L859" s="1" t="s">
        <v>30</v>
      </c>
      <c r="M859" s="1">
        <f>Table1[[#This Row],[ApplicantIncome]]+Table1[[#This Row],[CoapplicantIncome]]</f>
        <v>4906</v>
      </c>
      <c r="N859" s="1" t="s">
        <v>20</v>
      </c>
      <c r="O859" s="1" t="str">
        <f>IF(Table1[[#This Row],[Total_Income]]&lt;3000,"Low",IF(Table1[[#This Row],[Total_Income]]&lt;7000,"Medium","High"))</f>
        <v>Medium</v>
      </c>
      <c r="P859" s="1" t="str">
        <f t="shared" si="39"/>
        <v>Approved</v>
      </c>
      <c r="Q859" s="1" t="str">
        <f t="shared" si="40"/>
        <v>Low Risk</v>
      </c>
      <c r="R859" s="2">
        <f t="shared" si="41"/>
        <v>6144.8429022441596</v>
      </c>
    </row>
    <row r="860" spans="1:18" s="1" customFormat="1" ht="11.5" x14ac:dyDescent="0.25">
      <c r="A860" s="1" t="s">
        <v>891</v>
      </c>
      <c r="B860" s="1" t="s">
        <v>52</v>
      </c>
      <c r="C860" s="1" t="s">
        <v>29</v>
      </c>
      <c r="D860" s="1">
        <v>0</v>
      </c>
      <c r="E860" s="1" t="s">
        <v>17</v>
      </c>
      <c r="F860" s="1" t="s">
        <v>29</v>
      </c>
      <c r="G860" s="1">
        <v>5393</v>
      </c>
      <c r="H860" s="1">
        <v>2620</v>
      </c>
      <c r="I860" s="1">
        <v>497</v>
      </c>
      <c r="J860" s="1">
        <v>360</v>
      </c>
      <c r="K860" s="1">
        <v>1</v>
      </c>
      <c r="L860" s="1" t="s">
        <v>19</v>
      </c>
      <c r="M860" s="1">
        <f>Table1[[#This Row],[ApplicantIncome]]+Table1[[#This Row],[CoapplicantIncome]]</f>
        <v>8013</v>
      </c>
      <c r="N860" s="1" t="s">
        <v>26</v>
      </c>
      <c r="O860" s="1" t="str">
        <f>IF(Table1[[#This Row],[Total_Income]]&lt;3000,"Low",IF(Table1[[#This Row],[Total_Income]]&lt;7000,"Medium","High"))</f>
        <v>High</v>
      </c>
      <c r="P860" s="1" t="str">
        <f t="shared" si="39"/>
        <v>Rejected</v>
      </c>
      <c r="Q860" s="1" t="str">
        <f t="shared" si="40"/>
        <v>Low Risk</v>
      </c>
      <c r="R860" s="2">
        <f t="shared" si="41"/>
        <v>3646.8099321804998</v>
      </c>
    </row>
    <row r="861" spans="1:18" s="1" customFormat="1" ht="11.5" x14ac:dyDescent="0.25">
      <c r="A861" s="1" t="s">
        <v>892</v>
      </c>
      <c r="B861" s="1" t="s">
        <v>1238</v>
      </c>
      <c r="C861" s="1" t="s">
        <v>29</v>
      </c>
      <c r="D861" s="1">
        <v>1</v>
      </c>
      <c r="E861" s="1" t="s">
        <v>17</v>
      </c>
      <c r="F861" s="1" t="s">
        <v>29</v>
      </c>
      <c r="G861" s="1">
        <v>6820</v>
      </c>
      <c r="H861" s="1">
        <v>8950</v>
      </c>
      <c r="I861" s="1">
        <v>69</v>
      </c>
      <c r="J861" s="1">
        <v>360</v>
      </c>
      <c r="K861" s="1">
        <v>1</v>
      </c>
      <c r="L861" s="1" t="s">
        <v>41</v>
      </c>
      <c r="M861" s="1">
        <f>Table1[[#This Row],[ApplicantIncome]]+Table1[[#This Row],[CoapplicantIncome]]</f>
        <v>15770</v>
      </c>
      <c r="N861" s="1" t="s">
        <v>20</v>
      </c>
      <c r="O861" s="1" t="str">
        <f>IF(Table1[[#This Row],[Total_Income]]&lt;3000,"Low",IF(Table1[[#This Row],[Total_Income]]&lt;7000,"Medium","High"))</f>
        <v>High</v>
      </c>
      <c r="P861" s="1" t="str">
        <f t="shared" si="39"/>
        <v>Approved</v>
      </c>
      <c r="Q861" s="1" t="str">
        <f t="shared" si="40"/>
        <v>Low Risk</v>
      </c>
      <c r="R861" s="2">
        <f t="shared" si="41"/>
        <v>506.29755597676962</v>
      </c>
    </row>
    <row r="862" spans="1:18" s="1" customFormat="1" ht="11.5" x14ac:dyDescent="0.25">
      <c r="A862" s="1" t="s">
        <v>893</v>
      </c>
      <c r="B862" s="1" t="s">
        <v>52</v>
      </c>
      <c r="C862" s="1" t="s">
        <v>22</v>
      </c>
      <c r="D862" s="1">
        <v>2</v>
      </c>
      <c r="E862" s="1" t="s">
        <v>25</v>
      </c>
      <c r="F862" s="1" t="s">
        <v>22</v>
      </c>
      <c r="G862" s="1">
        <v>9248</v>
      </c>
      <c r="H862" s="1">
        <v>5036</v>
      </c>
      <c r="I862" s="1">
        <v>573</v>
      </c>
      <c r="J862" s="1">
        <v>360</v>
      </c>
      <c r="K862" s="1">
        <v>0</v>
      </c>
      <c r="L862" s="1" t="s">
        <v>30</v>
      </c>
      <c r="M862" s="1">
        <f>Table1[[#This Row],[ApplicantIncome]]+Table1[[#This Row],[CoapplicantIncome]]</f>
        <v>14284</v>
      </c>
      <c r="N862" s="1" t="s">
        <v>26</v>
      </c>
      <c r="O862" s="1" t="str">
        <f>IF(Table1[[#This Row],[Total_Income]]&lt;3000,"Low",IF(Table1[[#This Row],[Total_Income]]&lt;7000,"Medium","High"))</f>
        <v>High</v>
      </c>
      <c r="P862" s="1" t="str">
        <f t="shared" si="39"/>
        <v>Rejected</v>
      </c>
      <c r="Q862" s="1" t="str">
        <f t="shared" si="40"/>
        <v>High Risk</v>
      </c>
      <c r="R862" s="2">
        <f t="shared" si="41"/>
        <v>4204.4710083288255</v>
      </c>
    </row>
    <row r="863" spans="1:18" s="1" customFormat="1" ht="11.5" x14ac:dyDescent="0.25">
      <c r="A863" s="1" t="s">
        <v>894</v>
      </c>
      <c r="B863" s="1" t="s">
        <v>28</v>
      </c>
      <c r="C863" s="1" t="s">
        <v>22</v>
      </c>
      <c r="D863" s="1" t="s">
        <v>16</v>
      </c>
      <c r="E863" s="1" t="s">
        <v>17</v>
      </c>
      <c r="F863" s="1" t="s">
        <v>29</v>
      </c>
      <c r="G863" s="1">
        <v>19598</v>
      </c>
      <c r="H863" s="1">
        <v>4302</v>
      </c>
      <c r="I863" s="1">
        <v>235</v>
      </c>
      <c r="J863" s="1">
        <v>360</v>
      </c>
      <c r="K863" s="1">
        <v>1</v>
      </c>
      <c r="L863" s="1" t="s">
        <v>41</v>
      </c>
      <c r="M863" s="1">
        <f>Table1[[#This Row],[ApplicantIncome]]+Table1[[#This Row],[CoapplicantIncome]]</f>
        <v>23900</v>
      </c>
      <c r="N863" s="1" t="s">
        <v>20</v>
      </c>
      <c r="O863" s="1" t="str">
        <f>IF(Table1[[#This Row],[Total_Income]]&lt;3000,"Low",IF(Table1[[#This Row],[Total_Income]]&lt;7000,"Medium","High"))</f>
        <v>High</v>
      </c>
      <c r="P863" s="1" t="str">
        <f t="shared" si="39"/>
        <v>Approved</v>
      </c>
      <c r="Q863" s="1" t="str">
        <f t="shared" si="40"/>
        <v>Low Risk</v>
      </c>
      <c r="R863" s="2">
        <f t="shared" si="41"/>
        <v>1724.3467486165341</v>
      </c>
    </row>
    <row r="864" spans="1:18" s="1" customFormat="1" ht="11.5" x14ac:dyDescent="0.25">
      <c r="A864" s="1" t="s">
        <v>895</v>
      </c>
      <c r="B864" s="1" t="s">
        <v>1238</v>
      </c>
      <c r="C864" s="1" t="s">
        <v>22</v>
      </c>
      <c r="D864" s="1">
        <v>0</v>
      </c>
      <c r="E864" s="1" t="s">
        <v>17</v>
      </c>
      <c r="F864" s="1" t="s">
        <v>22</v>
      </c>
      <c r="G864" s="1">
        <v>15615</v>
      </c>
      <c r="H864" s="1">
        <v>6191</v>
      </c>
      <c r="I864" s="1">
        <v>386</v>
      </c>
      <c r="J864" s="1">
        <v>120</v>
      </c>
      <c r="K864" s="1">
        <v>0</v>
      </c>
      <c r="L864" s="1" t="s">
        <v>19</v>
      </c>
      <c r="M864" s="1">
        <f>Table1[[#This Row],[ApplicantIncome]]+Table1[[#This Row],[CoapplicantIncome]]</f>
        <v>21806</v>
      </c>
      <c r="N864" s="1" t="s">
        <v>20</v>
      </c>
      <c r="O864" s="1" t="str">
        <f>IF(Table1[[#This Row],[Total_Income]]&lt;3000,"Low",IF(Table1[[#This Row],[Total_Income]]&lt;7000,"Medium","High"))</f>
        <v>High</v>
      </c>
      <c r="P864" s="1" t="str">
        <f t="shared" si="39"/>
        <v>Approved</v>
      </c>
      <c r="Q864" s="1" t="str">
        <f t="shared" si="40"/>
        <v>High Risk</v>
      </c>
      <c r="R864" s="2">
        <f t="shared" si="41"/>
        <v>4683.2451421167771</v>
      </c>
    </row>
    <row r="865" spans="1:18" s="1" customFormat="1" ht="11.5" x14ac:dyDescent="0.25">
      <c r="A865" s="1" t="s">
        <v>896</v>
      </c>
      <c r="B865" s="1" t="s">
        <v>52</v>
      </c>
      <c r="C865" s="1" t="s">
        <v>29</v>
      </c>
      <c r="D865" s="1">
        <v>1</v>
      </c>
      <c r="E865" s="1" t="s">
        <v>25</v>
      </c>
      <c r="F865" s="1" t="s">
        <v>22</v>
      </c>
      <c r="G865" s="1">
        <v>14267</v>
      </c>
      <c r="H865" s="1">
        <v>8255</v>
      </c>
      <c r="I865" s="1">
        <v>459</v>
      </c>
      <c r="J865" s="1">
        <v>360</v>
      </c>
      <c r="K865" s="1">
        <v>0</v>
      </c>
      <c r="L865" s="1" t="s">
        <v>41</v>
      </c>
      <c r="M865" s="1">
        <f>Table1[[#This Row],[ApplicantIncome]]+Table1[[#This Row],[CoapplicantIncome]]</f>
        <v>22522</v>
      </c>
      <c r="N865" s="1" t="s">
        <v>26</v>
      </c>
      <c r="O865" s="1" t="str">
        <f>IF(Table1[[#This Row],[Total_Income]]&lt;3000,"Low",IF(Table1[[#This Row],[Total_Income]]&lt;7000,"Medium","High"))</f>
        <v>High</v>
      </c>
      <c r="P865" s="1" t="str">
        <f t="shared" si="39"/>
        <v>Rejected</v>
      </c>
      <c r="Q865" s="1" t="str">
        <f t="shared" si="40"/>
        <v>High Risk</v>
      </c>
      <c r="R865" s="2">
        <f t="shared" si="41"/>
        <v>3367.9793941063367</v>
      </c>
    </row>
    <row r="866" spans="1:18" s="1" customFormat="1" ht="11.5" x14ac:dyDescent="0.25">
      <c r="A866" s="1" t="s">
        <v>897</v>
      </c>
      <c r="B866" s="1" t="s">
        <v>1238</v>
      </c>
      <c r="C866" s="1" t="s">
        <v>22</v>
      </c>
      <c r="D866" s="1">
        <v>0</v>
      </c>
      <c r="E866" s="1" t="s">
        <v>25</v>
      </c>
      <c r="F866" s="1" t="s">
        <v>22</v>
      </c>
      <c r="G866" s="1">
        <v>4399</v>
      </c>
      <c r="H866" s="1">
        <v>7735</v>
      </c>
      <c r="I866" s="1">
        <v>119</v>
      </c>
      <c r="J866" s="1">
        <v>180</v>
      </c>
      <c r="K866" s="1">
        <v>1</v>
      </c>
      <c r="L866" s="1" t="s">
        <v>41</v>
      </c>
      <c r="M866" s="1">
        <f>Table1[[#This Row],[ApplicantIncome]]+Table1[[#This Row],[CoapplicantIncome]]</f>
        <v>12134</v>
      </c>
      <c r="N866" s="1" t="s">
        <v>20</v>
      </c>
      <c r="O866" s="1" t="str">
        <f>IF(Table1[[#This Row],[Total_Income]]&lt;3000,"Low",IF(Table1[[#This Row],[Total_Income]]&lt;7000,"Medium","High"))</f>
        <v>High</v>
      </c>
      <c r="P866" s="1" t="str">
        <f t="shared" si="39"/>
        <v>Approved</v>
      </c>
      <c r="Q866" s="1" t="str">
        <f t="shared" si="40"/>
        <v>Low Risk</v>
      </c>
      <c r="R866" s="2">
        <f t="shared" si="41"/>
        <v>1137.2259803531181</v>
      </c>
    </row>
    <row r="867" spans="1:18" s="1" customFormat="1" ht="11.5" x14ac:dyDescent="0.25">
      <c r="A867" s="1" t="s">
        <v>898</v>
      </c>
      <c r="B867" s="1" t="s">
        <v>52</v>
      </c>
      <c r="C867" s="1" t="s">
        <v>22</v>
      </c>
      <c r="D867" s="1">
        <v>1</v>
      </c>
      <c r="E867" s="1" t="s">
        <v>17</v>
      </c>
      <c r="F867" s="1" t="s">
        <v>29</v>
      </c>
      <c r="G867" s="1">
        <v>17923</v>
      </c>
      <c r="H867" s="1">
        <v>5661</v>
      </c>
      <c r="I867" s="1">
        <v>626</v>
      </c>
      <c r="J867" s="1">
        <v>180</v>
      </c>
      <c r="K867" s="1">
        <v>1</v>
      </c>
      <c r="L867" s="1" t="s">
        <v>41</v>
      </c>
      <c r="M867" s="1">
        <f>Table1[[#This Row],[ApplicantIncome]]+Table1[[#This Row],[CoapplicantIncome]]</f>
        <v>23584</v>
      </c>
      <c r="N867" s="1" t="s">
        <v>26</v>
      </c>
      <c r="O867" s="1" t="str">
        <f>IF(Table1[[#This Row],[Total_Income]]&lt;3000,"Low",IF(Table1[[#This Row],[Total_Income]]&lt;7000,"Medium","High"))</f>
        <v>High</v>
      </c>
      <c r="P867" s="1" t="str">
        <f t="shared" si="39"/>
        <v>Rejected</v>
      </c>
      <c r="Q867" s="1" t="str">
        <f t="shared" si="40"/>
        <v>Low Risk</v>
      </c>
      <c r="R867" s="2">
        <f t="shared" si="41"/>
        <v>5982.3820479079995</v>
      </c>
    </row>
    <row r="868" spans="1:18" s="1" customFormat="1" ht="11.5" x14ac:dyDescent="0.25">
      <c r="A868" s="1" t="s">
        <v>899</v>
      </c>
      <c r="B868" s="1" t="s">
        <v>28</v>
      </c>
      <c r="C868" s="1" t="s">
        <v>22</v>
      </c>
      <c r="D868" s="1" t="s">
        <v>16</v>
      </c>
      <c r="E868" s="1" t="s">
        <v>17</v>
      </c>
      <c r="F868" s="1" t="s">
        <v>29</v>
      </c>
      <c r="G868" s="1">
        <v>2508</v>
      </c>
      <c r="H868" s="1">
        <v>7417</v>
      </c>
      <c r="I868" s="1">
        <v>141</v>
      </c>
      <c r="J868" s="1">
        <v>180</v>
      </c>
      <c r="K868" s="1">
        <v>1</v>
      </c>
      <c r="L868" s="1" t="s">
        <v>30</v>
      </c>
      <c r="M868" s="1">
        <f>Table1[[#This Row],[ApplicantIncome]]+Table1[[#This Row],[CoapplicantIncome]]</f>
        <v>9925</v>
      </c>
      <c r="N868" s="1" t="s">
        <v>20</v>
      </c>
      <c r="O868" s="1" t="str">
        <f>IF(Table1[[#This Row],[Total_Income]]&lt;3000,"Low",IF(Table1[[#This Row],[Total_Income]]&lt;7000,"Medium","High"))</f>
        <v>High</v>
      </c>
      <c r="P868" s="1" t="str">
        <f t="shared" si="39"/>
        <v>Approved</v>
      </c>
      <c r="Q868" s="1" t="str">
        <f t="shared" si="40"/>
        <v>Low Risk</v>
      </c>
      <c r="R868" s="2">
        <f t="shared" si="41"/>
        <v>1347.4694389057956</v>
      </c>
    </row>
    <row r="869" spans="1:18" s="1" customFormat="1" ht="11.5" x14ac:dyDescent="0.25">
      <c r="A869" s="1" t="s">
        <v>900</v>
      </c>
      <c r="B869" s="1" t="s">
        <v>28</v>
      </c>
      <c r="C869" s="1" t="s">
        <v>29</v>
      </c>
      <c r="D869" s="1">
        <v>1</v>
      </c>
      <c r="E869" s="1" t="s">
        <v>25</v>
      </c>
      <c r="F869" s="1" t="s">
        <v>29</v>
      </c>
      <c r="G869" s="1">
        <v>2206</v>
      </c>
      <c r="H869" s="1">
        <v>5411</v>
      </c>
      <c r="I869" s="1">
        <v>549</v>
      </c>
      <c r="J869" s="1">
        <v>180</v>
      </c>
      <c r="K869" s="1">
        <v>0</v>
      </c>
      <c r="L869" s="1" t="s">
        <v>19</v>
      </c>
      <c r="M869" s="1">
        <f>Table1[[#This Row],[ApplicantIncome]]+Table1[[#This Row],[CoapplicantIncome]]</f>
        <v>7617</v>
      </c>
      <c r="N869" s="1" t="s">
        <v>26</v>
      </c>
      <c r="O869" s="1" t="str">
        <f>IF(Table1[[#This Row],[Total_Income]]&lt;3000,"Low",IF(Table1[[#This Row],[Total_Income]]&lt;7000,"Medium","High"))</f>
        <v>High</v>
      </c>
      <c r="P869" s="1" t="str">
        <f t="shared" si="39"/>
        <v>Rejected</v>
      </c>
      <c r="Q869" s="1" t="str">
        <f t="shared" si="40"/>
        <v>High Risk</v>
      </c>
      <c r="R869" s="2">
        <f t="shared" si="41"/>
        <v>5246.5299429736297</v>
      </c>
    </row>
    <row r="870" spans="1:18" s="1" customFormat="1" ht="11.5" x14ac:dyDescent="0.25">
      <c r="A870" s="1" t="s">
        <v>901</v>
      </c>
      <c r="B870" s="1" t="s">
        <v>52</v>
      </c>
      <c r="C870" s="1" t="s">
        <v>22</v>
      </c>
      <c r="D870" s="1" t="s">
        <v>16</v>
      </c>
      <c r="E870" s="1" t="s">
        <v>17</v>
      </c>
      <c r="F870" s="1" t="s">
        <v>29</v>
      </c>
      <c r="G870" s="1">
        <v>12241</v>
      </c>
      <c r="H870" s="1">
        <v>2160</v>
      </c>
      <c r="I870" s="1">
        <v>271</v>
      </c>
      <c r="J870" s="1">
        <v>120</v>
      </c>
      <c r="K870" s="1">
        <v>1</v>
      </c>
      <c r="L870" s="1" t="s">
        <v>19</v>
      </c>
      <c r="M870" s="1">
        <f>Table1[[#This Row],[ApplicantIncome]]+Table1[[#This Row],[CoapplicantIncome]]</f>
        <v>14401</v>
      </c>
      <c r="N870" s="1" t="s">
        <v>26</v>
      </c>
      <c r="O870" s="1" t="str">
        <f>IF(Table1[[#This Row],[Total_Income]]&lt;3000,"Low",IF(Table1[[#This Row],[Total_Income]]&lt;7000,"Medium","High"))</f>
        <v>High</v>
      </c>
      <c r="P870" s="1" t="str">
        <f t="shared" si="39"/>
        <v>Rejected</v>
      </c>
      <c r="Q870" s="1" t="str">
        <f t="shared" si="40"/>
        <v>Low Risk</v>
      </c>
      <c r="R870" s="2">
        <f t="shared" si="41"/>
        <v>3287.9778070301727</v>
      </c>
    </row>
    <row r="871" spans="1:18" s="1" customFormat="1" ht="11.5" x14ac:dyDescent="0.25">
      <c r="A871" s="1" t="s">
        <v>902</v>
      </c>
      <c r="B871" s="1" t="s">
        <v>28</v>
      </c>
      <c r="C871" s="1" t="s">
        <v>22</v>
      </c>
      <c r="D871" s="1">
        <v>2</v>
      </c>
      <c r="E871" s="1" t="s">
        <v>25</v>
      </c>
      <c r="F871" s="1" t="s">
        <v>29</v>
      </c>
      <c r="G871" s="1">
        <v>13531</v>
      </c>
      <c r="H871" s="1">
        <v>6415</v>
      </c>
      <c r="I871" s="1">
        <v>248</v>
      </c>
      <c r="J871" s="1">
        <v>120</v>
      </c>
      <c r="K871" s="1">
        <v>1</v>
      </c>
      <c r="L871" s="1" t="s">
        <v>41</v>
      </c>
      <c r="M871" s="1">
        <f>Table1[[#This Row],[ApplicantIncome]]+Table1[[#This Row],[CoapplicantIncome]]</f>
        <v>19946</v>
      </c>
      <c r="N871" s="1" t="s">
        <v>26</v>
      </c>
      <c r="O871" s="1" t="str">
        <f>IF(Table1[[#This Row],[Total_Income]]&lt;3000,"Low",IF(Table1[[#This Row],[Total_Income]]&lt;7000,"Medium","High"))</f>
        <v>High</v>
      </c>
      <c r="P871" s="1" t="str">
        <f t="shared" si="39"/>
        <v>Rejected</v>
      </c>
      <c r="Q871" s="1" t="str">
        <f t="shared" si="40"/>
        <v>Low Risk</v>
      </c>
      <c r="R871" s="2">
        <f t="shared" si="41"/>
        <v>3008.9243400128516</v>
      </c>
    </row>
    <row r="872" spans="1:18" s="1" customFormat="1" ht="11.5" x14ac:dyDescent="0.25">
      <c r="A872" s="1" t="s">
        <v>903</v>
      </c>
      <c r="B872" s="1" t="s">
        <v>28</v>
      </c>
      <c r="C872" s="1" t="s">
        <v>22</v>
      </c>
      <c r="D872" s="1">
        <v>1</v>
      </c>
      <c r="E872" s="1" t="s">
        <v>17</v>
      </c>
      <c r="F872" s="1" t="s">
        <v>29</v>
      </c>
      <c r="G872" s="1">
        <v>4177</v>
      </c>
      <c r="H872" s="1">
        <v>3149</v>
      </c>
      <c r="I872" s="1">
        <v>468</v>
      </c>
      <c r="J872" s="1">
        <v>180</v>
      </c>
      <c r="K872" s="1">
        <v>0</v>
      </c>
      <c r="L872" s="1" t="s">
        <v>19</v>
      </c>
      <c r="M872" s="1">
        <f>Table1[[#This Row],[ApplicantIncome]]+Table1[[#This Row],[CoapplicantIncome]]</f>
        <v>7326</v>
      </c>
      <c r="N872" s="1" t="s">
        <v>20</v>
      </c>
      <c r="O872" s="1" t="str">
        <f>IF(Table1[[#This Row],[Total_Income]]&lt;3000,"Low",IF(Table1[[#This Row],[Total_Income]]&lt;7000,"Medium","High"))</f>
        <v>High</v>
      </c>
      <c r="P872" s="1" t="str">
        <f t="shared" si="39"/>
        <v>Approved</v>
      </c>
      <c r="Q872" s="1" t="str">
        <f t="shared" si="40"/>
        <v>High Risk</v>
      </c>
      <c r="R872" s="2">
        <f t="shared" si="41"/>
        <v>4472.4517546660445</v>
      </c>
    </row>
    <row r="873" spans="1:18" s="1" customFormat="1" ht="11.5" x14ac:dyDescent="0.25">
      <c r="A873" s="1" t="s">
        <v>904</v>
      </c>
      <c r="B873" s="1" t="s">
        <v>52</v>
      </c>
      <c r="C873" s="1" t="s">
        <v>29</v>
      </c>
      <c r="D873" s="1">
        <v>1</v>
      </c>
      <c r="E873" s="1" t="s">
        <v>25</v>
      </c>
      <c r="F873" s="1" t="s">
        <v>29</v>
      </c>
      <c r="G873" s="1">
        <v>1636</v>
      </c>
      <c r="H873" s="1">
        <v>8410</v>
      </c>
      <c r="I873" s="1">
        <v>266</v>
      </c>
      <c r="J873" s="1">
        <v>120</v>
      </c>
      <c r="K873" s="1">
        <v>0</v>
      </c>
      <c r="L873" s="1" t="s">
        <v>41</v>
      </c>
      <c r="M873" s="1">
        <f>Table1[[#This Row],[ApplicantIncome]]+Table1[[#This Row],[CoapplicantIncome]]</f>
        <v>10046</v>
      </c>
      <c r="N873" s="1" t="s">
        <v>26</v>
      </c>
      <c r="O873" s="1" t="str">
        <f>IF(Table1[[#This Row],[Total_Income]]&lt;3000,"Low",IF(Table1[[#This Row],[Total_Income]]&lt;7000,"Medium","High"))</f>
        <v>High</v>
      </c>
      <c r="P873" s="1" t="str">
        <f t="shared" si="39"/>
        <v>Rejected</v>
      </c>
      <c r="Q873" s="1" t="str">
        <f t="shared" si="40"/>
        <v>High Risk</v>
      </c>
      <c r="R873" s="2">
        <f t="shared" si="41"/>
        <v>3227.3140098524941</v>
      </c>
    </row>
    <row r="874" spans="1:18" s="1" customFormat="1" ht="11.5" x14ac:dyDescent="0.25">
      <c r="A874" s="1" t="s">
        <v>905</v>
      </c>
      <c r="B874" s="1" t="s">
        <v>28</v>
      </c>
      <c r="C874" s="1" t="s">
        <v>22</v>
      </c>
      <c r="D874" s="1">
        <v>0</v>
      </c>
      <c r="E874" s="1" t="s">
        <v>17</v>
      </c>
      <c r="F874" s="1" t="s">
        <v>22</v>
      </c>
      <c r="G874" s="1">
        <v>6306</v>
      </c>
      <c r="H874" s="1">
        <v>4894</v>
      </c>
      <c r="I874" s="1">
        <v>597</v>
      </c>
      <c r="J874" s="1">
        <v>360</v>
      </c>
      <c r="K874" s="1">
        <v>1</v>
      </c>
      <c r="L874" s="1" t="s">
        <v>41</v>
      </c>
      <c r="M874" s="1">
        <f>Table1[[#This Row],[ApplicantIncome]]+Table1[[#This Row],[CoapplicantIncome]]</f>
        <v>11200</v>
      </c>
      <c r="N874" s="1" t="s">
        <v>26</v>
      </c>
      <c r="O874" s="1" t="str">
        <f>IF(Table1[[#This Row],[Total_Income]]&lt;3000,"Low",IF(Table1[[#This Row],[Total_Income]]&lt;7000,"Medium","High"))</f>
        <v>High</v>
      </c>
      <c r="P874" s="1" t="str">
        <f t="shared" si="39"/>
        <v>Rejected</v>
      </c>
      <c r="Q874" s="1" t="str">
        <f t="shared" si="40"/>
        <v>Low Risk</v>
      </c>
      <c r="R874" s="2">
        <f t="shared" si="41"/>
        <v>4380.5745060598756</v>
      </c>
    </row>
    <row r="875" spans="1:18" s="1" customFormat="1" ht="11.5" x14ac:dyDescent="0.25">
      <c r="A875" s="1" t="s">
        <v>906</v>
      </c>
      <c r="B875" s="1" t="s">
        <v>28</v>
      </c>
      <c r="C875" s="1" t="s">
        <v>22</v>
      </c>
      <c r="D875" s="1">
        <v>2</v>
      </c>
      <c r="E875" s="1" t="s">
        <v>25</v>
      </c>
      <c r="F875" s="1" t="s">
        <v>29</v>
      </c>
      <c r="G875" s="1">
        <v>19182</v>
      </c>
      <c r="H875" s="1">
        <v>7191</v>
      </c>
      <c r="I875" s="1">
        <v>268</v>
      </c>
      <c r="J875" s="1">
        <v>120</v>
      </c>
      <c r="K875" s="1">
        <v>1</v>
      </c>
      <c r="L875" s="1" t="s">
        <v>30</v>
      </c>
      <c r="M875" s="1">
        <f>Table1[[#This Row],[ApplicantIncome]]+Table1[[#This Row],[CoapplicantIncome]]</f>
        <v>26373</v>
      </c>
      <c r="N875" s="1" t="s">
        <v>26</v>
      </c>
      <c r="O875" s="1" t="str">
        <f>IF(Table1[[#This Row],[Total_Income]]&lt;3000,"Low",IF(Table1[[#This Row],[Total_Income]]&lt;7000,"Medium","High"))</f>
        <v>High</v>
      </c>
      <c r="P875" s="1" t="str">
        <f t="shared" si="39"/>
        <v>Rejected</v>
      </c>
      <c r="Q875" s="1" t="str">
        <f t="shared" si="40"/>
        <v>Low Risk</v>
      </c>
      <c r="R875" s="2">
        <f t="shared" si="41"/>
        <v>3251.5795287235655</v>
      </c>
    </row>
    <row r="876" spans="1:18" s="1" customFormat="1" ht="11.5" x14ac:dyDescent="0.25">
      <c r="A876" s="1" t="s">
        <v>907</v>
      </c>
      <c r="B876" s="1" t="s">
        <v>52</v>
      </c>
      <c r="C876" s="1" t="s">
        <v>22</v>
      </c>
      <c r="D876" s="1">
        <v>0</v>
      </c>
      <c r="E876" s="1" t="s">
        <v>25</v>
      </c>
      <c r="F876" s="1" t="s">
        <v>29</v>
      </c>
      <c r="G876" s="1">
        <v>18075</v>
      </c>
      <c r="H876" s="1">
        <v>960</v>
      </c>
      <c r="I876" s="1">
        <v>499</v>
      </c>
      <c r="J876" s="1">
        <v>360</v>
      </c>
      <c r="K876" s="1">
        <v>1</v>
      </c>
      <c r="L876" s="1" t="s">
        <v>30</v>
      </c>
      <c r="M876" s="1">
        <f>Table1[[#This Row],[ApplicantIncome]]+Table1[[#This Row],[CoapplicantIncome]]</f>
        <v>19035</v>
      </c>
      <c r="N876" s="1" t="s">
        <v>20</v>
      </c>
      <c r="O876" s="1" t="str">
        <f>IF(Table1[[#This Row],[Total_Income]]&lt;3000,"Low",IF(Table1[[#This Row],[Total_Income]]&lt;7000,"Medium","High"))</f>
        <v>High</v>
      </c>
      <c r="P876" s="1" t="str">
        <f t="shared" si="39"/>
        <v>Approved</v>
      </c>
      <c r="Q876" s="1" t="str">
        <f t="shared" si="40"/>
        <v>Low Risk</v>
      </c>
      <c r="R876" s="2">
        <f t="shared" si="41"/>
        <v>3661.4852236580873</v>
      </c>
    </row>
    <row r="877" spans="1:18" s="1" customFormat="1" ht="11.5" x14ac:dyDescent="0.25">
      <c r="A877" s="1" t="s">
        <v>908</v>
      </c>
      <c r="B877" s="1" t="s">
        <v>52</v>
      </c>
      <c r="C877" s="1" t="s">
        <v>22</v>
      </c>
      <c r="D877" s="1" t="s">
        <v>16</v>
      </c>
      <c r="E877" s="1" t="s">
        <v>25</v>
      </c>
      <c r="F877" s="1" t="s">
        <v>22</v>
      </c>
      <c r="G877" s="1">
        <v>1609</v>
      </c>
      <c r="H877" s="1">
        <v>9065</v>
      </c>
      <c r="I877" s="1">
        <v>636</v>
      </c>
      <c r="J877" s="1">
        <v>360</v>
      </c>
      <c r="K877" s="1">
        <v>0</v>
      </c>
      <c r="L877" s="1" t="s">
        <v>41</v>
      </c>
      <c r="M877" s="1">
        <f>Table1[[#This Row],[ApplicantIncome]]+Table1[[#This Row],[CoapplicantIncome]]</f>
        <v>10674</v>
      </c>
      <c r="N877" s="1" t="s">
        <v>20</v>
      </c>
      <c r="O877" s="1" t="str">
        <f>IF(Table1[[#This Row],[Total_Income]]&lt;3000,"Low",IF(Table1[[#This Row],[Total_Income]]&lt;7000,"Medium","High"))</f>
        <v>High</v>
      </c>
      <c r="P877" s="1" t="str">
        <f t="shared" si="39"/>
        <v>Approved</v>
      </c>
      <c r="Q877" s="1" t="str">
        <f t="shared" si="40"/>
        <v>High Risk</v>
      </c>
      <c r="R877" s="2">
        <f t="shared" si="41"/>
        <v>4666.7426898728327</v>
      </c>
    </row>
    <row r="878" spans="1:18" s="1" customFormat="1" ht="11.5" x14ac:dyDescent="0.25">
      <c r="A878" s="1" t="s">
        <v>909</v>
      </c>
      <c r="B878" s="1" t="s">
        <v>1238</v>
      </c>
      <c r="C878" s="1" t="s">
        <v>22</v>
      </c>
      <c r="D878" s="1" t="s">
        <v>16</v>
      </c>
      <c r="E878" s="1" t="s">
        <v>17</v>
      </c>
      <c r="F878" s="1" t="s">
        <v>22</v>
      </c>
      <c r="G878" s="1">
        <v>2654</v>
      </c>
      <c r="H878" s="1">
        <v>6693</v>
      </c>
      <c r="I878" s="1">
        <v>695</v>
      </c>
      <c r="J878" s="1">
        <v>360</v>
      </c>
      <c r="K878" s="1">
        <v>1</v>
      </c>
      <c r="L878" s="1" t="s">
        <v>30</v>
      </c>
      <c r="M878" s="1">
        <f>Table1[[#This Row],[ApplicantIncome]]+Table1[[#This Row],[CoapplicantIncome]]</f>
        <v>9347</v>
      </c>
      <c r="N878" s="1" t="s">
        <v>26</v>
      </c>
      <c r="O878" s="1" t="str">
        <f>IF(Table1[[#This Row],[Total_Income]]&lt;3000,"Low",IF(Table1[[#This Row],[Total_Income]]&lt;7000,"Medium","High"))</f>
        <v>High</v>
      </c>
      <c r="P878" s="1" t="str">
        <f t="shared" si="39"/>
        <v>Rejected</v>
      </c>
      <c r="Q878" s="1" t="str">
        <f t="shared" si="40"/>
        <v>Low Risk</v>
      </c>
      <c r="R878" s="2">
        <f t="shared" si="41"/>
        <v>5099.6637884616648</v>
      </c>
    </row>
    <row r="879" spans="1:18" s="1" customFormat="1" ht="11.5" x14ac:dyDescent="0.25">
      <c r="A879" s="1" t="s">
        <v>910</v>
      </c>
      <c r="B879" s="1" t="s">
        <v>52</v>
      </c>
      <c r="C879" s="1" t="s">
        <v>22</v>
      </c>
      <c r="D879" s="1">
        <v>0</v>
      </c>
      <c r="E879" s="1" t="s">
        <v>25</v>
      </c>
      <c r="F879" s="1" t="s">
        <v>22</v>
      </c>
      <c r="G879" s="1">
        <v>5715</v>
      </c>
      <c r="H879" s="1">
        <v>5630</v>
      </c>
      <c r="I879" s="1">
        <v>692</v>
      </c>
      <c r="J879" s="1">
        <v>180</v>
      </c>
      <c r="K879" s="1">
        <v>0</v>
      </c>
      <c r="L879" s="1" t="s">
        <v>41</v>
      </c>
      <c r="M879" s="1">
        <f>Table1[[#This Row],[ApplicantIncome]]+Table1[[#This Row],[CoapplicantIncome]]</f>
        <v>11345</v>
      </c>
      <c r="N879" s="1" t="s">
        <v>26</v>
      </c>
      <c r="O879" s="1" t="str">
        <f>IF(Table1[[#This Row],[Total_Income]]&lt;3000,"Low",IF(Table1[[#This Row],[Total_Income]]&lt;7000,"Medium","High"))</f>
        <v>High</v>
      </c>
      <c r="P879" s="1" t="str">
        <f t="shared" si="39"/>
        <v>Rejected</v>
      </c>
      <c r="Q879" s="1" t="str">
        <f t="shared" si="40"/>
        <v>High Risk</v>
      </c>
      <c r="R879" s="2">
        <f t="shared" si="41"/>
        <v>6613.1124235660327</v>
      </c>
    </row>
    <row r="880" spans="1:18" s="1" customFormat="1" ht="11.5" x14ac:dyDescent="0.25">
      <c r="A880" s="1" t="s">
        <v>911</v>
      </c>
      <c r="B880" s="1" t="s">
        <v>28</v>
      </c>
      <c r="C880" s="1" t="s">
        <v>22</v>
      </c>
      <c r="D880" s="1">
        <v>1</v>
      </c>
      <c r="E880" s="1" t="s">
        <v>17</v>
      </c>
      <c r="F880" s="1" t="s">
        <v>22</v>
      </c>
      <c r="G880" s="1">
        <v>1895</v>
      </c>
      <c r="H880" s="1">
        <v>5612</v>
      </c>
      <c r="I880" s="1">
        <v>612</v>
      </c>
      <c r="J880" s="1">
        <v>180</v>
      </c>
      <c r="K880" s="1">
        <v>0</v>
      </c>
      <c r="L880" s="1" t="s">
        <v>41</v>
      </c>
      <c r="M880" s="1">
        <f>Table1[[#This Row],[ApplicantIncome]]+Table1[[#This Row],[CoapplicantIncome]]</f>
        <v>7507</v>
      </c>
      <c r="N880" s="1" t="s">
        <v>26</v>
      </c>
      <c r="O880" s="1" t="str">
        <f>IF(Table1[[#This Row],[Total_Income]]&lt;3000,"Low",IF(Table1[[#This Row],[Total_Income]]&lt;7000,"Medium","High"))</f>
        <v>High</v>
      </c>
      <c r="P880" s="1" t="str">
        <f t="shared" si="39"/>
        <v>Rejected</v>
      </c>
      <c r="Q880" s="1" t="str">
        <f t="shared" si="40"/>
        <v>High Risk</v>
      </c>
      <c r="R880" s="2">
        <f t="shared" si="41"/>
        <v>5848.5907561017502</v>
      </c>
    </row>
    <row r="881" spans="1:18" s="1" customFormat="1" ht="11.5" x14ac:dyDescent="0.25">
      <c r="A881" s="1" t="s">
        <v>912</v>
      </c>
      <c r="B881" s="1" t="s">
        <v>28</v>
      </c>
      <c r="C881" s="1" t="s">
        <v>29</v>
      </c>
      <c r="D881" s="1" t="s">
        <v>16</v>
      </c>
      <c r="E881" s="1" t="s">
        <v>25</v>
      </c>
      <c r="F881" s="1" t="s">
        <v>22</v>
      </c>
      <c r="G881" s="1">
        <v>12974</v>
      </c>
      <c r="H881" s="1">
        <v>7686</v>
      </c>
      <c r="I881" s="1">
        <v>53</v>
      </c>
      <c r="J881" s="1">
        <v>120</v>
      </c>
      <c r="K881" s="1">
        <v>0</v>
      </c>
      <c r="L881" s="1" t="s">
        <v>30</v>
      </c>
      <c r="M881" s="1">
        <f>Table1[[#This Row],[ApplicantIncome]]+Table1[[#This Row],[CoapplicantIncome]]</f>
        <v>20660</v>
      </c>
      <c r="N881" s="1" t="s">
        <v>26</v>
      </c>
      <c r="O881" s="1" t="str">
        <f>IF(Table1[[#This Row],[Total_Income]]&lt;3000,"Low",IF(Table1[[#This Row],[Total_Income]]&lt;7000,"Medium","High"))</f>
        <v>High</v>
      </c>
      <c r="P881" s="1" t="str">
        <f t="shared" si="39"/>
        <v>Rejected</v>
      </c>
      <c r="Q881" s="1" t="str">
        <f t="shared" si="40"/>
        <v>High Risk</v>
      </c>
      <c r="R881" s="2">
        <f t="shared" si="41"/>
        <v>643.03625008339168</v>
      </c>
    </row>
    <row r="882" spans="1:18" s="1" customFormat="1" ht="11.5" x14ac:dyDescent="0.25">
      <c r="A882" s="1" t="s">
        <v>913</v>
      </c>
      <c r="B882" s="1" t="s">
        <v>28</v>
      </c>
      <c r="C882" s="1" t="s">
        <v>22</v>
      </c>
      <c r="D882" s="1" t="s">
        <v>16</v>
      </c>
      <c r="E882" s="1" t="s">
        <v>25</v>
      </c>
      <c r="F882" s="1" t="s">
        <v>22</v>
      </c>
      <c r="G882" s="1">
        <v>19155</v>
      </c>
      <c r="H882" s="1">
        <v>6305</v>
      </c>
      <c r="I882" s="1">
        <v>597</v>
      </c>
      <c r="J882" s="1">
        <v>120</v>
      </c>
      <c r="K882" s="1">
        <v>0</v>
      </c>
      <c r="L882" s="1" t="s">
        <v>19</v>
      </c>
      <c r="M882" s="1">
        <f>Table1[[#This Row],[ApplicantIncome]]+Table1[[#This Row],[CoapplicantIncome]]</f>
        <v>25460</v>
      </c>
      <c r="N882" s="1" t="s">
        <v>20</v>
      </c>
      <c r="O882" s="1" t="str">
        <f>IF(Table1[[#This Row],[Total_Income]]&lt;3000,"Low",IF(Table1[[#This Row],[Total_Income]]&lt;7000,"Medium","High"))</f>
        <v>High</v>
      </c>
      <c r="P882" s="1" t="str">
        <f t="shared" si="39"/>
        <v>Approved</v>
      </c>
      <c r="Q882" s="1" t="str">
        <f t="shared" si="40"/>
        <v>High Risk</v>
      </c>
      <c r="R882" s="2">
        <f t="shared" si="41"/>
        <v>7243.2573830148085</v>
      </c>
    </row>
    <row r="883" spans="1:18" s="1" customFormat="1" ht="11.5" x14ac:dyDescent="0.25">
      <c r="A883" s="1" t="s">
        <v>914</v>
      </c>
      <c r="B883" s="1" t="s">
        <v>52</v>
      </c>
      <c r="C883" s="1" t="s">
        <v>22</v>
      </c>
      <c r="D883" s="1">
        <v>1</v>
      </c>
      <c r="E883" s="1" t="s">
        <v>17</v>
      </c>
      <c r="F883" s="1" t="s">
        <v>22</v>
      </c>
      <c r="G883" s="1">
        <v>19574</v>
      </c>
      <c r="H883" s="1">
        <v>1386</v>
      </c>
      <c r="I883" s="1">
        <v>362</v>
      </c>
      <c r="J883" s="1">
        <v>180</v>
      </c>
      <c r="K883" s="1">
        <v>0</v>
      </c>
      <c r="L883" s="1" t="s">
        <v>41</v>
      </c>
      <c r="M883" s="1">
        <f>Table1[[#This Row],[ApplicantIncome]]+Table1[[#This Row],[CoapplicantIncome]]</f>
        <v>20960</v>
      </c>
      <c r="N883" s="1" t="s">
        <v>26</v>
      </c>
      <c r="O883" s="1" t="str">
        <f>IF(Table1[[#This Row],[Total_Income]]&lt;3000,"Low",IF(Table1[[#This Row],[Total_Income]]&lt;7000,"Medium","High"))</f>
        <v>High</v>
      </c>
      <c r="P883" s="1" t="str">
        <f t="shared" si="39"/>
        <v>Rejected</v>
      </c>
      <c r="Q883" s="1" t="str">
        <f t="shared" si="40"/>
        <v>High Risk</v>
      </c>
      <c r="R883" s="2">
        <f t="shared" si="41"/>
        <v>3459.4605452758724</v>
      </c>
    </row>
    <row r="884" spans="1:18" s="1" customFormat="1" ht="11.5" x14ac:dyDescent="0.25">
      <c r="A884" s="1" t="s">
        <v>915</v>
      </c>
      <c r="B884" s="1" t="s">
        <v>28</v>
      </c>
      <c r="C884" s="1" t="s">
        <v>22</v>
      </c>
      <c r="D884" s="1">
        <v>2</v>
      </c>
      <c r="E884" s="1" t="s">
        <v>25</v>
      </c>
      <c r="F884" s="1" t="s">
        <v>22</v>
      </c>
      <c r="G884" s="1">
        <v>1786</v>
      </c>
      <c r="H884" s="1">
        <v>2747</v>
      </c>
      <c r="I884" s="1">
        <v>159</v>
      </c>
      <c r="J884" s="1">
        <v>120</v>
      </c>
      <c r="K884" s="1">
        <v>0</v>
      </c>
      <c r="L884" s="1" t="s">
        <v>41</v>
      </c>
      <c r="M884" s="1">
        <f>Table1[[#This Row],[ApplicantIncome]]+Table1[[#This Row],[CoapplicantIncome]]</f>
        <v>4533</v>
      </c>
      <c r="N884" s="1" t="s">
        <v>20</v>
      </c>
      <c r="O884" s="1" t="str">
        <f>IF(Table1[[#This Row],[Total_Income]]&lt;3000,"Low",IF(Table1[[#This Row],[Total_Income]]&lt;7000,"Medium","High"))</f>
        <v>Medium</v>
      </c>
      <c r="P884" s="1" t="str">
        <f t="shared" si="39"/>
        <v>Approved</v>
      </c>
      <c r="Q884" s="1" t="str">
        <f t="shared" si="40"/>
        <v>High Risk</v>
      </c>
      <c r="R884" s="2">
        <f t="shared" si="41"/>
        <v>1929.108750250175</v>
      </c>
    </row>
    <row r="885" spans="1:18" s="1" customFormat="1" ht="11.5" x14ac:dyDescent="0.25">
      <c r="A885" s="1" t="s">
        <v>916</v>
      </c>
      <c r="B885" s="1" t="s">
        <v>1238</v>
      </c>
      <c r="C885" s="1" t="s">
        <v>22</v>
      </c>
      <c r="D885" s="1">
        <v>1</v>
      </c>
      <c r="E885" s="1" t="s">
        <v>25</v>
      </c>
      <c r="F885" s="1" t="s">
        <v>29</v>
      </c>
      <c r="G885" s="1">
        <v>17173</v>
      </c>
      <c r="H885" s="1">
        <v>8159</v>
      </c>
      <c r="I885" s="1">
        <v>423</v>
      </c>
      <c r="J885" s="1">
        <v>360</v>
      </c>
      <c r="K885" s="1">
        <v>1</v>
      </c>
      <c r="L885" s="1" t="s">
        <v>41</v>
      </c>
      <c r="M885" s="1">
        <f>Table1[[#This Row],[ApplicantIncome]]+Table1[[#This Row],[CoapplicantIncome]]</f>
        <v>25332</v>
      </c>
      <c r="N885" s="1" t="s">
        <v>26</v>
      </c>
      <c r="O885" s="1" t="str">
        <f>IF(Table1[[#This Row],[Total_Income]]&lt;3000,"Low",IF(Table1[[#This Row],[Total_Income]]&lt;7000,"Medium","High"))</f>
        <v>High</v>
      </c>
      <c r="P885" s="1" t="str">
        <f t="shared" si="39"/>
        <v>Rejected</v>
      </c>
      <c r="Q885" s="1" t="str">
        <f t="shared" si="40"/>
        <v>Low Risk</v>
      </c>
      <c r="R885" s="2">
        <f t="shared" si="41"/>
        <v>3103.8241475097611</v>
      </c>
    </row>
    <row r="886" spans="1:18" s="1" customFormat="1" ht="11.5" x14ac:dyDescent="0.25">
      <c r="A886" s="1" t="s">
        <v>917</v>
      </c>
      <c r="B886" s="1" t="s">
        <v>1238</v>
      </c>
      <c r="C886" s="1" t="s">
        <v>29</v>
      </c>
      <c r="D886" s="1">
        <v>1</v>
      </c>
      <c r="E886" s="1" t="s">
        <v>25</v>
      </c>
      <c r="F886" s="1" t="s">
        <v>22</v>
      </c>
      <c r="G886" s="1">
        <v>5305</v>
      </c>
      <c r="H886" s="1">
        <v>349</v>
      </c>
      <c r="I886" s="1">
        <v>214</v>
      </c>
      <c r="J886" s="1">
        <v>360</v>
      </c>
      <c r="K886" s="1">
        <v>1</v>
      </c>
      <c r="L886" s="1" t="s">
        <v>19</v>
      </c>
      <c r="M886" s="1">
        <f>Table1[[#This Row],[ApplicantIncome]]+Table1[[#This Row],[CoapplicantIncome]]</f>
        <v>5654</v>
      </c>
      <c r="N886" s="1" t="s">
        <v>20</v>
      </c>
      <c r="O886" s="1" t="str">
        <f>IF(Table1[[#This Row],[Total_Income]]&lt;3000,"Low",IF(Table1[[#This Row],[Total_Income]]&lt;7000,"Medium","High"))</f>
        <v>Medium</v>
      </c>
      <c r="P886" s="1" t="str">
        <f t="shared" si="39"/>
        <v>Approved</v>
      </c>
      <c r="Q886" s="1" t="str">
        <f t="shared" si="40"/>
        <v>Low Risk</v>
      </c>
      <c r="R886" s="2">
        <f t="shared" si="41"/>
        <v>1570.2561881018651</v>
      </c>
    </row>
    <row r="887" spans="1:18" s="1" customFormat="1" ht="11.5" x14ac:dyDescent="0.25">
      <c r="A887" s="1" t="s">
        <v>918</v>
      </c>
      <c r="B887" s="1" t="s">
        <v>28</v>
      </c>
      <c r="C887" s="1" t="s">
        <v>22</v>
      </c>
      <c r="D887" s="1" t="s">
        <v>16</v>
      </c>
      <c r="E887" s="1" t="s">
        <v>25</v>
      </c>
      <c r="F887" s="1" t="s">
        <v>29</v>
      </c>
      <c r="G887" s="1">
        <v>11534</v>
      </c>
      <c r="H887" s="1">
        <v>3971</v>
      </c>
      <c r="I887" s="1">
        <v>577</v>
      </c>
      <c r="J887" s="1">
        <v>120</v>
      </c>
      <c r="K887" s="1">
        <v>0</v>
      </c>
      <c r="L887" s="1" t="s">
        <v>19</v>
      </c>
      <c r="M887" s="1">
        <f>Table1[[#This Row],[ApplicantIncome]]+Table1[[#This Row],[CoapplicantIncome]]</f>
        <v>15505</v>
      </c>
      <c r="N887" s="1" t="s">
        <v>20</v>
      </c>
      <c r="O887" s="1" t="str">
        <f>IF(Table1[[#This Row],[Total_Income]]&lt;3000,"Low",IF(Table1[[#This Row],[Total_Income]]&lt;7000,"Medium","High"))</f>
        <v>High</v>
      </c>
      <c r="P887" s="1" t="str">
        <f t="shared" si="39"/>
        <v>Approved</v>
      </c>
      <c r="Q887" s="1" t="str">
        <f t="shared" si="40"/>
        <v>High Risk</v>
      </c>
      <c r="R887" s="2">
        <f t="shared" si="41"/>
        <v>7000.6021943040942</v>
      </c>
    </row>
    <row r="888" spans="1:18" s="1" customFormat="1" ht="11.5" x14ac:dyDescent="0.25">
      <c r="A888" s="1" t="s">
        <v>919</v>
      </c>
      <c r="B888" s="1" t="s">
        <v>28</v>
      </c>
      <c r="C888" s="1" t="s">
        <v>29</v>
      </c>
      <c r="D888" s="1">
        <v>0</v>
      </c>
      <c r="E888" s="1" t="s">
        <v>17</v>
      </c>
      <c r="F888" s="1" t="s">
        <v>22</v>
      </c>
      <c r="G888" s="1">
        <v>3089</v>
      </c>
      <c r="H888" s="1">
        <v>1724</v>
      </c>
      <c r="I888" s="1">
        <v>611</v>
      </c>
      <c r="J888" s="1">
        <v>180</v>
      </c>
      <c r="K888" s="1">
        <v>1</v>
      </c>
      <c r="L888" s="1" t="s">
        <v>30</v>
      </c>
      <c r="M888" s="1">
        <f>Table1[[#This Row],[ApplicantIncome]]+Table1[[#This Row],[CoapplicantIncome]]</f>
        <v>4813</v>
      </c>
      <c r="N888" s="1" t="s">
        <v>26</v>
      </c>
      <c r="O888" s="1" t="str">
        <f>IF(Table1[[#This Row],[Total_Income]]&lt;3000,"Low",IF(Table1[[#This Row],[Total_Income]]&lt;7000,"Medium","High"))</f>
        <v>Medium</v>
      </c>
      <c r="P888" s="1" t="str">
        <f t="shared" si="39"/>
        <v>Rejected</v>
      </c>
      <c r="Q888" s="1" t="str">
        <f t="shared" si="40"/>
        <v>Low Risk</v>
      </c>
      <c r="R888" s="2">
        <f t="shared" si="41"/>
        <v>5839.0342352584476</v>
      </c>
    </row>
    <row r="889" spans="1:18" s="1" customFormat="1" ht="11.5" x14ac:dyDescent="0.25">
      <c r="A889" s="1" t="s">
        <v>920</v>
      </c>
      <c r="B889" s="1" t="s">
        <v>28</v>
      </c>
      <c r="C889" s="1" t="s">
        <v>29</v>
      </c>
      <c r="D889" s="1">
        <v>0</v>
      </c>
      <c r="E889" s="1" t="s">
        <v>17</v>
      </c>
      <c r="F889" s="1" t="s">
        <v>22</v>
      </c>
      <c r="G889" s="1">
        <v>3839</v>
      </c>
      <c r="H889" s="1">
        <v>8626</v>
      </c>
      <c r="I889" s="1">
        <v>76</v>
      </c>
      <c r="J889" s="1">
        <v>120</v>
      </c>
      <c r="K889" s="1">
        <v>0</v>
      </c>
      <c r="L889" s="1" t="s">
        <v>30</v>
      </c>
      <c r="M889" s="1">
        <f>Table1[[#This Row],[ApplicantIncome]]+Table1[[#This Row],[CoapplicantIncome]]</f>
        <v>12465</v>
      </c>
      <c r="N889" s="1" t="s">
        <v>20</v>
      </c>
      <c r="O889" s="1" t="str">
        <f>IF(Table1[[#This Row],[Total_Income]]&lt;3000,"Low",IF(Table1[[#This Row],[Total_Income]]&lt;7000,"Medium","High"))</f>
        <v>High</v>
      </c>
      <c r="P889" s="1" t="str">
        <f t="shared" si="39"/>
        <v>Approved</v>
      </c>
      <c r="Q889" s="1" t="str">
        <f t="shared" si="40"/>
        <v>High Risk</v>
      </c>
      <c r="R889" s="2">
        <f t="shared" si="41"/>
        <v>922.08971710071262</v>
      </c>
    </row>
    <row r="890" spans="1:18" s="1" customFormat="1" ht="11.5" x14ac:dyDescent="0.25">
      <c r="A890" s="1" t="s">
        <v>921</v>
      </c>
      <c r="B890" s="1" t="s">
        <v>1238</v>
      </c>
      <c r="C890" s="1" t="s">
        <v>29</v>
      </c>
      <c r="D890" s="1" t="s">
        <v>16</v>
      </c>
      <c r="E890" s="1" t="s">
        <v>17</v>
      </c>
      <c r="F890" s="1" t="s">
        <v>22</v>
      </c>
      <c r="G890" s="1">
        <v>6897</v>
      </c>
      <c r="H890" s="1">
        <v>7000</v>
      </c>
      <c r="I890" s="1">
        <v>587</v>
      </c>
      <c r="J890" s="1">
        <v>180</v>
      </c>
      <c r="K890" s="1">
        <v>1</v>
      </c>
      <c r="L890" s="1" t="s">
        <v>30</v>
      </c>
      <c r="M890" s="1">
        <f>Table1[[#This Row],[ApplicantIncome]]+Table1[[#This Row],[CoapplicantIncome]]</f>
        <v>13897</v>
      </c>
      <c r="N890" s="1" t="s">
        <v>20</v>
      </c>
      <c r="O890" s="1" t="str">
        <f>IF(Table1[[#This Row],[Total_Income]]&lt;3000,"Low",IF(Table1[[#This Row],[Total_Income]]&lt;7000,"Medium","High"))</f>
        <v>High</v>
      </c>
      <c r="P890" s="1" t="str">
        <f t="shared" si="39"/>
        <v>Approved</v>
      </c>
      <c r="Q890" s="1" t="str">
        <f t="shared" si="40"/>
        <v>Low Risk</v>
      </c>
      <c r="R890" s="2">
        <f t="shared" si="41"/>
        <v>5609.6777350191633</v>
      </c>
    </row>
    <row r="891" spans="1:18" s="1" customFormat="1" ht="11.5" x14ac:dyDescent="0.25">
      <c r="A891" s="1" t="s">
        <v>922</v>
      </c>
      <c r="B891" s="1" t="s">
        <v>28</v>
      </c>
      <c r="C891" s="1" t="s">
        <v>22</v>
      </c>
      <c r="D891" s="1" t="s">
        <v>16</v>
      </c>
      <c r="E891" s="1" t="s">
        <v>17</v>
      </c>
      <c r="F891" s="1" t="s">
        <v>29</v>
      </c>
      <c r="G891" s="1">
        <v>16267</v>
      </c>
      <c r="H891" s="1">
        <v>5376</v>
      </c>
      <c r="I891" s="1">
        <v>59</v>
      </c>
      <c r="J891" s="1">
        <v>120</v>
      </c>
      <c r="K891" s="1">
        <v>0</v>
      </c>
      <c r="L891" s="1" t="s">
        <v>41</v>
      </c>
      <c r="M891" s="1">
        <f>Table1[[#This Row],[ApplicantIncome]]+Table1[[#This Row],[CoapplicantIncome]]</f>
        <v>21643</v>
      </c>
      <c r="N891" s="1" t="s">
        <v>26</v>
      </c>
      <c r="O891" s="1" t="str">
        <f>IF(Table1[[#This Row],[Total_Income]]&lt;3000,"Low",IF(Table1[[#This Row],[Total_Income]]&lt;7000,"Medium","High"))</f>
        <v>High</v>
      </c>
      <c r="P891" s="1" t="str">
        <f t="shared" si="39"/>
        <v>Rejected</v>
      </c>
      <c r="Q891" s="1" t="str">
        <f t="shared" si="40"/>
        <v>High Risk</v>
      </c>
      <c r="R891" s="2">
        <f t="shared" si="41"/>
        <v>715.83280669660587</v>
      </c>
    </row>
    <row r="892" spans="1:18" s="1" customFormat="1" ht="11.5" x14ac:dyDescent="0.25">
      <c r="A892" s="1" t="s">
        <v>923</v>
      </c>
      <c r="B892" s="1" t="s">
        <v>52</v>
      </c>
      <c r="C892" s="1" t="s">
        <v>29</v>
      </c>
      <c r="D892" s="1" t="s">
        <v>16</v>
      </c>
      <c r="E892" s="1" t="s">
        <v>25</v>
      </c>
      <c r="F892" s="1" t="s">
        <v>29</v>
      </c>
      <c r="G892" s="1">
        <v>3782</v>
      </c>
      <c r="H892" s="1">
        <v>2089</v>
      </c>
      <c r="I892" s="1">
        <v>155</v>
      </c>
      <c r="J892" s="1">
        <v>360</v>
      </c>
      <c r="K892" s="1">
        <v>0</v>
      </c>
      <c r="L892" s="1" t="s">
        <v>19</v>
      </c>
      <c r="M892" s="1">
        <f>Table1[[#This Row],[ApplicantIncome]]+Table1[[#This Row],[CoapplicantIncome]]</f>
        <v>5871</v>
      </c>
      <c r="N892" s="1" t="s">
        <v>26</v>
      </c>
      <c r="O892" s="1" t="str">
        <f>IF(Table1[[#This Row],[Total_Income]]&lt;3000,"Low",IF(Table1[[#This Row],[Total_Income]]&lt;7000,"Medium","High"))</f>
        <v>Medium</v>
      </c>
      <c r="P892" s="1" t="str">
        <f t="shared" si="39"/>
        <v>Rejected</v>
      </c>
      <c r="Q892" s="1" t="str">
        <f t="shared" si="40"/>
        <v>High Risk</v>
      </c>
      <c r="R892" s="2">
        <f t="shared" si="41"/>
        <v>1137.3350895130332</v>
      </c>
    </row>
    <row r="893" spans="1:18" s="1" customFormat="1" ht="11.5" x14ac:dyDescent="0.25">
      <c r="A893" s="1" t="s">
        <v>924</v>
      </c>
      <c r="B893" s="1" t="s">
        <v>52</v>
      </c>
      <c r="C893" s="1" t="s">
        <v>22</v>
      </c>
      <c r="D893" s="1">
        <v>0</v>
      </c>
      <c r="E893" s="1" t="s">
        <v>25</v>
      </c>
      <c r="F893" s="1" t="s">
        <v>29</v>
      </c>
      <c r="G893" s="1">
        <v>2681</v>
      </c>
      <c r="H893" s="1">
        <v>625</v>
      </c>
      <c r="I893" s="1">
        <v>638</v>
      </c>
      <c r="J893" s="1">
        <v>180</v>
      </c>
      <c r="K893" s="1">
        <v>0</v>
      </c>
      <c r="L893" s="1" t="s">
        <v>19</v>
      </c>
      <c r="M893" s="1">
        <f>Table1[[#This Row],[ApplicantIncome]]+Table1[[#This Row],[CoapplicantIncome]]</f>
        <v>3306</v>
      </c>
      <c r="N893" s="1" t="s">
        <v>20</v>
      </c>
      <c r="O893" s="1" t="str">
        <f>IF(Table1[[#This Row],[Total_Income]]&lt;3000,"Low",IF(Table1[[#This Row],[Total_Income]]&lt;7000,"Medium","High"))</f>
        <v>Medium</v>
      </c>
      <c r="P893" s="1" t="str">
        <f t="shared" si="39"/>
        <v>Approved</v>
      </c>
      <c r="Q893" s="1" t="str">
        <f t="shared" si="40"/>
        <v>High Risk</v>
      </c>
      <c r="R893" s="2">
        <f t="shared" si="41"/>
        <v>6097.0602980276426</v>
      </c>
    </row>
    <row r="894" spans="1:18" s="1" customFormat="1" ht="11.5" x14ac:dyDescent="0.25">
      <c r="A894" s="1" t="s">
        <v>925</v>
      </c>
      <c r="B894" s="1" t="s">
        <v>1238</v>
      </c>
      <c r="C894" s="1" t="s">
        <v>29</v>
      </c>
      <c r="D894" s="1">
        <v>1</v>
      </c>
      <c r="E894" s="1" t="s">
        <v>17</v>
      </c>
      <c r="F894" s="1" t="s">
        <v>22</v>
      </c>
      <c r="G894" s="1">
        <v>14794</v>
      </c>
      <c r="H894" s="1">
        <v>3457</v>
      </c>
      <c r="I894" s="1">
        <v>444</v>
      </c>
      <c r="J894" s="1">
        <v>180</v>
      </c>
      <c r="K894" s="1">
        <v>0</v>
      </c>
      <c r="L894" s="1" t="s">
        <v>19</v>
      </c>
      <c r="M894" s="1">
        <f>Table1[[#This Row],[ApplicantIncome]]+Table1[[#This Row],[CoapplicantIncome]]</f>
        <v>18251</v>
      </c>
      <c r="N894" s="1" t="s">
        <v>20</v>
      </c>
      <c r="O894" s="1" t="str">
        <f>IF(Table1[[#This Row],[Total_Income]]&lt;3000,"Low",IF(Table1[[#This Row],[Total_Income]]&lt;7000,"Medium","High"))</f>
        <v>High</v>
      </c>
      <c r="P894" s="1" t="str">
        <f t="shared" si="39"/>
        <v>Approved</v>
      </c>
      <c r="Q894" s="1" t="str">
        <f t="shared" si="40"/>
        <v>High Risk</v>
      </c>
      <c r="R894" s="2">
        <f t="shared" si="41"/>
        <v>4243.0952544267602</v>
      </c>
    </row>
    <row r="895" spans="1:18" s="1" customFormat="1" ht="11.5" x14ac:dyDescent="0.25">
      <c r="A895" s="1" t="s">
        <v>926</v>
      </c>
      <c r="B895" s="1" t="s">
        <v>52</v>
      </c>
      <c r="C895" s="1" t="s">
        <v>22</v>
      </c>
      <c r="D895" s="1">
        <v>1</v>
      </c>
      <c r="E895" s="1" t="s">
        <v>17</v>
      </c>
      <c r="F895" s="1" t="s">
        <v>22</v>
      </c>
      <c r="G895" s="1">
        <v>4626</v>
      </c>
      <c r="H895" s="1">
        <v>6442</v>
      </c>
      <c r="I895" s="1">
        <v>457</v>
      </c>
      <c r="J895" s="1">
        <v>360</v>
      </c>
      <c r="K895" s="1">
        <v>1</v>
      </c>
      <c r="L895" s="1" t="s">
        <v>19</v>
      </c>
      <c r="M895" s="1">
        <f>Table1[[#This Row],[ApplicantIncome]]+Table1[[#This Row],[CoapplicantIncome]]</f>
        <v>11068</v>
      </c>
      <c r="N895" s="1" t="s">
        <v>20</v>
      </c>
      <c r="O895" s="1" t="str">
        <f>IF(Table1[[#This Row],[Total_Income]]&lt;3000,"Low",IF(Table1[[#This Row],[Total_Income]]&lt;7000,"Medium","High"))</f>
        <v>High</v>
      </c>
      <c r="P895" s="1" t="str">
        <f t="shared" si="39"/>
        <v>Approved</v>
      </c>
      <c r="Q895" s="1" t="str">
        <f t="shared" si="40"/>
        <v>Low Risk</v>
      </c>
      <c r="R895" s="2">
        <f t="shared" si="41"/>
        <v>3353.3041026287492</v>
      </c>
    </row>
    <row r="896" spans="1:18" s="1" customFormat="1" ht="11.5" x14ac:dyDescent="0.25">
      <c r="A896" s="1" t="s">
        <v>927</v>
      </c>
      <c r="B896" s="1" t="s">
        <v>52</v>
      </c>
      <c r="C896" s="1" t="s">
        <v>22</v>
      </c>
      <c r="D896" s="1">
        <v>1</v>
      </c>
      <c r="E896" s="1" t="s">
        <v>17</v>
      </c>
      <c r="F896" s="1" t="s">
        <v>22</v>
      </c>
      <c r="G896" s="1">
        <v>6323</v>
      </c>
      <c r="H896" s="1">
        <v>7361</v>
      </c>
      <c r="I896" s="1">
        <v>409</v>
      </c>
      <c r="J896" s="1">
        <v>360</v>
      </c>
      <c r="K896" s="1">
        <v>1</v>
      </c>
      <c r="L896" s="1" t="s">
        <v>41</v>
      </c>
      <c r="M896" s="1">
        <f>Table1[[#This Row],[ApplicantIncome]]+Table1[[#This Row],[CoapplicantIncome]]</f>
        <v>13684</v>
      </c>
      <c r="N896" s="1" t="s">
        <v>20</v>
      </c>
      <c r="O896" s="1" t="str">
        <f>IF(Table1[[#This Row],[Total_Income]]&lt;3000,"Low",IF(Table1[[#This Row],[Total_Income]]&lt;7000,"Medium","High"))</f>
        <v>High</v>
      </c>
      <c r="P896" s="1" t="str">
        <f t="shared" si="39"/>
        <v>Approved</v>
      </c>
      <c r="Q896" s="1" t="str">
        <f t="shared" si="40"/>
        <v>Low Risk</v>
      </c>
      <c r="R896" s="2">
        <f t="shared" si="41"/>
        <v>3001.0971071666486</v>
      </c>
    </row>
    <row r="897" spans="1:18" s="1" customFormat="1" ht="11.5" x14ac:dyDescent="0.25">
      <c r="A897" s="1" t="s">
        <v>928</v>
      </c>
      <c r="B897" s="1" t="s">
        <v>28</v>
      </c>
      <c r="C897" s="1" t="s">
        <v>22</v>
      </c>
      <c r="D897" s="1">
        <v>0</v>
      </c>
      <c r="E897" s="1" t="s">
        <v>25</v>
      </c>
      <c r="F897" s="1" t="s">
        <v>29</v>
      </c>
      <c r="G897" s="1">
        <v>1689</v>
      </c>
      <c r="H897" s="1">
        <v>3140</v>
      </c>
      <c r="I897" s="1">
        <v>512</v>
      </c>
      <c r="J897" s="1">
        <v>360</v>
      </c>
      <c r="K897" s="1">
        <v>0</v>
      </c>
      <c r="L897" s="1" t="s">
        <v>30</v>
      </c>
      <c r="M897" s="1">
        <f>Table1[[#This Row],[ApplicantIncome]]+Table1[[#This Row],[CoapplicantIncome]]</f>
        <v>4829</v>
      </c>
      <c r="N897" s="1" t="s">
        <v>20</v>
      </c>
      <c r="O897" s="1" t="str">
        <f>IF(Table1[[#This Row],[Total_Income]]&lt;3000,"Low",IF(Table1[[#This Row],[Total_Income]]&lt;7000,"Medium","High"))</f>
        <v>Medium</v>
      </c>
      <c r="P897" s="1" t="str">
        <f t="shared" si="39"/>
        <v>Approved</v>
      </c>
      <c r="Q897" s="1" t="str">
        <f t="shared" si="40"/>
        <v>High Risk</v>
      </c>
      <c r="R897" s="2">
        <f t="shared" si="41"/>
        <v>3756.8746182624059</v>
      </c>
    </row>
    <row r="898" spans="1:18" s="1" customFormat="1" ht="11.5" x14ac:dyDescent="0.25">
      <c r="A898" s="1" t="s">
        <v>929</v>
      </c>
      <c r="B898" s="1" t="s">
        <v>52</v>
      </c>
      <c r="C898" s="1" t="s">
        <v>22</v>
      </c>
      <c r="D898" s="1">
        <v>1</v>
      </c>
      <c r="E898" s="1" t="s">
        <v>25</v>
      </c>
      <c r="F898" s="1" t="s">
        <v>22</v>
      </c>
      <c r="G898" s="1">
        <v>4127</v>
      </c>
      <c r="H898" s="1">
        <v>2912</v>
      </c>
      <c r="I898" s="1">
        <v>506</v>
      </c>
      <c r="J898" s="1">
        <v>360</v>
      </c>
      <c r="K898" s="1">
        <v>1</v>
      </c>
      <c r="L898" s="1" t="s">
        <v>30</v>
      </c>
      <c r="M898" s="1">
        <f>Table1[[#This Row],[ApplicantIncome]]+Table1[[#This Row],[CoapplicantIncome]]</f>
        <v>7039</v>
      </c>
      <c r="N898" s="1" t="s">
        <v>26</v>
      </c>
      <c r="O898" s="1" t="str">
        <f>IF(Table1[[#This Row],[Total_Income]]&lt;3000,"Low",IF(Table1[[#This Row],[Total_Income]]&lt;7000,"Medium","High"))</f>
        <v>High</v>
      </c>
      <c r="P898" s="1" t="str">
        <f t="shared" ref="P898:P961" si="42">IF(N898="Y","Approved","Rejected")</f>
        <v>Rejected</v>
      </c>
      <c r="Q898" s="1" t="str">
        <f t="shared" ref="Q898:Q961" si="43">IF(K898=1,"Low Risk","High Risk")</f>
        <v>Low Risk</v>
      </c>
      <c r="R898" s="2">
        <f t="shared" ref="R898:R961" si="44">-PMT(8%/12,J898,I898*1000)</f>
        <v>3712.8487438296438</v>
      </c>
    </row>
    <row r="899" spans="1:18" s="1" customFormat="1" ht="11.5" x14ac:dyDescent="0.25">
      <c r="A899" s="1" t="s">
        <v>930</v>
      </c>
      <c r="B899" s="1" t="s">
        <v>28</v>
      </c>
      <c r="C899" s="1" t="s">
        <v>29</v>
      </c>
      <c r="D899" s="1">
        <v>2</v>
      </c>
      <c r="E899" s="1" t="s">
        <v>25</v>
      </c>
      <c r="F899" s="1" t="s">
        <v>22</v>
      </c>
      <c r="G899" s="1">
        <v>16345</v>
      </c>
      <c r="H899" s="1">
        <v>3503</v>
      </c>
      <c r="I899" s="1">
        <v>120</v>
      </c>
      <c r="J899" s="1">
        <v>360</v>
      </c>
      <c r="K899" s="1">
        <v>1</v>
      </c>
      <c r="L899" s="1" t="s">
        <v>30</v>
      </c>
      <c r="M899" s="1">
        <f>Table1[[#This Row],[ApplicantIncome]]+Table1[[#This Row],[CoapplicantIncome]]</f>
        <v>19848</v>
      </c>
      <c r="N899" s="1" t="s">
        <v>26</v>
      </c>
      <c r="O899" s="1" t="str">
        <f>IF(Table1[[#This Row],[Total_Income]]&lt;3000,"Low",IF(Table1[[#This Row],[Total_Income]]&lt;7000,"Medium","High"))</f>
        <v>High</v>
      </c>
      <c r="P899" s="1" t="str">
        <f t="shared" si="42"/>
        <v>Rejected</v>
      </c>
      <c r="Q899" s="1" t="str">
        <f t="shared" si="43"/>
        <v>Low Risk</v>
      </c>
      <c r="R899" s="2">
        <f t="shared" si="44"/>
        <v>880.51748865525144</v>
      </c>
    </row>
    <row r="900" spans="1:18" s="1" customFormat="1" ht="11.5" x14ac:dyDescent="0.25">
      <c r="A900" s="1" t="s">
        <v>931</v>
      </c>
      <c r="B900" s="1" t="s">
        <v>28</v>
      </c>
      <c r="C900" s="1" t="s">
        <v>22</v>
      </c>
      <c r="D900" s="1" t="s">
        <v>16</v>
      </c>
      <c r="E900" s="1" t="s">
        <v>17</v>
      </c>
      <c r="F900" s="1" t="s">
        <v>29</v>
      </c>
      <c r="G900" s="1">
        <v>13172</v>
      </c>
      <c r="H900" s="1">
        <v>2674</v>
      </c>
      <c r="I900" s="1">
        <v>546</v>
      </c>
      <c r="J900" s="1">
        <v>180</v>
      </c>
      <c r="K900" s="1">
        <v>0</v>
      </c>
      <c r="L900" s="1" t="s">
        <v>30</v>
      </c>
      <c r="M900" s="1">
        <f>Table1[[#This Row],[ApplicantIncome]]+Table1[[#This Row],[CoapplicantIncome]]</f>
        <v>15846</v>
      </c>
      <c r="N900" s="1" t="s">
        <v>26</v>
      </c>
      <c r="O900" s="1" t="str">
        <f>IF(Table1[[#This Row],[Total_Income]]&lt;3000,"Low",IF(Table1[[#This Row],[Total_Income]]&lt;7000,"Medium","High"))</f>
        <v>High</v>
      </c>
      <c r="P900" s="1" t="str">
        <f t="shared" si="42"/>
        <v>Rejected</v>
      </c>
      <c r="Q900" s="1" t="str">
        <f t="shared" si="43"/>
        <v>High Risk</v>
      </c>
      <c r="R900" s="2">
        <f t="shared" si="44"/>
        <v>5217.8603804437189</v>
      </c>
    </row>
    <row r="901" spans="1:18" s="1" customFormat="1" ht="11.5" x14ac:dyDescent="0.25">
      <c r="A901" s="1" t="s">
        <v>932</v>
      </c>
      <c r="B901" s="1" t="s">
        <v>28</v>
      </c>
      <c r="C901" s="1" t="s">
        <v>29</v>
      </c>
      <c r="D901" s="1">
        <v>2</v>
      </c>
      <c r="E901" s="1" t="s">
        <v>25</v>
      </c>
      <c r="F901" s="1" t="s">
        <v>29</v>
      </c>
      <c r="G901" s="1">
        <v>14402</v>
      </c>
      <c r="H901" s="1">
        <v>2458</v>
      </c>
      <c r="I901" s="1">
        <v>337</v>
      </c>
      <c r="J901" s="1">
        <v>180</v>
      </c>
      <c r="K901" s="1">
        <v>1</v>
      </c>
      <c r="L901" s="1" t="s">
        <v>41</v>
      </c>
      <c r="M901" s="1">
        <f>Table1[[#This Row],[ApplicantIncome]]+Table1[[#This Row],[CoapplicantIncome]]</f>
        <v>16860</v>
      </c>
      <c r="N901" s="1" t="s">
        <v>26</v>
      </c>
      <c r="O901" s="1" t="str">
        <f>IF(Table1[[#This Row],[Total_Income]]&lt;3000,"Low",IF(Table1[[#This Row],[Total_Income]]&lt;7000,"Medium","High"))</f>
        <v>High</v>
      </c>
      <c r="P901" s="1" t="str">
        <f t="shared" si="42"/>
        <v>Rejected</v>
      </c>
      <c r="Q901" s="1" t="str">
        <f t="shared" si="43"/>
        <v>Low Risk</v>
      </c>
      <c r="R901" s="2">
        <f t="shared" si="44"/>
        <v>3220.5475241932845</v>
      </c>
    </row>
    <row r="902" spans="1:18" s="1" customFormat="1" ht="11.5" x14ac:dyDescent="0.25">
      <c r="A902" s="1" t="s">
        <v>933</v>
      </c>
      <c r="B902" s="1" t="s">
        <v>1238</v>
      </c>
      <c r="C902" s="1" t="s">
        <v>22</v>
      </c>
      <c r="D902" s="1">
        <v>2</v>
      </c>
      <c r="E902" s="1" t="s">
        <v>25</v>
      </c>
      <c r="F902" s="1" t="s">
        <v>22</v>
      </c>
      <c r="G902" s="1">
        <v>15614</v>
      </c>
      <c r="H902" s="1">
        <v>3084</v>
      </c>
      <c r="I902" s="1">
        <v>648</v>
      </c>
      <c r="J902" s="1">
        <v>120</v>
      </c>
      <c r="K902" s="1">
        <v>0</v>
      </c>
      <c r="L902" s="1" t="s">
        <v>41</v>
      </c>
      <c r="M902" s="1">
        <f>Table1[[#This Row],[ApplicantIncome]]+Table1[[#This Row],[CoapplicantIncome]]</f>
        <v>18698</v>
      </c>
      <c r="N902" s="1" t="s">
        <v>26</v>
      </c>
      <c r="O902" s="1" t="str">
        <f>IF(Table1[[#This Row],[Total_Income]]&lt;3000,"Low",IF(Table1[[#This Row],[Total_Income]]&lt;7000,"Medium","High"))</f>
        <v>High</v>
      </c>
      <c r="P902" s="1" t="str">
        <f t="shared" si="42"/>
        <v>Rejected</v>
      </c>
      <c r="Q902" s="1" t="str">
        <f t="shared" si="43"/>
        <v>High Risk</v>
      </c>
      <c r="R902" s="2">
        <f t="shared" si="44"/>
        <v>7862.0281142271288</v>
      </c>
    </row>
    <row r="903" spans="1:18" s="1" customFormat="1" ht="11.5" x14ac:dyDescent="0.25">
      <c r="A903" s="1" t="s">
        <v>934</v>
      </c>
      <c r="B903" s="1" t="s">
        <v>52</v>
      </c>
      <c r="C903" s="1" t="s">
        <v>22</v>
      </c>
      <c r="D903" s="1">
        <v>2</v>
      </c>
      <c r="E903" s="1" t="s">
        <v>25</v>
      </c>
      <c r="F903" s="1" t="s">
        <v>22</v>
      </c>
      <c r="G903" s="1">
        <v>16566</v>
      </c>
      <c r="H903" s="1">
        <v>4162</v>
      </c>
      <c r="I903" s="1">
        <v>680</v>
      </c>
      <c r="J903" s="1">
        <v>120</v>
      </c>
      <c r="K903" s="1">
        <v>1</v>
      </c>
      <c r="L903" s="1" t="s">
        <v>30</v>
      </c>
      <c r="M903" s="1">
        <f>Table1[[#This Row],[ApplicantIncome]]+Table1[[#This Row],[CoapplicantIncome]]</f>
        <v>20728</v>
      </c>
      <c r="N903" s="1" t="s">
        <v>20</v>
      </c>
      <c r="O903" s="1" t="str">
        <f>IF(Table1[[#This Row],[Total_Income]]&lt;3000,"Low",IF(Table1[[#This Row],[Total_Income]]&lt;7000,"Medium","High"))</f>
        <v>High</v>
      </c>
      <c r="P903" s="1" t="str">
        <f t="shared" si="42"/>
        <v>Approved</v>
      </c>
      <c r="Q903" s="1" t="str">
        <f t="shared" si="43"/>
        <v>Low Risk</v>
      </c>
      <c r="R903" s="2">
        <f t="shared" si="44"/>
        <v>8250.2764161642717</v>
      </c>
    </row>
    <row r="904" spans="1:18" s="1" customFormat="1" ht="11.5" x14ac:dyDescent="0.25">
      <c r="A904" s="1" t="s">
        <v>935</v>
      </c>
      <c r="B904" s="1" t="s">
        <v>28</v>
      </c>
      <c r="C904" s="1" t="s">
        <v>22</v>
      </c>
      <c r="D904" s="1">
        <v>0</v>
      </c>
      <c r="E904" s="1" t="s">
        <v>25</v>
      </c>
      <c r="F904" s="1" t="s">
        <v>29</v>
      </c>
      <c r="G904" s="1">
        <v>9450</v>
      </c>
      <c r="H904" s="1">
        <v>1256</v>
      </c>
      <c r="I904" s="1">
        <v>140</v>
      </c>
      <c r="J904" s="1">
        <v>120</v>
      </c>
      <c r="K904" s="1">
        <v>1</v>
      </c>
      <c r="L904" s="1" t="s">
        <v>30</v>
      </c>
      <c r="M904" s="1">
        <f>Table1[[#This Row],[ApplicantIncome]]+Table1[[#This Row],[CoapplicantIncome]]</f>
        <v>10706</v>
      </c>
      <c r="N904" s="1" t="s">
        <v>20</v>
      </c>
      <c r="O904" s="1" t="str">
        <f>IF(Table1[[#This Row],[Total_Income]]&lt;3000,"Low",IF(Table1[[#This Row],[Total_Income]]&lt;7000,"Medium","High"))</f>
        <v>High</v>
      </c>
      <c r="P904" s="1" t="str">
        <f t="shared" si="42"/>
        <v>Approved</v>
      </c>
      <c r="Q904" s="1" t="str">
        <f t="shared" si="43"/>
        <v>Low Risk</v>
      </c>
      <c r="R904" s="2">
        <f t="shared" si="44"/>
        <v>1698.5863209749969</v>
      </c>
    </row>
    <row r="905" spans="1:18" s="1" customFormat="1" ht="11.5" x14ac:dyDescent="0.25">
      <c r="A905" s="1" t="s">
        <v>936</v>
      </c>
      <c r="B905" s="1" t="s">
        <v>28</v>
      </c>
      <c r="C905" s="1" t="s">
        <v>22</v>
      </c>
      <c r="D905" s="1">
        <v>1</v>
      </c>
      <c r="E905" s="1" t="s">
        <v>17</v>
      </c>
      <c r="F905" s="1" t="s">
        <v>22</v>
      </c>
      <c r="G905" s="1">
        <v>10043</v>
      </c>
      <c r="H905" s="1">
        <v>1561</v>
      </c>
      <c r="I905" s="1">
        <v>386</v>
      </c>
      <c r="J905" s="1">
        <v>360</v>
      </c>
      <c r="K905" s="1">
        <v>0</v>
      </c>
      <c r="L905" s="1" t="s">
        <v>30</v>
      </c>
      <c r="M905" s="1">
        <f>Table1[[#This Row],[ApplicantIncome]]+Table1[[#This Row],[CoapplicantIncome]]</f>
        <v>11604</v>
      </c>
      <c r="N905" s="1" t="s">
        <v>20</v>
      </c>
      <c r="O905" s="1" t="str">
        <f>IF(Table1[[#This Row],[Total_Income]]&lt;3000,"Low",IF(Table1[[#This Row],[Total_Income]]&lt;7000,"Medium","High"))</f>
        <v>High</v>
      </c>
      <c r="P905" s="1" t="str">
        <f t="shared" si="42"/>
        <v>Approved</v>
      </c>
      <c r="Q905" s="1" t="str">
        <f t="shared" si="43"/>
        <v>High Risk</v>
      </c>
      <c r="R905" s="2">
        <f t="shared" si="44"/>
        <v>2832.331255174392</v>
      </c>
    </row>
    <row r="906" spans="1:18" s="1" customFormat="1" ht="11.5" x14ac:dyDescent="0.25">
      <c r="A906" s="1" t="s">
        <v>937</v>
      </c>
      <c r="B906" s="1" t="s">
        <v>1238</v>
      </c>
      <c r="C906" s="1" t="s">
        <v>29</v>
      </c>
      <c r="D906" s="1">
        <v>0</v>
      </c>
      <c r="E906" s="1" t="s">
        <v>25</v>
      </c>
      <c r="F906" s="1" t="s">
        <v>22</v>
      </c>
      <c r="G906" s="1">
        <v>11601</v>
      </c>
      <c r="H906" s="1">
        <v>5892</v>
      </c>
      <c r="I906" s="1">
        <v>136</v>
      </c>
      <c r="J906" s="1">
        <v>360</v>
      </c>
      <c r="K906" s="1">
        <v>0</v>
      </c>
      <c r="L906" s="1" t="s">
        <v>41</v>
      </c>
      <c r="M906" s="1">
        <f>Table1[[#This Row],[ApplicantIncome]]+Table1[[#This Row],[CoapplicantIncome]]</f>
        <v>17493</v>
      </c>
      <c r="N906" s="1" t="s">
        <v>20</v>
      </c>
      <c r="O906" s="1" t="str">
        <f>IF(Table1[[#This Row],[Total_Income]]&lt;3000,"Low",IF(Table1[[#This Row],[Total_Income]]&lt;7000,"Medium","High"))</f>
        <v>High</v>
      </c>
      <c r="P906" s="1" t="str">
        <f t="shared" si="42"/>
        <v>Approved</v>
      </c>
      <c r="Q906" s="1" t="str">
        <f t="shared" si="43"/>
        <v>High Risk</v>
      </c>
      <c r="R906" s="2">
        <f t="shared" si="44"/>
        <v>997.91982047595172</v>
      </c>
    </row>
    <row r="907" spans="1:18" s="1" customFormat="1" ht="11.5" x14ac:dyDescent="0.25">
      <c r="A907" s="1" t="s">
        <v>938</v>
      </c>
      <c r="B907" s="1" t="s">
        <v>28</v>
      </c>
      <c r="C907" s="1" t="s">
        <v>22</v>
      </c>
      <c r="D907" s="1" t="s">
        <v>16</v>
      </c>
      <c r="E907" s="1" t="s">
        <v>17</v>
      </c>
      <c r="F907" s="1" t="s">
        <v>29</v>
      </c>
      <c r="G907" s="1">
        <v>11501</v>
      </c>
      <c r="H907" s="1">
        <v>5824</v>
      </c>
      <c r="I907" s="1">
        <v>368</v>
      </c>
      <c r="J907" s="1">
        <v>360</v>
      </c>
      <c r="K907" s="1">
        <v>0</v>
      </c>
      <c r="L907" s="1" t="s">
        <v>30</v>
      </c>
      <c r="M907" s="1">
        <f>Table1[[#This Row],[ApplicantIncome]]+Table1[[#This Row],[CoapplicantIncome]]</f>
        <v>17325</v>
      </c>
      <c r="N907" s="1" t="s">
        <v>26</v>
      </c>
      <c r="O907" s="1" t="str">
        <f>IF(Table1[[#This Row],[Total_Income]]&lt;3000,"Low",IF(Table1[[#This Row],[Total_Income]]&lt;7000,"Medium","High"))</f>
        <v>High</v>
      </c>
      <c r="P907" s="1" t="str">
        <f t="shared" si="42"/>
        <v>Rejected</v>
      </c>
      <c r="Q907" s="1" t="str">
        <f t="shared" si="43"/>
        <v>High Risk</v>
      </c>
      <c r="R907" s="2">
        <f t="shared" si="44"/>
        <v>2700.253631876104</v>
      </c>
    </row>
    <row r="908" spans="1:18" s="1" customFormat="1" ht="11.5" x14ac:dyDescent="0.25">
      <c r="A908" s="1" t="s">
        <v>939</v>
      </c>
      <c r="B908" s="1" t="s">
        <v>1238</v>
      </c>
      <c r="C908" s="1" t="s">
        <v>29</v>
      </c>
      <c r="D908" s="1">
        <v>1</v>
      </c>
      <c r="E908" s="1" t="s">
        <v>25</v>
      </c>
      <c r="F908" s="1" t="s">
        <v>22</v>
      </c>
      <c r="G908" s="1">
        <v>12315</v>
      </c>
      <c r="H908" s="1">
        <v>5627</v>
      </c>
      <c r="I908" s="1">
        <v>670</v>
      </c>
      <c r="J908" s="1">
        <v>360</v>
      </c>
      <c r="K908" s="1">
        <v>0</v>
      </c>
      <c r="L908" s="1" t="s">
        <v>19</v>
      </c>
      <c r="M908" s="1">
        <f>Table1[[#This Row],[ApplicantIncome]]+Table1[[#This Row],[CoapplicantIncome]]</f>
        <v>17942</v>
      </c>
      <c r="N908" s="1" t="s">
        <v>20</v>
      </c>
      <c r="O908" s="1" t="str">
        <f>IF(Table1[[#This Row],[Total_Income]]&lt;3000,"Low",IF(Table1[[#This Row],[Total_Income]]&lt;7000,"Medium","High"))</f>
        <v>High</v>
      </c>
      <c r="P908" s="1" t="str">
        <f t="shared" si="42"/>
        <v>Approved</v>
      </c>
      <c r="Q908" s="1" t="str">
        <f t="shared" si="43"/>
        <v>High Risk</v>
      </c>
      <c r="R908" s="2">
        <f t="shared" si="44"/>
        <v>4916.2226449918207</v>
      </c>
    </row>
    <row r="909" spans="1:18" s="1" customFormat="1" ht="11.5" x14ac:dyDescent="0.25">
      <c r="A909" s="1" t="s">
        <v>940</v>
      </c>
      <c r="B909" s="1" t="s">
        <v>28</v>
      </c>
      <c r="C909" s="1" t="s">
        <v>22</v>
      </c>
      <c r="D909" s="1">
        <v>2</v>
      </c>
      <c r="E909" s="1" t="s">
        <v>17</v>
      </c>
      <c r="F909" s="1" t="s">
        <v>22</v>
      </c>
      <c r="G909" s="1">
        <v>16911</v>
      </c>
      <c r="H909" s="1">
        <v>8177</v>
      </c>
      <c r="I909" s="1">
        <v>651</v>
      </c>
      <c r="J909" s="1">
        <v>120</v>
      </c>
      <c r="K909" s="1">
        <v>0</v>
      </c>
      <c r="L909" s="1" t="s">
        <v>30</v>
      </c>
      <c r="M909" s="1">
        <f>Table1[[#This Row],[ApplicantIncome]]+Table1[[#This Row],[CoapplicantIncome]]</f>
        <v>25088</v>
      </c>
      <c r="N909" s="1" t="s">
        <v>20</v>
      </c>
      <c r="O909" s="1" t="str">
        <f>IF(Table1[[#This Row],[Total_Income]]&lt;3000,"Low",IF(Table1[[#This Row],[Total_Income]]&lt;7000,"Medium","High"))</f>
        <v>High</v>
      </c>
      <c r="P909" s="1" t="str">
        <f t="shared" si="42"/>
        <v>Approved</v>
      </c>
      <c r="Q909" s="1" t="str">
        <f t="shared" si="43"/>
        <v>High Risk</v>
      </c>
      <c r="R909" s="2">
        <f t="shared" si="44"/>
        <v>7898.4263925337364</v>
      </c>
    </row>
    <row r="910" spans="1:18" s="1" customFormat="1" ht="11.5" x14ac:dyDescent="0.25">
      <c r="A910" s="1" t="s">
        <v>941</v>
      </c>
      <c r="B910" s="1" t="s">
        <v>52</v>
      </c>
      <c r="C910" s="1" t="s">
        <v>22</v>
      </c>
      <c r="D910" s="1">
        <v>1</v>
      </c>
      <c r="E910" s="1" t="s">
        <v>17</v>
      </c>
      <c r="F910" s="1" t="s">
        <v>22</v>
      </c>
      <c r="G910" s="1">
        <v>6092</v>
      </c>
      <c r="H910" s="1">
        <v>9276</v>
      </c>
      <c r="I910" s="1">
        <v>479</v>
      </c>
      <c r="J910" s="1">
        <v>360</v>
      </c>
      <c r="K910" s="1">
        <v>0</v>
      </c>
      <c r="L910" s="1" t="s">
        <v>41</v>
      </c>
      <c r="M910" s="1">
        <f>Table1[[#This Row],[ApplicantIncome]]+Table1[[#This Row],[CoapplicantIncome]]</f>
        <v>15368</v>
      </c>
      <c r="N910" s="1" t="s">
        <v>20</v>
      </c>
      <c r="O910" s="1" t="str">
        <f>IF(Table1[[#This Row],[Total_Income]]&lt;3000,"Low",IF(Table1[[#This Row],[Total_Income]]&lt;7000,"Medium","High"))</f>
        <v>High</v>
      </c>
      <c r="P910" s="1" t="str">
        <f t="shared" si="42"/>
        <v>Approved</v>
      </c>
      <c r="Q910" s="1" t="str">
        <f t="shared" si="43"/>
        <v>High Risk</v>
      </c>
      <c r="R910" s="2">
        <f t="shared" si="44"/>
        <v>3514.7323088822122</v>
      </c>
    </row>
    <row r="911" spans="1:18" s="1" customFormat="1" ht="11.5" x14ac:dyDescent="0.25">
      <c r="A911" s="1" t="s">
        <v>942</v>
      </c>
      <c r="B911" s="1" t="s">
        <v>28</v>
      </c>
      <c r="C911" s="1" t="s">
        <v>22</v>
      </c>
      <c r="D911" s="1">
        <v>1</v>
      </c>
      <c r="E911" s="1" t="s">
        <v>17</v>
      </c>
      <c r="F911" s="1" t="s">
        <v>22</v>
      </c>
      <c r="G911" s="1">
        <v>7237</v>
      </c>
      <c r="H911" s="1">
        <v>5508</v>
      </c>
      <c r="I911" s="1">
        <v>215</v>
      </c>
      <c r="J911" s="1">
        <v>360</v>
      </c>
      <c r="K911" s="1">
        <v>0</v>
      </c>
      <c r="L911" s="1" t="s">
        <v>19</v>
      </c>
      <c r="M911" s="1">
        <f>Table1[[#This Row],[ApplicantIncome]]+Table1[[#This Row],[CoapplicantIncome]]</f>
        <v>12745</v>
      </c>
      <c r="N911" s="1" t="s">
        <v>20</v>
      </c>
      <c r="O911" s="1" t="str">
        <f>IF(Table1[[#This Row],[Total_Income]]&lt;3000,"Low",IF(Table1[[#This Row],[Total_Income]]&lt;7000,"Medium","High"))</f>
        <v>High</v>
      </c>
      <c r="P911" s="1" t="str">
        <f t="shared" si="42"/>
        <v>Approved</v>
      </c>
      <c r="Q911" s="1" t="str">
        <f t="shared" si="43"/>
        <v>High Risk</v>
      </c>
      <c r="R911" s="2">
        <f t="shared" si="44"/>
        <v>1577.5938338406588</v>
      </c>
    </row>
    <row r="912" spans="1:18" s="1" customFormat="1" ht="11.5" x14ac:dyDescent="0.25">
      <c r="A912" s="1" t="s">
        <v>943</v>
      </c>
      <c r="B912" s="1" t="s">
        <v>28</v>
      </c>
      <c r="C912" s="1" t="s">
        <v>29</v>
      </c>
      <c r="D912" s="1">
        <v>0</v>
      </c>
      <c r="E912" s="1" t="s">
        <v>17</v>
      </c>
      <c r="F912" s="1" t="s">
        <v>22</v>
      </c>
      <c r="G912" s="1">
        <v>14710</v>
      </c>
      <c r="H912" s="1">
        <v>2960</v>
      </c>
      <c r="I912" s="1">
        <v>174</v>
      </c>
      <c r="J912" s="1">
        <v>120</v>
      </c>
      <c r="K912" s="1">
        <v>0</v>
      </c>
      <c r="L912" s="1" t="s">
        <v>41</v>
      </c>
      <c r="M912" s="1">
        <f>Table1[[#This Row],[ApplicantIncome]]+Table1[[#This Row],[CoapplicantIncome]]</f>
        <v>17670</v>
      </c>
      <c r="N912" s="1" t="s">
        <v>26</v>
      </c>
      <c r="O912" s="1" t="str">
        <f>IF(Table1[[#This Row],[Total_Income]]&lt;3000,"Low",IF(Table1[[#This Row],[Total_Income]]&lt;7000,"Medium","High"))</f>
        <v>High</v>
      </c>
      <c r="P912" s="1" t="str">
        <f t="shared" si="42"/>
        <v>Rejected</v>
      </c>
      <c r="Q912" s="1" t="str">
        <f t="shared" si="43"/>
        <v>High Risk</v>
      </c>
      <c r="R912" s="2">
        <f t="shared" si="44"/>
        <v>2111.1001417832103</v>
      </c>
    </row>
    <row r="913" spans="1:18" s="1" customFormat="1" ht="11.5" x14ac:dyDescent="0.25">
      <c r="A913" s="1" t="s">
        <v>944</v>
      </c>
      <c r="B913" s="1" t="s">
        <v>52</v>
      </c>
      <c r="C913" s="1" t="s">
        <v>22</v>
      </c>
      <c r="D913" s="1">
        <v>0</v>
      </c>
      <c r="E913" s="1" t="s">
        <v>17</v>
      </c>
      <c r="F913" s="1" t="s">
        <v>22</v>
      </c>
      <c r="G913" s="1">
        <v>17141</v>
      </c>
      <c r="H913" s="1">
        <v>2135</v>
      </c>
      <c r="I913" s="1">
        <v>508</v>
      </c>
      <c r="J913" s="1">
        <v>120</v>
      </c>
      <c r="K913" s="1">
        <v>1</v>
      </c>
      <c r="L913" s="1" t="s">
        <v>30</v>
      </c>
      <c r="M913" s="1">
        <f>Table1[[#This Row],[ApplicantIncome]]+Table1[[#This Row],[CoapplicantIncome]]</f>
        <v>19276</v>
      </c>
      <c r="N913" s="1" t="s">
        <v>26</v>
      </c>
      <c r="O913" s="1" t="str">
        <f>IF(Table1[[#This Row],[Total_Income]]&lt;3000,"Low",IF(Table1[[#This Row],[Total_Income]]&lt;7000,"Medium","High"))</f>
        <v>High</v>
      </c>
      <c r="P913" s="1" t="str">
        <f t="shared" si="42"/>
        <v>Rejected</v>
      </c>
      <c r="Q913" s="1" t="str">
        <f t="shared" si="43"/>
        <v>Low Risk</v>
      </c>
      <c r="R913" s="2">
        <f t="shared" si="44"/>
        <v>6163.4417932521319</v>
      </c>
    </row>
    <row r="914" spans="1:18" s="1" customFormat="1" ht="11.5" x14ac:dyDescent="0.25">
      <c r="A914" s="1" t="s">
        <v>945</v>
      </c>
      <c r="B914" s="1" t="s">
        <v>28</v>
      </c>
      <c r="C914" s="1" t="s">
        <v>22</v>
      </c>
      <c r="D914" s="1">
        <v>1</v>
      </c>
      <c r="E914" s="1" t="s">
        <v>17</v>
      </c>
      <c r="F914" s="1" t="s">
        <v>22</v>
      </c>
      <c r="G914" s="1">
        <v>2977</v>
      </c>
      <c r="H914" s="1">
        <v>7978</v>
      </c>
      <c r="I914" s="1">
        <v>692</v>
      </c>
      <c r="J914" s="1">
        <v>360</v>
      </c>
      <c r="K914" s="1">
        <v>1</v>
      </c>
      <c r="L914" s="1" t="s">
        <v>41</v>
      </c>
      <c r="M914" s="1">
        <f>Table1[[#This Row],[ApplicantIncome]]+Table1[[#This Row],[CoapplicantIncome]]</f>
        <v>10955</v>
      </c>
      <c r="N914" s="1" t="s">
        <v>20</v>
      </c>
      <c r="O914" s="1" t="str">
        <f>IF(Table1[[#This Row],[Total_Income]]&lt;3000,"Low",IF(Table1[[#This Row],[Total_Income]]&lt;7000,"Medium","High"))</f>
        <v>High</v>
      </c>
      <c r="P914" s="1" t="str">
        <f t="shared" si="42"/>
        <v>Approved</v>
      </c>
      <c r="Q914" s="1" t="str">
        <f t="shared" si="43"/>
        <v>Low Risk</v>
      </c>
      <c r="R914" s="2">
        <f t="shared" si="44"/>
        <v>5077.6508512452829</v>
      </c>
    </row>
    <row r="915" spans="1:18" s="1" customFormat="1" ht="11.5" x14ac:dyDescent="0.25">
      <c r="A915" s="1" t="s">
        <v>946</v>
      </c>
      <c r="B915" s="1" t="s">
        <v>52</v>
      </c>
      <c r="C915" s="1" t="s">
        <v>22</v>
      </c>
      <c r="D915" s="1" t="s">
        <v>16</v>
      </c>
      <c r="E915" s="1" t="s">
        <v>17</v>
      </c>
      <c r="F915" s="1" t="s">
        <v>22</v>
      </c>
      <c r="G915" s="1">
        <v>14579</v>
      </c>
      <c r="H915" s="1">
        <v>9225</v>
      </c>
      <c r="I915" s="1">
        <v>227</v>
      </c>
      <c r="J915" s="1">
        <v>180</v>
      </c>
      <c r="K915" s="1">
        <v>0</v>
      </c>
      <c r="L915" s="1" t="s">
        <v>19</v>
      </c>
      <c r="M915" s="1">
        <f>Table1[[#This Row],[ApplicantIncome]]+Table1[[#This Row],[CoapplicantIncome]]</f>
        <v>23804</v>
      </c>
      <c r="N915" s="1" t="s">
        <v>26</v>
      </c>
      <c r="O915" s="1" t="str">
        <f>IF(Table1[[#This Row],[Total_Income]]&lt;3000,"Low",IF(Table1[[#This Row],[Total_Income]]&lt;7000,"Medium","High"))</f>
        <v>High</v>
      </c>
      <c r="P915" s="1" t="str">
        <f t="shared" si="42"/>
        <v>Rejected</v>
      </c>
      <c r="Q915" s="1" t="str">
        <f t="shared" si="43"/>
        <v>High Risk</v>
      </c>
      <c r="R915" s="2">
        <f t="shared" si="44"/>
        <v>2169.3302314298976</v>
      </c>
    </row>
    <row r="916" spans="1:18" s="1" customFormat="1" ht="11.5" x14ac:dyDescent="0.25">
      <c r="A916" s="1" t="s">
        <v>947</v>
      </c>
      <c r="B916" s="1" t="s">
        <v>52</v>
      </c>
      <c r="C916" s="1" t="s">
        <v>22</v>
      </c>
      <c r="D916" s="1" t="s">
        <v>16</v>
      </c>
      <c r="E916" s="1" t="s">
        <v>17</v>
      </c>
      <c r="F916" s="1" t="s">
        <v>22</v>
      </c>
      <c r="G916" s="1">
        <v>13199</v>
      </c>
      <c r="H916" s="1">
        <v>4064</v>
      </c>
      <c r="I916" s="1">
        <v>528</v>
      </c>
      <c r="J916" s="1">
        <v>360</v>
      </c>
      <c r="K916" s="1">
        <v>0</v>
      </c>
      <c r="L916" s="1" t="s">
        <v>41</v>
      </c>
      <c r="M916" s="1">
        <f>Table1[[#This Row],[ApplicantIncome]]+Table1[[#This Row],[CoapplicantIncome]]</f>
        <v>17263</v>
      </c>
      <c r="N916" s="1" t="s">
        <v>26</v>
      </c>
      <c r="O916" s="1" t="str">
        <f>IF(Table1[[#This Row],[Total_Income]]&lt;3000,"Low",IF(Table1[[#This Row],[Total_Income]]&lt;7000,"Medium","High"))</f>
        <v>High</v>
      </c>
      <c r="P916" s="1" t="str">
        <f t="shared" si="42"/>
        <v>Rejected</v>
      </c>
      <c r="Q916" s="1" t="str">
        <f t="shared" si="43"/>
        <v>High Risk</v>
      </c>
      <c r="R916" s="2">
        <f t="shared" si="44"/>
        <v>3874.2769500831068</v>
      </c>
    </row>
    <row r="917" spans="1:18" s="1" customFormat="1" ht="11.5" x14ac:dyDescent="0.25">
      <c r="A917" s="1" t="s">
        <v>948</v>
      </c>
      <c r="B917" s="1" t="s">
        <v>1238</v>
      </c>
      <c r="C917" s="1" t="s">
        <v>22</v>
      </c>
      <c r="D917" s="1">
        <v>2</v>
      </c>
      <c r="E917" s="1" t="s">
        <v>17</v>
      </c>
      <c r="F917" s="1" t="s">
        <v>22</v>
      </c>
      <c r="G917" s="1">
        <v>16286</v>
      </c>
      <c r="H917" s="1">
        <v>8162</v>
      </c>
      <c r="I917" s="1">
        <v>342</v>
      </c>
      <c r="J917" s="1">
        <v>360</v>
      </c>
      <c r="K917" s="1">
        <v>0</v>
      </c>
      <c r="L917" s="1" t="s">
        <v>19</v>
      </c>
      <c r="M917" s="1">
        <f>Table1[[#This Row],[ApplicantIncome]]+Table1[[#This Row],[CoapplicantIncome]]</f>
        <v>24448</v>
      </c>
      <c r="N917" s="1" t="s">
        <v>20</v>
      </c>
      <c r="O917" s="1" t="str">
        <f>IF(Table1[[#This Row],[Total_Income]]&lt;3000,"Low",IF(Table1[[#This Row],[Total_Income]]&lt;7000,"Medium","High"))</f>
        <v>High</v>
      </c>
      <c r="P917" s="1" t="str">
        <f t="shared" si="42"/>
        <v>Approved</v>
      </c>
      <c r="Q917" s="1" t="str">
        <f t="shared" si="43"/>
        <v>High Risk</v>
      </c>
      <c r="R917" s="2">
        <f t="shared" si="44"/>
        <v>2509.4748426674664</v>
      </c>
    </row>
    <row r="918" spans="1:18" s="1" customFormat="1" ht="11.5" x14ac:dyDescent="0.25">
      <c r="A918" s="1" t="s">
        <v>949</v>
      </c>
      <c r="B918" s="1" t="s">
        <v>28</v>
      </c>
      <c r="C918" s="1" t="s">
        <v>22</v>
      </c>
      <c r="D918" s="1">
        <v>0</v>
      </c>
      <c r="E918" s="1" t="s">
        <v>25</v>
      </c>
      <c r="F918" s="1" t="s">
        <v>22</v>
      </c>
      <c r="G918" s="1">
        <v>18496</v>
      </c>
      <c r="H918" s="1">
        <v>3273</v>
      </c>
      <c r="I918" s="1">
        <v>204</v>
      </c>
      <c r="J918" s="1">
        <v>180</v>
      </c>
      <c r="K918" s="1">
        <v>1</v>
      </c>
      <c r="L918" s="1" t="s">
        <v>19</v>
      </c>
      <c r="M918" s="1">
        <f>Table1[[#This Row],[ApplicantIncome]]+Table1[[#This Row],[CoapplicantIncome]]</f>
        <v>21769</v>
      </c>
      <c r="N918" s="1" t="s">
        <v>20</v>
      </c>
      <c r="O918" s="1" t="str">
        <f>IF(Table1[[#This Row],[Total_Income]]&lt;3000,"Low",IF(Table1[[#This Row],[Total_Income]]&lt;7000,"Medium","High"))</f>
        <v>High</v>
      </c>
      <c r="P918" s="1" t="str">
        <f t="shared" si="42"/>
        <v>Approved</v>
      </c>
      <c r="Q918" s="1" t="str">
        <f t="shared" si="43"/>
        <v>Low Risk</v>
      </c>
      <c r="R918" s="2">
        <f t="shared" si="44"/>
        <v>1949.5302520339169</v>
      </c>
    </row>
    <row r="919" spans="1:18" s="1" customFormat="1" ht="11.5" x14ac:dyDescent="0.25">
      <c r="A919" s="1" t="s">
        <v>950</v>
      </c>
      <c r="B919" s="1" t="s">
        <v>28</v>
      </c>
      <c r="C919" s="1" t="s">
        <v>22</v>
      </c>
      <c r="D919" s="1" t="s">
        <v>16</v>
      </c>
      <c r="E919" s="1" t="s">
        <v>25</v>
      </c>
      <c r="F919" s="1" t="s">
        <v>29</v>
      </c>
      <c r="G919" s="1">
        <v>13215</v>
      </c>
      <c r="H919" s="1">
        <v>2973</v>
      </c>
      <c r="I919" s="1">
        <v>61</v>
      </c>
      <c r="J919" s="1">
        <v>180</v>
      </c>
      <c r="K919" s="1">
        <v>0</v>
      </c>
      <c r="L919" s="1" t="s">
        <v>41</v>
      </c>
      <c r="M919" s="1">
        <f>Table1[[#This Row],[ApplicantIncome]]+Table1[[#This Row],[CoapplicantIncome]]</f>
        <v>16188</v>
      </c>
      <c r="N919" s="1" t="s">
        <v>26</v>
      </c>
      <c r="O919" s="1" t="str">
        <f>IF(Table1[[#This Row],[Total_Income]]&lt;3000,"Low",IF(Table1[[#This Row],[Total_Income]]&lt;7000,"Medium","High"))</f>
        <v>High</v>
      </c>
      <c r="P919" s="1" t="str">
        <f t="shared" si="42"/>
        <v>Rejected</v>
      </c>
      <c r="Q919" s="1" t="str">
        <f t="shared" si="43"/>
        <v>High Risk</v>
      </c>
      <c r="R919" s="2">
        <f t="shared" si="44"/>
        <v>582.94777144151442</v>
      </c>
    </row>
    <row r="920" spans="1:18" s="1" customFormat="1" ht="11.5" x14ac:dyDescent="0.25">
      <c r="A920" s="1" t="s">
        <v>951</v>
      </c>
      <c r="B920" s="1" t="s">
        <v>52</v>
      </c>
      <c r="C920" s="1" t="s">
        <v>22</v>
      </c>
      <c r="D920" s="1">
        <v>1</v>
      </c>
      <c r="E920" s="1" t="s">
        <v>17</v>
      </c>
      <c r="F920" s="1" t="s">
        <v>22</v>
      </c>
      <c r="G920" s="1">
        <v>2013</v>
      </c>
      <c r="H920" s="1">
        <v>3028</v>
      </c>
      <c r="I920" s="1">
        <v>613</v>
      </c>
      <c r="J920" s="1">
        <v>360</v>
      </c>
      <c r="K920" s="1">
        <v>0</v>
      </c>
      <c r="L920" s="1" t="s">
        <v>30</v>
      </c>
      <c r="M920" s="1">
        <f>Table1[[#This Row],[ApplicantIncome]]+Table1[[#This Row],[CoapplicantIncome]]</f>
        <v>5041</v>
      </c>
      <c r="N920" s="1" t="s">
        <v>26</v>
      </c>
      <c r="O920" s="1" t="str">
        <f>IF(Table1[[#This Row],[Total_Income]]&lt;3000,"Low",IF(Table1[[#This Row],[Total_Income]]&lt;7000,"Medium","High"))</f>
        <v>Medium</v>
      </c>
      <c r="P920" s="1" t="str">
        <f t="shared" si="42"/>
        <v>Rejected</v>
      </c>
      <c r="Q920" s="1" t="str">
        <f t="shared" si="43"/>
        <v>High Risk</v>
      </c>
      <c r="R920" s="2">
        <f t="shared" si="44"/>
        <v>4497.9768378805757</v>
      </c>
    </row>
    <row r="921" spans="1:18" s="1" customFormat="1" ht="11.5" x14ac:dyDescent="0.25">
      <c r="A921" s="1" t="s">
        <v>952</v>
      </c>
      <c r="B921" s="1" t="s">
        <v>28</v>
      </c>
      <c r="C921" s="1" t="s">
        <v>22</v>
      </c>
      <c r="D921" s="1">
        <v>2</v>
      </c>
      <c r="E921" s="1" t="s">
        <v>25</v>
      </c>
      <c r="F921" s="1" t="s">
        <v>22</v>
      </c>
      <c r="G921" s="1">
        <v>4186</v>
      </c>
      <c r="H921" s="1">
        <v>9857</v>
      </c>
      <c r="I921" s="1">
        <v>464</v>
      </c>
      <c r="J921" s="1">
        <v>360</v>
      </c>
      <c r="K921" s="1">
        <v>1</v>
      </c>
      <c r="L921" s="1" t="s">
        <v>41</v>
      </c>
      <c r="M921" s="1">
        <f>Table1[[#This Row],[ApplicantIncome]]+Table1[[#This Row],[CoapplicantIncome]]</f>
        <v>14043</v>
      </c>
      <c r="N921" s="1" t="s">
        <v>20</v>
      </c>
      <c r="O921" s="1" t="str">
        <f>IF(Table1[[#This Row],[Total_Income]]&lt;3000,"Low",IF(Table1[[#This Row],[Total_Income]]&lt;7000,"Medium","High"))</f>
        <v>High</v>
      </c>
      <c r="P921" s="1" t="str">
        <f t="shared" si="42"/>
        <v>Approved</v>
      </c>
      <c r="Q921" s="1" t="str">
        <f t="shared" si="43"/>
        <v>Low Risk</v>
      </c>
      <c r="R921" s="2">
        <f t="shared" si="44"/>
        <v>3404.6676228003053</v>
      </c>
    </row>
    <row r="922" spans="1:18" s="1" customFormat="1" ht="11.5" x14ac:dyDescent="0.25">
      <c r="A922" s="1" t="s">
        <v>953</v>
      </c>
      <c r="B922" s="1" t="s">
        <v>1238</v>
      </c>
      <c r="C922" s="1" t="s">
        <v>29</v>
      </c>
      <c r="D922" s="1">
        <v>0</v>
      </c>
      <c r="E922" s="1" t="s">
        <v>17</v>
      </c>
      <c r="F922" s="1" t="s">
        <v>22</v>
      </c>
      <c r="G922" s="1">
        <v>2169</v>
      </c>
      <c r="H922" s="1">
        <v>2087</v>
      </c>
      <c r="I922" s="1">
        <v>75</v>
      </c>
      <c r="J922" s="1">
        <v>180</v>
      </c>
      <c r="K922" s="1">
        <v>0</v>
      </c>
      <c r="L922" s="1" t="s">
        <v>30</v>
      </c>
      <c r="M922" s="1">
        <f>Table1[[#This Row],[ApplicantIncome]]+Table1[[#This Row],[CoapplicantIncome]]</f>
        <v>4256</v>
      </c>
      <c r="N922" s="1" t="s">
        <v>26</v>
      </c>
      <c r="O922" s="1" t="str">
        <f>IF(Table1[[#This Row],[Total_Income]]&lt;3000,"Low",IF(Table1[[#This Row],[Total_Income]]&lt;7000,"Medium","High"))</f>
        <v>Medium</v>
      </c>
      <c r="P922" s="1" t="str">
        <f t="shared" si="42"/>
        <v>Rejected</v>
      </c>
      <c r="Q922" s="1" t="str">
        <f t="shared" si="43"/>
        <v>High Risk</v>
      </c>
      <c r="R922" s="2">
        <f t="shared" si="44"/>
        <v>716.73906324776362</v>
      </c>
    </row>
    <row r="923" spans="1:18" s="1" customFormat="1" ht="11.5" x14ac:dyDescent="0.25">
      <c r="A923" s="1" t="s">
        <v>954</v>
      </c>
      <c r="B923" s="1" t="s">
        <v>52</v>
      </c>
      <c r="C923" s="1" t="s">
        <v>29</v>
      </c>
      <c r="D923" s="1">
        <v>2</v>
      </c>
      <c r="E923" s="1" t="s">
        <v>17</v>
      </c>
      <c r="F923" s="1" t="s">
        <v>22</v>
      </c>
      <c r="G923" s="1">
        <v>1993</v>
      </c>
      <c r="H923" s="1">
        <v>8783</v>
      </c>
      <c r="I923" s="1">
        <v>293</v>
      </c>
      <c r="J923" s="1">
        <v>360</v>
      </c>
      <c r="K923" s="1">
        <v>0</v>
      </c>
      <c r="L923" s="1" t="s">
        <v>41</v>
      </c>
      <c r="M923" s="1">
        <f>Table1[[#This Row],[ApplicantIncome]]+Table1[[#This Row],[CoapplicantIncome]]</f>
        <v>10776</v>
      </c>
      <c r="N923" s="1" t="s">
        <v>26</v>
      </c>
      <c r="O923" s="1" t="str">
        <f>IF(Table1[[#This Row],[Total_Income]]&lt;3000,"Low",IF(Table1[[#This Row],[Total_Income]]&lt;7000,"Medium","High"))</f>
        <v>High</v>
      </c>
      <c r="P923" s="1" t="str">
        <f t="shared" si="42"/>
        <v>Rejected</v>
      </c>
      <c r="Q923" s="1" t="str">
        <f t="shared" si="43"/>
        <v>High Risk</v>
      </c>
      <c r="R923" s="2">
        <f t="shared" si="44"/>
        <v>2149.9302014665723</v>
      </c>
    </row>
    <row r="924" spans="1:18" s="1" customFormat="1" ht="11.5" x14ac:dyDescent="0.25">
      <c r="A924" s="1" t="s">
        <v>955</v>
      </c>
      <c r="B924" s="1" t="s">
        <v>28</v>
      </c>
      <c r="C924" s="1" t="s">
        <v>22</v>
      </c>
      <c r="D924" s="1">
        <v>0</v>
      </c>
      <c r="E924" s="1" t="s">
        <v>17</v>
      </c>
      <c r="F924" s="1" t="s">
        <v>22</v>
      </c>
      <c r="G924" s="1">
        <v>18715</v>
      </c>
      <c r="H924" s="1">
        <v>4259</v>
      </c>
      <c r="I924" s="1">
        <v>146</v>
      </c>
      <c r="J924" s="1">
        <v>180</v>
      </c>
      <c r="K924" s="1">
        <v>0</v>
      </c>
      <c r="L924" s="1" t="s">
        <v>41</v>
      </c>
      <c r="M924" s="1">
        <f>Table1[[#This Row],[ApplicantIncome]]+Table1[[#This Row],[CoapplicantIncome]]</f>
        <v>22974</v>
      </c>
      <c r="N924" s="1" t="s">
        <v>26</v>
      </c>
      <c r="O924" s="1" t="str">
        <f>IF(Table1[[#This Row],[Total_Income]]&lt;3000,"Low",IF(Table1[[#This Row],[Total_Income]]&lt;7000,"Medium","High"))</f>
        <v>High</v>
      </c>
      <c r="P924" s="1" t="str">
        <f t="shared" si="42"/>
        <v>Rejected</v>
      </c>
      <c r="Q924" s="1" t="str">
        <f t="shared" si="43"/>
        <v>High Risk</v>
      </c>
      <c r="R924" s="2">
        <f t="shared" si="44"/>
        <v>1395.2520431223131</v>
      </c>
    </row>
    <row r="925" spans="1:18" s="1" customFormat="1" ht="11.5" x14ac:dyDescent="0.25">
      <c r="A925" s="1" t="s">
        <v>956</v>
      </c>
      <c r="B925" s="1" t="s">
        <v>28</v>
      </c>
      <c r="C925" s="1" t="s">
        <v>22</v>
      </c>
      <c r="D925" s="1">
        <v>2</v>
      </c>
      <c r="E925" s="1" t="s">
        <v>25</v>
      </c>
      <c r="F925" s="1" t="s">
        <v>22</v>
      </c>
      <c r="G925" s="1">
        <v>4490</v>
      </c>
      <c r="H925" s="1">
        <v>7219</v>
      </c>
      <c r="I925" s="1">
        <v>277</v>
      </c>
      <c r="J925" s="1">
        <v>120</v>
      </c>
      <c r="K925" s="1">
        <v>0</v>
      </c>
      <c r="L925" s="1" t="s">
        <v>19</v>
      </c>
      <c r="M925" s="1">
        <f>Table1[[#This Row],[ApplicantIncome]]+Table1[[#This Row],[CoapplicantIncome]]</f>
        <v>11709</v>
      </c>
      <c r="N925" s="1" t="s">
        <v>26</v>
      </c>
      <c r="O925" s="1" t="str">
        <f>IF(Table1[[#This Row],[Total_Income]]&lt;3000,"Low",IF(Table1[[#This Row],[Total_Income]]&lt;7000,"Medium","High"))</f>
        <v>High</v>
      </c>
      <c r="P925" s="1" t="str">
        <f t="shared" si="42"/>
        <v>Rejected</v>
      </c>
      <c r="Q925" s="1" t="str">
        <f t="shared" si="43"/>
        <v>High Risk</v>
      </c>
      <c r="R925" s="2">
        <f t="shared" si="44"/>
        <v>3360.7743636433866</v>
      </c>
    </row>
    <row r="926" spans="1:18" s="1" customFormat="1" ht="11.5" x14ac:dyDescent="0.25">
      <c r="A926" s="1" t="s">
        <v>957</v>
      </c>
      <c r="B926" s="1" t="s">
        <v>28</v>
      </c>
      <c r="C926" s="1" t="s">
        <v>22</v>
      </c>
      <c r="D926" s="1">
        <v>0</v>
      </c>
      <c r="E926" s="1" t="s">
        <v>17</v>
      </c>
      <c r="F926" s="1" t="s">
        <v>22</v>
      </c>
      <c r="G926" s="1">
        <v>9377</v>
      </c>
      <c r="H926" s="1">
        <v>5438</v>
      </c>
      <c r="I926" s="1">
        <v>263</v>
      </c>
      <c r="J926" s="1">
        <v>360</v>
      </c>
      <c r="K926" s="1">
        <v>1</v>
      </c>
      <c r="L926" s="1" t="s">
        <v>41</v>
      </c>
      <c r="M926" s="1">
        <f>Table1[[#This Row],[ApplicantIncome]]+Table1[[#This Row],[CoapplicantIncome]]</f>
        <v>14815</v>
      </c>
      <c r="N926" s="1" t="s">
        <v>20</v>
      </c>
      <c r="O926" s="1" t="str">
        <f>IF(Table1[[#This Row],[Total_Income]]&lt;3000,"Low",IF(Table1[[#This Row],[Total_Income]]&lt;7000,"Medium","High"))</f>
        <v>High</v>
      </c>
      <c r="P926" s="1" t="str">
        <f t="shared" si="42"/>
        <v>Approved</v>
      </c>
      <c r="Q926" s="1" t="str">
        <f t="shared" si="43"/>
        <v>Low Risk</v>
      </c>
      <c r="R926" s="2">
        <f t="shared" si="44"/>
        <v>1929.8008293027594</v>
      </c>
    </row>
    <row r="927" spans="1:18" s="1" customFormat="1" ht="11.5" x14ac:dyDescent="0.25">
      <c r="A927" s="1" t="s">
        <v>958</v>
      </c>
      <c r="B927" s="1" t="s">
        <v>52</v>
      </c>
      <c r="C927" s="1" t="s">
        <v>22</v>
      </c>
      <c r="D927" s="1">
        <v>1</v>
      </c>
      <c r="E927" s="1" t="s">
        <v>17</v>
      </c>
      <c r="F927" s="1" t="s">
        <v>22</v>
      </c>
      <c r="G927" s="1">
        <v>15106</v>
      </c>
      <c r="H927" s="1">
        <v>8052</v>
      </c>
      <c r="I927" s="1">
        <v>524</v>
      </c>
      <c r="J927" s="1">
        <v>120</v>
      </c>
      <c r="K927" s="1">
        <v>0</v>
      </c>
      <c r="L927" s="1" t="s">
        <v>30</v>
      </c>
      <c r="M927" s="1">
        <f>Table1[[#This Row],[ApplicantIncome]]+Table1[[#This Row],[CoapplicantIncome]]</f>
        <v>23158</v>
      </c>
      <c r="N927" s="1" t="s">
        <v>20</v>
      </c>
      <c r="O927" s="1" t="str">
        <f>IF(Table1[[#This Row],[Total_Income]]&lt;3000,"Low",IF(Table1[[#This Row],[Total_Income]]&lt;7000,"Medium","High"))</f>
        <v>High</v>
      </c>
      <c r="P927" s="1" t="str">
        <f t="shared" si="42"/>
        <v>Approved</v>
      </c>
      <c r="Q927" s="1" t="str">
        <f t="shared" si="43"/>
        <v>High Risk</v>
      </c>
      <c r="R927" s="2">
        <f t="shared" si="44"/>
        <v>6357.5659442207025</v>
      </c>
    </row>
    <row r="928" spans="1:18" s="1" customFormat="1" ht="11.5" x14ac:dyDescent="0.25">
      <c r="A928" s="1" t="s">
        <v>959</v>
      </c>
      <c r="B928" s="1" t="s">
        <v>28</v>
      </c>
      <c r="C928" s="1" t="s">
        <v>22</v>
      </c>
      <c r="D928" s="1">
        <v>1</v>
      </c>
      <c r="E928" s="1" t="s">
        <v>25</v>
      </c>
      <c r="F928" s="1" t="s">
        <v>22</v>
      </c>
      <c r="G928" s="1">
        <v>3057</v>
      </c>
      <c r="H928" s="1">
        <v>2726</v>
      </c>
      <c r="I928" s="1">
        <v>621</v>
      </c>
      <c r="J928" s="1">
        <v>360</v>
      </c>
      <c r="K928" s="1">
        <v>0</v>
      </c>
      <c r="L928" s="1" t="s">
        <v>30</v>
      </c>
      <c r="M928" s="1">
        <f>Table1[[#This Row],[ApplicantIncome]]+Table1[[#This Row],[CoapplicantIncome]]</f>
        <v>5783</v>
      </c>
      <c r="N928" s="1" t="s">
        <v>20</v>
      </c>
      <c r="O928" s="1" t="str">
        <f>IF(Table1[[#This Row],[Total_Income]]&lt;3000,"Low",IF(Table1[[#This Row],[Total_Income]]&lt;7000,"Medium","High"))</f>
        <v>Medium</v>
      </c>
      <c r="P928" s="1" t="str">
        <f t="shared" si="42"/>
        <v>Approved</v>
      </c>
      <c r="Q928" s="1" t="str">
        <f t="shared" si="43"/>
        <v>High Risk</v>
      </c>
      <c r="R928" s="2">
        <f t="shared" si="44"/>
        <v>4556.6780037909257</v>
      </c>
    </row>
    <row r="929" spans="1:18" s="1" customFormat="1" ht="11.5" x14ac:dyDescent="0.25">
      <c r="A929" s="1" t="s">
        <v>960</v>
      </c>
      <c r="B929" s="1" t="s">
        <v>52</v>
      </c>
      <c r="C929" s="1" t="s">
        <v>29</v>
      </c>
      <c r="D929" s="1">
        <v>1</v>
      </c>
      <c r="E929" s="1" t="s">
        <v>25</v>
      </c>
      <c r="F929" s="1" t="s">
        <v>22</v>
      </c>
      <c r="G929" s="1">
        <v>9458</v>
      </c>
      <c r="H929" s="1">
        <v>9554</v>
      </c>
      <c r="I929" s="1">
        <v>663</v>
      </c>
      <c r="J929" s="1">
        <v>360</v>
      </c>
      <c r="K929" s="1">
        <v>0</v>
      </c>
      <c r="L929" s="1" t="s">
        <v>19</v>
      </c>
      <c r="M929" s="1">
        <f>Table1[[#This Row],[ApplicantIncome]]+Table1[[#This Row],[CoapplicantIncome]]</f>
        <v>19012</v>
      </c>
      <c r="N929" s="1" t="s">
        <v>20</v>
      </c>
      <c r="O929" s="1" t="str">
        <f>IF(Table1[[#This Row],[Total_Income]]&lt;3000,"Low",IF(Table1[[#This Row],[Total_Income]]&lt;7000,"Medium","High"))</f>
        <v>High</v>
      </c>
      <c r="P929" s="1" t="str">
        <f t="shared" si="42"/>
        <v>Approved</v>
      </c>
      <c r="Q929" s="1" t="str">
        <f t="shared" si="43"/>
        <v>High Risk</v>
      </c>
      <c r="R929" s="2">
        <f t="shared" si="44"/>
        <v>4864.8591248202647</v>
      </c>
    </row>
    <row r="930" spans="1:18" s="1" customFormat="1" ht="11.5" x14ac:dyDescent="0.25">
      <c r="A930" s="1" t="s">
        <v>961</v>
      </c>
      <c r="B930" s="1" t="s">
        <v>28</v>
      </c>
      <c r="C930" s="1" t="s">
        <v>22</v>
      </c>
      <c r="D930" s="1">
        <v>2</v>
      </c>
      <c r="E930" s="1" t="s">
        <v>25</v>
      </c>
      <c r="F930" s="1" t="s">
        <v>29</v>
      </c>
      <c r="G930" s="1">
        <v>7889</v>
      </c>
      <c r="H930" s="1">
        <v>442</v>
      </c>
      <c r="I930" s="1">
        <v>638</v>
      </c>
      <c r="J930" s="1">
        <v>360</v>
      </c>
      <c r="K930" s="1">
        <v>0</v>
      </c>
      <c r="L930" s="1" t="s">
        <v>30</v>
      </c>
      <c r="M930" s="1">
        <f>Table1[[#This Row],[ApplicantIncome]]+Table1[[#This Row],[CoapplicantIncome]]</f>
        <v>8331</v>
      </c>
      <c r="N930" s="1" t="s">
        <v>20</v>
      </c>
      <c r="O930" s="1" t="str">
        <f>IF(Table1[[#This Row],[Total_Income]]&lt;3000,"Low",IF(Table1[[#This Row],[Total_Income]]&lt;7000,"Medium","High"))</f>
        <v>High</v>
      </c>
      <c r="P930" s="1" t="str">
        <f t="shared" si="42"/>
        <v>Approved</v>
      </c>
      <c r="Q930" s="1" t="str">
        <f t="shared" si="43"/>
        <v>High Risk</v>
      </c>
      <c r="R930" s="2">
        <f t="shared" si="44"/>
        <v>4681.4179813504197</v>
      </c>
    </row>
    <row r="931" spans="1:18" s="1" customFormat="1" ht="11.5" x14ac:dyDescent="0.25">
      <c r="A931" s="1" t="s">
        <v>962</v>
      </c>
      <c r="B931" s="1" t="s">
        <v>1238</v>
      </c>
      <c r="C931" s="1" t="s">
        <v>22</v>
      </c>
      <c r="D931" s="1">
        <v>1</v>
      </c>
      <c r="E931" s="1" t="s">
        <v>25</v>
      </c>
      <c r="F931" s="1" t="s">
        <v>22</v>
      </c>
      <c r="G931" s="1">
        <v>14153</v>
      </c>
      <c r="H931" s="1">
        <v>9540</v>
      </c>
      <c r="I931" s="1">
        <v>383</v>
      </c>
      <c r="J931" s="1">
        <v>360</v>
      </c>
      <c r="K931" s="1">
        <v>0</v>
      </c>
      <c r="L931" s="1" t="s">
        <v>30</v>
      </c>
      <c r="M931" s="1">
        <f>Table1[[#This Row],[ApplicantIncome]]+Table1[[#This Row],[CoapplicantIncome]]</f>
        <v>23693</v>
      </c>
      <c r="N931" s="1" t="s">
        <v>26</v>
      </c>
      <c r="O931" s="1" t="str">
        <f>IF(Table1[[#This Row],[Total_Income]]&lt;3000,"Low",IF(Table1[[#This Row],[Total_Income]]&lt;7000,"Medium","High"))</f>
        <v>High</v>
      </c>
      <c r="P931" s="1" t="str">
        <f t="shared" si="42"/>
        <v>Rejected</v>
      </c>
      <c r="Q931" s="1" t="str">
        <f t="shared" si="43"/>
        <v>High Risk</v>
      </c>
      <c r="R931" s="2">
        <f t="shared" si="44"/>
        <v>2810.318317958011</v>
      </c>
    </row>
    <row r="932" spans="1:18" s="1" customFormat="1" ht="11.5" x14ac:dyDescent="0.25">
      <c r="A932" s="1" t="s">
        <v>963</v>
      </c>
      <c r="B932" s="1" t="s">
        <v>52</v>
      </c>
      <c r="C932" s="1" t="s">
        <v>29</v>
      </c>
      <c r="D932" s="1">
        <v>2</v>
      </c>
      <c r="E932" s="1" t="s">
        <v>17</v>
      </c>
      <c r="F932" s="1" t="s">
        <v>29</v>
      </c>
      <c r="G932" s="1">
        <v>6894</v>
      </c>
      <c r="H932" s="1">
        <v>1682</v>
      </c>
      <c r="I932" s="1">
        <v>696</v>
      </c>
      <c r="J932" s="1">
        <v>180</v>
      </c>
      <c r="K932" s="1">
        <v>0</v>
      </c>
      <c r="L932" s="1" t="s">
        <v>41</v>
      </c>
      <c r="M932" s="1">
        <f>Table1[[#This Row],[ApplicantIncome]]+Table1[[#This Row],[CoapplicantIncome]]</f>
        <v>8576</v>
      </c>
      <c r="N932" s="1" t="s">
        <v>26</v>
      </c>
      <c r="O932" s="1" t="str">
        <f>IF(Table1[[#This Row],[Total_Income]]&lt;3000,"Low",IF(Table1[[#This Row],[Total_Income]]&lt;7000,"Medium","High"))</f>
        <v>High</v>
      </c>
      <c r="P932" s="1" t="str">
        <f t="shared" si="42"/>
        <v>Rejected</v>
      </c>
      <c r="Q932" s="1" t="str">
        <f t="shared" si="43"/>
        <v>High Risk</v>
      </c>
      <c r="R932" s="2">
        <f t="shared" si="44"/>
        <v>6651.3385069392461</v>
      </c>
    </row>
    <row r="933" spans="1:18" s="1" customFormat="1" ht="11.5" x14ac:dyDescent="0.25">
      <c r="A933" s="1" t="s">
        <v>964</v>
      </c>
      <c r="B933" s="1" t="s">
        <v>28</v>
      </c>
      <c r="C933" s="1" t="s">
        <v>22</v>
      </c>
      <c r="D933" s="1">
        <v>2</v>
      </c>
      <c r="E933" s="1" t="s">
        <v>25</v>
      </c>
      <c r="F933" s="1" t="s">
        <v>29</v>
      </c>
      <c r="G933" s="1">
        <v>1848</v>
      </c>
      <c r="H933" s="1">
        <v>9836</v>
      </c>
      <c r="I933" s="1">
        <v>469</v>
      </c>
      <c r="J933" s="1">
        <v>120</v>
      </c>
      <c r="K933" s="1">
        <v>0</v>
      </c>
      <c r="L933" s="1" t="s">
        <v>30</v>
      </c>
      <c r="M933" s="1">
        <f>Table1[[#This Row],[ApplicantIncome]]+Table1[[#This Row],[CoapplicantIncome]]</f>
        <v>11684</v>
      </c>
      <c r="N933" s="1" t="s">
        <v>20</v>
      </c>
      <c r="O933" s="1" t="str">
        <f>IF(Table1[[#This Row],[Total_Income]]&lt;3000,"Low",IF(Table1[[#This Row],[Total_Income]]&lt;7000,"Medium","High"))</f>
        <v>High</v>
      </c>
      <c r="P933" s="1" t="str">
        <f t="shared" si="42"/>
        <v>Approved</v>
      </c>
      <c r="Q933" s="1" t="str">
        <f t="shared" si="43"/>
        <v>High Risk</v>
      </c>
      <c r="R933" s="2">
        <f t="shared" si="44"/>
        <v>5690.2641752662394</v>
      </c>
    </row>
    <row r="934" spans="1:18" s="1" customFormat="1" ht="11.5" x14ac:dyDescent="0.25">
      <c r="A934" s="1" t="s">
        <v>965</v>
      </c>
      <c r="B934" s="1" t="s">
        <v>28</v>
      </c>
      <c r="C934" s="1" t="s">
        <v>29</v>
      </c>
      <c r="D934" s="1" t="s">
        <v>16</v>
      </c>
      <c r="E934" s="1" t="s">
        <v>17</v>
      </c>
      <c r="F934" s="1" t="s">
        <v>22</v>
      </c>
      <c r="G934" s="1">
        <v>7981</v>
      </c>
      <c r="H934" s="1">
        <v>5386</v>
      </c>
      <c r="I934" s="1">
        <v>120</v>
      </c>
      <c r="J934" s="1">
        <v>120</v>
      </c>
      <c r="K934" s="1">
        <v>1</v>
      </c>
      <c r="L934" s="1" t="s">
        <v>30</v>
      </c>
      <c r="M934" s="1">
        <f>Table1[[#This Row],[ApplicantIncome]]+Table1[[#This Row],[CoapplicantIncome]]</f>
        <v>13367</v>
      </c>
      <c r="N934" s="1" t="s">
        <v>20</v>
      </c>
      <c r="O934" s="1" t="str">
        <f>IF(Table1[[#This Row],[Total_Income]]&lt;3000,"Low",IF(Table1[[#This Row],[Total_Income]]&lt;7000,"Medium","High"))</f>
        <v>High</v>
      </c>
      <c r="P934" s="1" t="str">
        <f t="shared" si="42"/>
        <v>Approved</v>
      </c>
      <c r="Q934" s="1" t="str">
        <f t="shared" si="43"/>
        <v>Low Risk</v>
      </c>
      <c r="R934" s="2">
        <f t="shared" si="44"/>
        <v>1455.9311322642832</v>
      </c>
    </row>
    <row r="935" spans="1:18" s="1" customFormat="1" ht="11.5" x14ac:dyDescent="0.25">
      <c r="A935" s="1" t="s">
        <v>966</v>
      </c>
      <c r="B935" s="1" t="s">
        <v>28</v>
      </c>
      <c r="C935" s="1" t="s">
        <v>22</v>
      </c>
      <c r="D935" s="1">
        <v>0</v>
      </c>
      <c r="E935" s="1" t="s">
        <v>17</v>
      </c>
      <c r="F935" s="1" t="s">
        <v>22</v>
      </c>
      <c r="G935" s="1">
        <v>12414</v>
      </c>
      <c r="H935" s="1">
        <v>8156</v>
      </c>
      <c r="I935" s="1">
        <v>226</v>
      </c>
      <c r="J935" s="1">
        <v>180</v>
      </c>
      <c r="K935" s="1">
        <v>0</v>
      </c>
      <c r="L935" s="1" t="s">
        <v>41</v>
      </c>
      <c r="M935" s="1">
        <f>Table1[[#This Row],[ApplicantIncome]]+Table1[[#This Row],[CoapplicantIncome]]</f>
        <v>20570</v>
      </c>
      <c r="N935" s="1" t="s">
        <v>20</v>
      </c>
      <c r="O935" s="1" t="str">
        <f>IF(Table1[[#This Row],[Total_Income]]&lt;3000,"Low",IF(Table1[[#This Row],[Total_Income]]&lt;7000,"Medium","High"))</f>
        <v>High</v>
      </c>
      <c r="P935" s="1" t="str">
        <f t="shared" si="42"/>
        <v>Approved</v>
      </c>
      <c r="Q935" s="1" t="str">
        <f t="shared" si="43"/>
        <v>High Risk</v>
      </c>
      <c r="R935" s="2">
        <f t="shared" si="44"/>
        <v>2159.773710586594</v>
      </c>
    </row>
    <row r="936" spans="1:18" s="1" customFormat="1" ht="11.5" x14ac:dyDescent="0.25">
      <c r="A936" s="1" t="s">
        <v>967</v>
      </c>
      <c r="B936" s="1" t="s">
        <v>1238</v>
      </c>
      <c r="C936" s="1" t="s">
        <v>29</v>
      </c>
      <c r="D936" s="1">
        <v>1</v>
      </c>
      <c r="E936" s="1" t="s">
        <v>17</v>
      </c>
      <c r="F936" s="1" t="s">
        <v>29</v>
      </c>
      <c r="G936" s="1">
        <v>13178</v>
      </c>
      <c r="H936" s="1">
        <v>2134</v>
      </c>
      <c r="I936" s="1">
        <v>271</v>
      </c>
      <c r="J936" s="1">
        <v>360</v>
      </c>
      <c r="K936" s="1">
        <v>0</v>
      </c>
      <c r="L936" s="1" t="s">
        <v>30</v>
      </c>
      <c r="M936" s="1">
        <f>Table1[[#This Row],[ApplicantIncome]]+Table1[[#This Row],[CoapplicantIncome]]</f>
        <v>15312</v>
      </c>
      <c r="N936" s="1" t="s">
        <v>26</v>
      </c>
      <c r="O936" s="1" t="str">
        <f>IF(Table1[[#This Row],[Total_Income]]&lt;3000,"Low",IF(Table1[[#This Row],[Total_Income]]&lt;7000,"Medium","High"))</f>
        <v>High</v>
      </c>
      <c r="P936" s="1" t="str">
        <f t="shared" si="42"/>
        <v>Rejected</v>
      </c>
      <c r="Q936" s="1" t="str">
        <f t="shared" si="43"/>
        <v>High Risk</v>
      </c>
      <c r="R936" s="2">
        <f t="shared" si="44"/>
        <v>1988.5019952131095</v>
      </c>
    </row>
    <row r="937" spans="1:18" s="1" customFormat="1" ht="11.5" x14ac:dyDescent="0.25">
      <c r="A937" s="1" t="s">
        <v>968</v>
      </c>
      <c r="B937" s="1" t="s">
        <v>52</v>
      </c>
      <c r="C937" s="1" t="s">
        <v>22</v>
      </c>
      <c r="D937" s="1" t="s">
        <v>16</v>
      </c>
      <c r="E937" s="1" t="s">
        <v>25</v>
      </c>
      <c r="F937" s="1" t="s">
        <v>29</v>
      </c>
      <c r="G937" s="1">
        <v>9971</v>
      </c>
      <c r="H937" s="1">
        <v>9767</v>
      </c>
      <c r="I937" s="1">
        <v>437</v>
      </c>
      <c r="J937" s="1">
        <v>120</v>
      </c>
      <c r="K937" s="1">
        <v>0</v>
      </c>
      <c r="L937" s="1" t="s">
        <v>30</v>
      </c>
      <c r="M937" s="1">
        <f>Table1[[#This Row],[ApplicantIncome]]+Table1[[#This Row],[CoapplicantIncome]]</f>
        <v>19738</v>
      </c>
      <c r="N937" s="1" t="s">
        <v>20</v>
      </c>
      <c r="O937" s="1" t="str">
        <f>IF(Table1[[#This Row],[Total_Income]]&lt;3000,"Low",IF(Table1[[#This Row],[Total_Income]]&lt;7000,"Medium","High"))</f>
        <v>High</v>
      </c>
      <c r="P937" s="1" t="str">
        <f t="shared" si="42"/>
        <v>Approved</v>
      </c>
      <c r="Q937" s="1" t="str">
        <f t="shared" si="43"/>
        <v>High Risk</v>
      </c>
      <c r="R937" s="2">
        <f t="shared" si="44"/>
        <v>5302.0158733290973</v>
      </c>
    </row>
    <row r="938" spans="1:18" s="1" customFormat="1" ht="11.5" x14ac:dyDescent="0.25">
      <c r="A938" s="1" t="s">
        <v>969</v>
      </c>
      <c r="B938" s="1" t="s">
        <v>52</v>
      </c>
      <c r="C938" s="1" t="s">
        <v>22</v>
      </c>
      <c r="D938" s="1">
        <v>2</v>
      </c>
      <c r="E938" s="1" t="s">
        <v>17</v>
      </c>
      <c r="F938" s="1" t="s">
        <v>22</v>
      </c>
      <c r="G938" s="1">
        <v>7883</v>
      </c>
      <c r="H938" s="1">
        <v>8916</v>
      </c>
      <c r="I938" s="1">
        <v>277</v>
      </c>
      <c r="J938" s="1">
        <v>180</v>
      </c>
      <c r="K938" s="1">
        <v>1</v>
      </c>
      <c r="L938" s="1" t="s">
        <v>30</v>
      </c>
      <c r="M938" s="1">
        <f>Table1[[#This Row],[ApplicantIncome]]+Table1[[#This Row],[CoapplicantIncome]]</f>
        <v>16799</v>
      </c>
      <c r="N938" s="1" t="s">
        <v>26</v>
      </c>
      <c r="O938" s="1" t="str">
        <f>IF(Table1[[#This Row],[Total_Income]]&lt;3000,"Low",IF(Table1[[#This Row],[Total_Income]]&lt;7000,"Medium","High"))</f>
        <v>High</v>
      </c>
      <c r="P938" s="1" t="str">
        <f t="shared" si="42"/>
        <v>Rejected</v>
      </c>
      <c r="Q938" s="1" t="str">
        <f t="shared" si="43"/>
        <v>Low Risk</v>
      </c>
      <c r="R938" s="2">
        <f t="shared" si="44"/>
        <v>2647.1562735950733</v>
      </c>
    </row>
    <row r="939" spans="1:18" s="1" customFormat="1" ht="11.5" x14ac:dyDescent="0.25">
      <c r="A939" s="1" t="s">
        <v>970</v>
      </c>
      <c r="B939" s="1" t="s">
        <v>52</v>
      </c>
      <c r="C939" s="1" t="s">
        <v>22</v>
      </c>
      <c r="D939" s="1">
        <v>1</v>
      </c>
      <c r="E939" s="1" t="s">
        <v>17</v>
      </c>
      <c r="F939" s="1" t="s">
        <v>22</v>
      </c>
      <c r="G939" s="1">
        <v>15491</v>
      </c>
      <c r="H939" s="1">
        <v>5617</v>
      </c>
      <c r="I939" s="1">
        <v>192</v>
      </c>
      <c r="J939" s="1">
        <v>180</v>
      </c>
      <c r="K939" s="1">
        <v>1</v>
      </c>
      <c r="L939" s="1" t="s">
        <v>30</v>
      </c>
      <c r="M939" s="1">
        <f>Table1[[#This Row],[ApplicantIncome]]+Table1[[#This Row],[CoapplicantIncome]]</f>
        <v>21108</v>
      </c>
      <c r="N939" s="1" t="s">
        <v>20</v>
      </c>
      <c r="O939" s="1" t="str">
        <f>IF(Table1[[#This Row],[Total_Income]]&lt;3000,"Low",IF(Table1[[#This Row],[Total_Income]]&lt;7000,"Medium","High"))</f>
        <v>High</v>
      </c>
      <c r="P939" s="1" t="str">
        <f t="shared" si="42"/>
        <v>Approved</v>
      </c>
      <c r="Q939" s="1" t="str">
        <f t="shared" si="43"/>
        <v>Low Risk</v>
      </c>
      <c r="R939" s="2">
        <f t="shared" si="44"/>
        <v>1834.8520019142745</v>
      </c>
    </row>
    <row r="940" spans="1:18" s="1" customFormat="1" ht="11.5" x14ac:dyDescent="0.25">
      <c r="A940" s="1" t="s">
        <v>971</v>
      </c>
      <c r="B940" s="1" t="s">
        <v>52</v>
      </c>
      <c r="C940" s="1" t="s">
        <v>22</v>
      </c>
      <c r="D940" s="1">
        <v>1</v>
      </c>
      <c r="E940" s="1" t="s">
        <v>25</v>
      </c>
      <c r="F940" s="1" t="s">
        <v>22</v>
      </c>
      <c r="G940" s="1">
        <v>6369</v>
      </c>
      <c r="H940" s="1">
        <v>9658</v>
      </c>
      <c r="I940" s="1">
        <v>106</v>
      </c>
      <c r="J940" s="1">
        <v>180</v>
      </c>
      <c r="K940" s="1">
        <v>0</v>
      </c>
      <c r="L940" s="1" t="s">
        <v>19</v>
      </c>
      <c r="M940" s="1">
        <f>Table1[[#This Row],[ApplicantIncome]]+Table1[[#This Row],[CoapplicantIncome]]</f>
        <v>16027</v>
      </c>
      <c r="N940" s="1" t="s">
        <v>20</v>
      </c>
      <c r="O940" s="1" t="str">
        <f>IF(Table1[[#This Row],[Total_Income]]&lt;3000,"Low",IF(Table1[[#This Row],[Total_Income]]&lt;7000,"Medium","High"))</f>
        <v>High</v>
      </c>
      <c r="P940" s="1" t="str">
        <f t="shared" si="42"/>
        <v>Approved</v>
      </c>
      <c r="Q940" s="1" t="str">
        <f t="shared" si="43"/>
        <v>High Risk</v>
      </c>
      <c r="R940" s="2">
        <f t="shared" si="44"/>
        <v>1012.9912093901726</v>
      </c>
    </row>
    <row r="941" spans="1:18" s="1" customFormat="1" ht="11.5" x14ac:dyDescent="0.25">
      <c r="A941" s="1" t="s">
        <v>972</v>
      </c>
      <c r="B941" s="1" t="s">
        <v>28</v>
      </c>
      <c r="C941" s="1" t="s">
        <v>29</v>
      </c>
      <c r="D941" s="1" t="s">
        <v>16</v>
      </c>
      <c r="E941" s="1" t="s">
        <v>25</v>
      </c>
      <c r="F941" s="1" t="s">
        <v>29</v>
      </c>
      <c r="G941" s="1">
        <v>19815</v>
      </c>
      <c r="H941" s="1">
        <v>7306</v>
      </c>
      <c r="I941" s="1">
        <v>107</v>
      </c>
      <c r="J941" s="1">
        <v>360</v>
      </c>
      <c r="K941" s="1">
        <v>1</v>
      </c>
      <c r="L941" s="1" t="s">
        <v>19</v>
      </c>
      <c r="M941" s="1">
        <f>Table1[[#This Row],[ApplicantIncome]]+Table1[[#This Row],[CoapplicantIncome]]</f>
        <v>27121</v>
      </c>
      <c r="N941" s="1" t="s">
        <v>26</v>
      </c>
      <c r="O941" s="1" t="str">
        <f>IF(Table1[[#This Row],[Total_Income]]&lt;3000,"Low",IF(Table1[[#This Row],[Total_Income]]&lt;7000,"Medium","High"))</f>
        <v>High</v>
      </c>
      <c r="P941" s="1" t="str">
        <f t="shared" si="42"/>
        <v>Rejected</v>
      </c>
      <c r="Q941" s="1" t="str">
        <f t="shared" si="43"/>
        <v>Low Risk</v>
      </c>
      <c r="R941" s="2">
        <f t="shared" si="44"/>
        <v>785.12809405093253</v>
      </c>
    </row>
    <row r="942" spans="1:18" s="1" customFormat="1" ht="11.5" x14ac:dyDescent="0.25">
      <c r="A942" s="1" t="s">
        <v>973</v>
      </c>
      <c r="B942" s="1" t="s">
        <v>1238</v>
      </c>
      <c r="C942" s="1" t="s">
        <v>22</v>
      </c>
      <c r="D942" s="1" t="s">
        <v>16</v>
      </c>
      <c r="E942" s="1" t="s">
        <v>25</v>
      </c>
      <c r="F942" s="1" t="s">
        <v>22</v>
      </c>
      <c r="G942" s="1">
        <v>17675</v>
      </c>
      <c r="H942" s="1">
        <v>1295</v>
      </c>
      <c r="I942" s="1">
        <v>283</v>
      </c>
      <c r="J942" s="1">
        <v>360</v>
      </c>
      <c r="K942" s="1">
        <v>1</v>
      </c>
      <c r="L942" s="1" t="s">
        <v>30</v>
      </c>
      <c r="M942" s="1">
        <f>Table1[[#This Row],[ApplicantIncome]]+Table1[[#This Row],[CoapplicantIncome]]</f>
        <v>18970</v>
      </c>
      <c r="N942" s="1" t="s">
        <v>20</v>
      </c>
      <c r="O942" s="1" t="str">
        <f>IF(Table1[[#This Row],[Total_Income]]&lt;3000,"Low",IF(Table1[[#This Row],[Total_Income]]&lt;7000,"Medium","High"))</f>
        <v>High</v>
      </c>
      <c r="P942" s="1" t="str">
        <f t="shared" si="42"/>
        <v>Approved</v>
      </c>
      <c r="Q942" s="1" t="str">
        <f t="shared" si="43"/>
        <v>Low Risk</v>
      </c>
      <c r="R942" s="2">
        <f t="shared" si="44"/>
        <v>2076.5537440786347</v>
      </c>
    </row>
    <row r="943" spans="1:18" s="1" customFormat="1" ht="11.5" x14ac:dyDescent="0.25">
      <c r="A943" s="1" t="s">
        <v>974</v>
      </c>
      <c r="B943" s="1" t="s">
        <v>1238</v>
      </c>
      <c r="C943" s="1" t="s">
        <v>22</v>
      </c>
      <c r="D943" s="1">
        <v>1</v>
      </c>
      <c r="E943" s="1" t="s">
        <v>25</v>
      </c>
      <c r="F943" s="1" t="s">
        <v>22</v>
      </c>
      <c r="G943" s="1">
        <v>16062</v>
      </c>
      <c r="H943" s="1">
        <v>7841</v>
      </c>
      <c r="I943" s="1">
        <v>340</v>
      </c>
      <c r="J943" s="1">
        <v>360</v>
      </c>
      <c r="K943" s="1">
        <v>0</v>
      </c>
      <c r="L943" s="1" t="s">
        <v>19</v>
      </c>
      <c r="M943" s="1">
        <f>Table1[[#This Row],[ApplicantIncome]]+Table1[[#This Row],[CoapplicantIncome]]</f>
        <v>23903</v>
      </c>
      <c r="N943" s="1" t="s">
        <v>26</v>
      </c>
      <c r="O943" s="1" t="str">
        <f>IF(Table1[[#This Row],[Total_Income]]&lt;3000,"Low",IF(Table1[[#This Row],[Total_Income]]&lt;7000,"Medium","High"))</f>
        <v>High</v>
      </c>
      <c r="P943" s="1" t="str">
        <f t="shared" si="42"/>
        <v>Rejected</v>
      </c>
      <c r="Q943" s="1" t="str">
        <f t="shared" si="43"/>
        <v>High Risk</v>
      </c>
      <c r="R943" s="2">
        <f t="shared" si="44"/>
        <v>2494.7995511898794</v>
      </c>
    </row>
    <row r="944" spans="1:18" s="1" customFormat="1" ht="11.5" x14ac:dyDescent="0.25">
      <c r="A944" s="1" t="s">
        <v>975</v>
      </c>
      <c r="B944" s="1" t="s">
        <v>52</v>
      </c>
      <c r="C944" s="1" t="s">
        <v>22</v>
      </c>
      <c r="D944" s="1">
        <v>2</v>
      </c>
      <c r="E944" s="1" t="s">
        <v>25</v>
      </c>
      <c r="F944" s="1" t="s">
        <v>22</v>
      </c>
      <c r="G944" s="1">
        <v>6128</v>
      </c>
      <c r="H944" s="1">
        <v>6300</v>
      </c>
      <c r="I944" s="1">
        <v>395</v>
      </c>
      <c r="J944" s="1">
        <v>360</v>
      </c>
      <c r="K944" s="1">
        <v>1</v>
      </c>
      <c r="L944" s="1" t="s">
        <v>41</v>
      </c>
      <c r="M944" s="1">
        <f>Table1[[#This Row],[ApplicantIncome]]+Table1[[#This Row],[CoapplicantIncome]]</f>
        <v>12428</v>
      </c>
      <c r="N944" s="1" t="s">
        <v>20</v>
      </c>
      <c r="O944" s="1" t="str">
        <f>IF(Table1[[#This Row],[Total_Income]]&lt;3000,"Low",IF(Table1[[#This Row],[Total_Income]]&lt;7000,"Medium","High"))</f>
        <v>High</v>
      </c>
      <c r="P944" s="1" t="str">
        <f t="shared" si="42"/>
        <v>Approved</v>
      </c>
      <c r="Q944" s="1" t="str">
        <f t="shared" si="43"/>
        <v>Low Risk</v>
      </c>
      <c r="R944" s="2">
        <f t="shared" si="44"/>
        <v>2898.3700668235356</v>
      </c>
    </row>
    <row r="945" spans="1:18" s="1" customFormat="1" ht="11.5" x14ac:dyDescent="0.25">
      <c r="A945" s="1" t="s">
        <v>976</v>
      </c>
      <c r="B945" s="1" t="s">
        <v>52</v>
      </c>
      <c r="C945" s="1" t="s">
        <v>22</v>
      </c>
      <c r="D945" s="1">
        <v>1</v>
      </c>
      <c r="E945" s="1" t="s">
        <v>25</v>
      </c>
      <c r="F945" s="1" t="s">
        <v>29</v>
      </c>
      <c r="G945" s="1">
        <v>14230</v>
      </c>
      <c r="H945" s="1">
        <v>9684</v>
      </c>
      <c r="I945" s="1">
        <v>533</v>
      </c>
      <c r="J945" s="1">
        <v>360</v>
      </c>
      <c r="K945" s="1">
        <v>1</v>
      </c>
      <c r="L945" s="1" t="s">
        <v>41</v>
      </c>
      <c r="M945" s="1">
        <f>Table1[[#This Row],[ApplicantIncome]]+Table1[[#This Row],[CoapplicantIncome]]</f>
        <v>23914</v>
      </c>
      <c r="N945" s="1" t="s">
        <v>20</v>
      </c>
      <c r="O945" s="1" t="str">
        <f>IF(Table1[[#This Row],[Total_Income]]&lt;3000,"Low",IF(Table1[[#This Row],[Total_Income]]&lt;7000,"Medium","High"))</f>
        <v>High</v>
      </c>
      <c r="P945" s="1" t="str">
        <f t="shared" si="42"/>
        <v>Approved</v>
      </c>
      <c r="Q945" s="1" t="str">
        <f t="shared" si="43"/>
        <v>Low Risk</v>
      </c>
      <c r="R945" s="2">
        <f t="shared" si="44"/>
        <v>3910.9651787770754</v>
      </c>
    </row>
    <row r="946" spans="1:18" s="1" customFormat="1" ht="11.5" x14ac:dyDescent="0.25">
      <c r="A946" s="1" t="s">
        <v>977</v>
      </c>
      <c r="B946" s="1" t="s">
        <v>1238</v>
      </c>
      <c r="C946" s="1" t="s">
        <v>29</v>
      </c>
      <c r="D946" s="1">
        <v>2</v>
      </c>
      <c r="E946" s="1" t="s">
        <v>17</v>
      </c>
      <c r="F946" s="1" t="s">
        <v>29</v>
      </c>
      <c r="G946" s="1">
        <v>12001</v>
      </c>
      <c r="H946" s="1">
        <v>5435</v>
      </c>
      <c r="I946" s="1">
        <v>351</v>
      </c>
      <c r="J946" s="1">
        <v>360</v>
      </c>
      <c r="K946" s="1">
        <v>0</v>
      </c>
      <c r="L946" s="1" t="s">
        <v>19</v>
      </c>
      <c r="M946" s="1">
        <f>Table1[[#This Row],[ApplicantIncome]]+Table1[[#This Row],[CoapplicantIncome]]</f>
        <v>17436</v>
      </c>
      <c r="N946" s="1" t="s">
        <v>26</v>
      </c>
      <c r="O946" s="1" t="str">
        <f>IF(Table1[[#This Row],[Total_Income]]&lt;3000,"Low",IF(Table1[[#This Row],[Total_Income]]&lt;7000,"Medium","High"))</f>
        <v>High</v>
      </c>
      <c r="P946" s="1" t="str">
        <f t="shared" si="42"/>
        <v>Rejected</v>
      </c>
      <c r="Q946" s="1" t="str">
        <f t="shared" si="43"/>
        <v>High Risk</v>
      </c>
      <c r="R946" s="2">
        <f t="shared" si="44"/>
        <v>2575.5136543166104</v>
      </c>
    </row>
    <row r="947" spans="1:18" s="1" customFormat="1" ht="11.5" x14ac:dyDescent="0.25">
      <c r="A947" s="1" t="s">
        <v>978</v>
      </c>
      <c r="B947" s="1" t="s">
        <v>1238</v>
      </c>
      <c r="C947" s="1" t="s">
        <v>22</v>
      </c>
      <c r="D947" s="1">
        <v>1</v>
      </c>
      <c r="E947" s="1" t="s">
        <v>17</v>
      </c>
      <c r="F947" s="1" t="s">
        <v>22</v>
      </c>
      <c r="G947" s="1">
        <v>7121</v>
      </c>
      <c r="H947" s="1">
        <v>8312</v>
      </c>
      <c r="I947" s="1">
        <v>577</v>
      </c>
      <c r="J947" s="1">
        <v>180</v>
      </c>
      <c r="K947" s="1">
        <v>0</v>
      </c>
      <c r="L947" s="1" t="s">
        <v>41</v>
      </c>
      <c r="M947" s="1">
        <f>Table1[[#This Row],[ApplicantIncome]]+Table1[[#This Row],[CoapplicantIncome]]</f>
        <v>15433</v>
      </c>
      <c r="N947" s="1" t="s">
        <v>20</v>
      </c>
      <c r="O947" s="1" t="str">
        <f>IF(Table1[[#This Row],[Total_Income]]&lt;3000,"Low",IF(Table1[[#This Row],[Total_Income]]&lt;7000,"Medium","High"))</f>
        <v>High</v>
      </c>
      <c r="P947" s="1" t="str">
        <f t="shared" si="42"/>
        <v>Approved</v>
      </c>
      <c r="Q947" s="1" t="str">
        <f t="shared" si="43"/>
        <v>High Risk</v>
      </c>
      <c r="R947" s="2">
        <f t="shared" si="44"/>
        <v>5514.1125265861274</v>
      </c>
    </row>
    <row r="948" spans="1:18" s="1" customFormat="1" ht="11.5" x14ac:dyDescent="0.25">
      <c r="A948" s="1" t="s">
        <v>979</v>
      </c>
      <c r="B948" s="1" t="s">
        <v>1238</v>
      </c>
      <c r="C948" s="1" t="s">
        <v>22</v>
      </c>
      <c r="D948" s="1">
        <v>1</v>
      </c>
      <c r="E948" s="1" t="s">
        <v>25</v>
      </c>
      <c r="F948" s="1" t="s">
        <v>29</v>
      </c>
      <c r="G948" s="1">
        <v>5296</v>
      </c>
      <c r="H948" s="1">
        <v>2335</v>
      </c>
      <c r="I948" s="1">
        <v>339</v>
      </c>
      <c r="J948" s="1">
        <v>360</v>
      </c>
      <c r="K948" s="1">
        <v>0</v>
      </c>
      <c r="L948" s="1" t="s">
        <v>30</v>
      </c>
      <c r="M948" s="1">
        <f>Table1[[#This Row],[ApplicantIncome]]+Table1[[#This Row],[CoapplicantIncome]]</f>
        <v>7631</v>
      </c>
      <c r="N948" s="1" t="s">
        <v>20</v>
      </c>
      <c r="O948" s="1" t="str">
        <f>IF(Table1[[#This Row],[Total_Income]]&lt;3000,"Low",IF(Table1[[#This Row],[Total_Income]]&lt;7000,"Medium","High"))</f>
        <v>High</v>
      </c>
      <c r="P948" s="1" t="str">
        <f t="shared" si="42"/>
        <v>Approved</v>
      </c>
      <c r="Q948" s="1" t="str">
        <f t="shared" si="43"/>
        <v>High Risk</v>
      </c>
      <c r="R948" s="2">
        <f t="shared" si="44"/>
        <v>2487.4619054510854</v>
      </c>
    </row>
    <row r="949" spans="1:18" s="1" customFormat="1" ht="11.5" x14ac:dyDescent="0.25">
      <c r="A949" s="1" t="s">
        <v>980</v>
      </c>
      <c r="B949" s="1" t="s">
        <v>52</v>
      </c>
      <c r="C949" s="1" t="s">
        <v>29</v>
      </c>
      <c r="D949" s="1">
        <v>2</v>
      </c>
      <c r="E949" s="1" t="s">
        <v>17</v>
      </c>
      <c r="F949" s="1" t="s">
        <v>29</v>
      </c>
      <c r="G949" s="1">
        <v>4830</v>
      </c>
      <c r="H949" s="1">
        <v>8063</v>
      </c>
      <c r="I949" s="1">
        <v>655</v>
      </c>
      <c r="J949" s="1">
        <v>180</v>
      </c>
      <c r="K949" s="1">
        <v>0</v>
      </c>
      <c r="L949" s="1" t="s">
        <v>41</v>
      </c>
      <c r="M949" s="1">
        <f>Table1[[#This Row],[ApplicantIncome]]+Table1[[#This Row],[CoapplicantIncome]]</f>
        <v>12893</v>
      </c>
      <c r="N949" s="1" t="s">
        <v>26</v>
      </c>
      <c r="O949" s="1" t="str">
        <f>IF(Table1[[#This Row],[Total_Income]]&lt;3000,"Low",IF(Table1[[#This Row],[Total_Income]]&lt;7000,"Medium","High"))</f>
        <v>High</v>
      </c>
      <c r="P949" s="1" t="str">
        <f t="shared" si="42"/>
        <v>Rejected</v>
      </c>
      <c r="Q949" s="1" t="str">
        <f t="shared" si="43"/>
        <v>High Risk</v>
      </c>
      <c r="R949" s="2">
        <f t="shared" si="44"/>
        <v>6259.5211523638018</v>
      </c>
    </row>
    <row r="950" spans="1:18" s="1" customFormat="1" ht="11.5" x14ac:dyDescent="0.25">
      <c r="A950" s="1" t="s">
        <v>981</v>
      </c>
      <c r="B950" s="1" t="s">
        <v>52</v>
      </c>
      <c r="C950" s="1" t="s">
        <v>22</v>
      </c>
      <c r="D950" s="1" t="s">
        <v>16</v>
      </c>
      <c r="E950" s="1" t="s">
        <v>25</v>
      </c>
      <c r="F950" s="1" t="s">
        <v>29</v>
      </c>
      <c r="G950" s="1">
        <v>9503</v>
      </c>
      <c r="H950" s="1">
        <v>1998</v>
      </c>
      <c r="I950" s="1">
        <v>84</v>
      </c>
      <c r="J950" s="1">
        <v>120</v>
      </c>
      <c r="K950" s="1">
        <v>0</v>
      </c>
      <c r="L950" s="1" t="s">
        <v>41</v>
      </c>
      <c r="M950" s="1">
        <f>Table1[[#This Row],[ApplicantIncome]]+Table1[[#This Row],[CoapplicantIncome]]</f>
        <v>11501</v>
      </c>
      <c r="N950" s="1" t="s">
        <v>20</v>
      </c>
      <c r="O950" s="1" t="str">
        <f>IF(Table1[[#This Row],[Total_Income]]&lt;3000,"Low",IF(Table1[[#This Row],[Total_Income]]&lt;7000,"Medium","High"))</f>
        <v>High</v>
      </c>
      <c r="P950" s="1" t="str">
        <f t="shared" si="42"/>
        <v>Approved</v>
      </c>
      <c r="Q950" s="1" t="str">
        <f t="shared" si="43"/>
        <v>High Risk</v>
      </c>
      <c r="R950" s="2">
        <f t="shared" si="44"/>
        <v>1019.1517925849982</v>
      </c>
    </row>
    <row r="951" spans="1:18" s="1" customFormat="1" ht="11.5" x14ac:dyDescent="0.25">
      <c r="A951" s="1" t="s">
        <v>982</v>
      </c>
      <c r="B951" s="1" t="s">
        <v>1238</v>
      </c>
      <c r="C951" s="1" t="s">
        <v>22</v>
      </c>
      <c r="D951" s="1" t="s">
        <v>16</v>
      </c>
      <c r="E951" s="1" t="s">
        <v>17</v>
      </c>
      <c r="F951" s="1" t="s">
        <v>29</v>
      </c>
      <c r="G951" s="1">
        <v>13305</v>
      </c>
      <c r="H951" s="1">
        <v>7549</v>
      </c>
      <c r="I951" s="1">
        <v>343</v>
      </c>
      <c r="J951" s="1">
        <v>360</v>
      </c>
      <c r="K951" s="1">
        <v>0</v>
      </c>
      <c r="L951" s="1" t="s">
        <v>30</v>
      </c>
      <c r="M951" s="1">
        <f>Table1[[#This Row],[ApplicantIncome]]+Table1[[#This Row],[CoapplicantIncome]]</f>
        <v>20854</v>
      </c>
      <c r="N951" s="1" t="s">
        <v>20</v>
      </c>
      <c r="O951" s="1" t="str">
        <f>IF(Table1[[#This Row],[Total_Income]]&lt;3000,"Low",IF(Table1[[#This Row],[Total_Income]]&lt;7000,"Medium","High"))</f>
        <v>High</v>
      </c>
      <c r="P951" s="1" t="str">
        <f t="shared" si="42"/>
        <v>Approved</v>
      </c>
      <c r="Q951" s="1" t="str">
        <f t="shared" si="43"/>
        <v>High Risk</v>
      </c>
      <c r="R951" s="2">
        <f t="shared" si="44"/>
        <v>2516.8124884062604</v>
      </c>
    </row>
    <row r="952" spans="1:18" s="1" customFormat="1" ht="11.5" x14ac:dyDescent="0.25">
      <c r="A952" s="1" t="s">
        <v>983</v>
      </c>
      <c r="B952" s="1" t="s">
        <v>28</v>
      </c>
      <c r="C952" s="1" t="s">
        <v>22</v>
      </c>
      <c r="D952" s="1" t="s">
        <v>16</v>
      </c>
      <c r="E952" s="1" t="s">
        <v>17</v>
      </c>
      <c r="F952" s="1" t="s">
        <v>22</v>
      </c>
      <c r="G952" s="1">
        <v>2568</v>
      </c>
      <c r="H952" s="1">
        <v>2901</v>
      </c>
      <c r="I952" s="1">
        <v>469</v>
      </c>
      <c r="J952" s="1">
        <v>360</v>
      </c>
      <c r="K952" s="1">
        <v>1</v>
      </c>
      <c r="L952" s="1" t="s">
        <v>30</v>
      </c>
      <c r="M952" s="1">
        <f>Table1[[#This Row],[ApplicantIncome]]+Table1[[#This Row],[CoapplicantIncome]]</f>
        <v>5469</v>
      </c>
      <c r="N952" s="1" t="s">
        <v>20</v>
      </c>
      <c r="O952" s="1" t="str">
        <f>IF(Table1[[#This Row],[Total_Income]]&lt;3000,"Low",IF(Table1[[#This Row],[Total_Income]]&lt;7000,"Medium","High"))</f>
        <v>Medium</v>
      </c>
      <c r="P952" s="1" t="str">
        <f t="shared" si="42"/>
        <v>Approved</v>
      </c>
      <c r="Q952" s="1" t="str">
        <f t="shared" si="43"/>
        <v>Low Risk</v>
      </c>
      <c r="R952" s="2">
        <f t="shared" si="44"/>
        <v>3441.3558514942742</v>
      </c>
    </row>
    <row r="953" spans="1:18" s="1" customFormat="1" ht="11.5" x14ac:dyDescent="0.25">
      <c r="A953" s="1" t="s">
        <v>984</v>
      </c>
      <c r="B953" s="1" t="s">
        <v>52</v>
      </c>
      <c r="C953" s="1" t="s">
        <v>29</v>
      </c>
      <c r="D953" s="1">
        <v>1</v>
      </c>
      <c r="E953" s="1" t="s">
        <v>25</v>
      </c>
      <c r="F953" s="1" t="s">
        <v>22</v>
      </c>
      <c r="G953" s="1">
        <v>12721</v>
      </c>
      <c r="H953" s="1">
        <v>894</v>
      </c>
      <c r="I953" s="1">
        <v>237</v>
      </c>
      <c r="J953" s="1">
        <v>180</v>
      </c>
      <c r="K953" s="1">
        <v>0</v>
      </c>
      <c r="L953" s="1" t="s">
        <v>30</v>
      </c>
      <c r="M953" s="1">
        <f>Table1[[#This Row],[ApplicantIncome]]+Table1[[#This Row],[CoapplicantIncome]]</f>
        <v>13615</v>
      </c>
      <c r="N953" s="1" t="s">
        <v>20</v>
      </c>
      <c r="O953" s="1" t="str">
        <f>IF(Table1[[#This Row],[Total_Income]]&lt;3000,"Low",IF(Table1[[#This Row],[Total_Income]]&lt;7000,"Medium","High"))</f>
        <v>High</v>
      </c>
      <c r="P953" s="1" t="str">
        <f t="shared" si="42"/>
        <v>Approved</v>
      </c>
      <c r="Q953" s="1" t="str">
        <f t="shared" si="43"/>
        <v>High Risk</v>
      </c>
      <c r="R953" s="2">
        <f t="shared" si="44"/>
        <v>2264.895439862933</v>
      </c>
    </row>
    <row r="954" spans="1:18" s="1" customFormat="1" ht="11.5" x14ac:dyDescent="0.25">
      <c r="A954" s="1" t="s">
        <v>985</v>
      </c>
      <c r="B954" s="1" t="s">
        <v>52</v>
      </c>
      <c r="C954" s="1" t="s">
        <v>22</v>
      </c>
      <c r="D954" s="1">
        <v>2</v>
      </c>
      <c r="E954" s="1" t="s">
        <v>17</v>
      </c>
      <c r="F954" s="1" t="s">
        <v>22</v>
      </c>
      <c r="G954" s="1">
        <v>16431</v>
      </c>
      <c r="H954" s="1">
        <v>2726</v>
      </c>
      <c r="I954" s="1">
        <v>146</v>
      </c>
      <c r="J954" s="1">
        <v>360</v>
      </c>
      <c r="K954" s="1">
        <v>0</v>
      </c>
      <c r="L954" s="1" t="s">
        <v>19</v>
      </c>
      <c r="M954" s="1">
        <f>Table1[[#This Row],[ApplicantIncome]]+Table1[[#This Row],[CoapplicantIncome]]</f>
        <v>19157</v>
      </c>
      <c r="N954" s="1" t="s">
        <v>20</v>
      </c>
      <c r="O954" s="1" t="str">
        <f>IF(Table1[[#This Row],[Total_Income]]&lt;3000,"Low",IF(Table1[[#This Row],[Total_Income]]&lt;7000,"Medium","High"))</f>
        <v>High</v>
      </c>
      <c r="P954" s="1" t="str">
        <f t="shared" si="42"/>
        <v>Approved</v>
      </c>
      <c r="Q954" s="1" t="str">
        <f t="shared" si="43"/>
        <v>High Risk</v>
      </c>
      <c r="R954" s="2">
        <f t="shared" si="44"/>
        <v>1071.2962778638891</v>
      </c>
    </row>
    <row r="955" spans="1:18" s="1" customFormat="1" ht="11.5" x14ac:dyDescent="0.25">
      <c r="A955" s="1" t="s">
        <v>986</v>
      </c>
      <c r="B955" s="1" t="s">
        <v>1238</v>
      </c>
      <c r="C955" s="1" t="s">
        <v>22</v>
      </c>
      <c r="D955" s="1">
        <v>2</v>
      </c>
      <c r="E955" s="1" t="s">
        <v>17</v>
      </c>
      <c r="F955" s="1" t="s">
        <v>22</v>
      </c>
      <c r="G955" s="1">
        <v>18394</v>
      </c>
      <c r="H955" s="1">
        <v>4427</v>
      </c>
      <c r="I955" s="1">
        <v>613</v>
      </c>
      <c r="J955" s="1">
        <v>360</v>
      </c>
      <c r="K955" s="1">
        <v>1</v>
      </c>
      <c r="L955" s="1" t="s">
        <v>41</v>
      </c>
      <c r="M955" s="1">
        <f>Table1[[#This Row],[ApplicantIncome]]+Table1[[#This Row],[CoapplicantIncome]]</f>
        <v>22821</v>
      </c>
      <c r="N955" s="1" t="s">
        <v>20</v>
      </c>
      <c r="O955" s="1" t="str">
        <f>IF(Table1[[#This Row],[Total_Income]]&lt;3000,"Low",IF(Table1[[#This Row],[Total_Income]]&lt;7000,"Medium","High"))</f>
        <v>High</v>
      </c>
      <c r="P955" s="1" t="str">
        <f t="shared" si="42"/>
        <v>Approved</v>
      </c>
      <c r="Q955" s="1" t="str">
        <f t="shared" si="43"/>
        <v>Low Risk</v>
      </c>
      <c r="R955" s="2">
        <f t="shared" si="44"/>
        <v>4497.9768378805757</v>
      </c>
    </row>
    <row r="956" spans="1:18" s="1" customFormat="1" ht="11.5" x14ac:dyDescent="0.25">
      <c r="A956" s="1" t="s">
        <v>987</v>
      </c>
      <c r="B956" s="1" t="s">
        <v>1238</v>
      </c>
      <c r="C956" s="1" t="s">
        <v>29</v>
      </c>
      <c r="D956" s="1" t="s">
        <v>16</v>
      </c>
      <c r="E956" s="1" t="s">
        <v>17</v>
      </c>
      <c r="F956" s="1" t="s">
        <v>22</v>
      </c>
      <c r="G956" s="1">
        <v>4866</v>
      </c>
      <c r="H956" s="1">
        <v>6345</v>
      </c>
      <c r="I956" s="1">
        <v>472</v>
      </c>
      <c r="J956" s="1">
        <v>120</v>
      </c>
      <c r="K956" s="1">
        <v>1</v>
      </c>
      <c r="L956" s="1" t="s">
        <v>30</v>
      </c>
      <c r="M956" s="1">
        <f>Table1[[#This Row],[ApplicantIncome]]+Table1[[#This Row],[CoapplicantIncome]]</f>
        <v>11211</v>
      </c>
      <c r="N956" s="1" t="s">
        <v>20</v>
      </c>
      <c r="O956" s="1" t="str">
        <f>IF(Table1[[#This Row],[Total_Income]]&lt;3000,"Low",IF(Table1[[#This Row],[Total_Income]]&lt;7000,"Medium","High"))</f>
        <v>High</v>
      </c>
      <c r="P956" s="1" t="str">
        <f t="shared" si="42"/>
        <v>Approved</v>
      </c>
      <c r="Q956" s="1" t="str">
        <f t="shared" si="43"/>
        <v>Low Risk</v>
      </c>
      <c r="R956" s="2">
        <f t="shared" si="44"/>
        <v>5726.662453572847</v>
      </c>
    </row>
    <row r="957" spans="1:18" s="1" customFormat="1" ht="11.5" x14ac:dyDescent="0.25">
      <c r="A957" s="1" t="s">
        <v>988</v>
      </c>
      <c r="B957" s="1" t="s">
        <v>52</v>
      </c>
      <c r="C957" s="1" t="s">
        <v>22</v>
      </c>
      <c r="D957" s="1">
        <v>2</v>
      </c>
      <c r="E957" s="1" t="s">
        <v>17</v>
      </c>
      <c r="F957" s="1" t="s">
        <v>22</v>
      </c>
      <c r="G957" s="1">
        <v>11570</v>
      </c>
      <c r="H957" s="1">
        <v>3379</v>
      </c>
      <c r="I957" s="1">
        <v>285</v>
      </c>
      <c r="J957" s="1">
        <v>180</v>
      </c>
      <c r="K957" s="1">
        <v>0</v>
      </c>
      <c r="L957" s="1" t="s">
        <v>30</v>
      </c>
      <c r="M957" s="1">
        <f>Table1[[#This Row],[ApplicantIncome]]+Table1[[#This Row],[CoapplicantIncome]]</f>
        <v>14949</v>
      </c>
      <c r="N957" s="1" t="s">
        <v>26</v>
      </c>
      <c r="O957" s="1" t="str">
        <f>IF(Table1[[#This Row],[Total_Income]]&lt;3000,"Low",IF(Table1[[#This Row],[Total_Income]]&lt;7000,"Medium","High"))</f>
        <v>High</v>
      </c>
      <c r="P957" s="1" t="str">
        <f t="shared" si="42"/>
        <v>Rejected</v>
      </c>
      <c r="Q957" s="1" t="str">
        <f t="shared" si="43"/>
        <v>High Risk</v>
      </c>
      <c r="R957" s="2">
        <f t="shared" si="44"/>
        <v>2723.6084403415016</v>
      </c>
    </row>
    <row r="958" spans="1:18" s="1" customFormat="1" ht="11.5" x14ac:dyDescent="0.25">
      <c r="A958" s="1" t="s">
        <v>989</v>
      </c>
      <c r="B958" s="1" t="s">
        <v>1238</v>
      </c>
      <c r="C958" s="1" t="s">
        <v>29</v>
      </c>
      <c r="D958" s="1">
        <v>1</v>
      </c>
      <c r="E958" s="1" t="s">
        <v>17</v>
      </c>
      <c r="F958" s="1" t="s">
        <v>29</v>
      </c>
      <c r="G958" s="1">
        <v>9468</v>
      </c>
      <c r="H958" s="1">
        <v>7147</v>
      </c>
      <c r="I958" s="1">
        <v>230</v>
      </c>
      <c r="J958" s="1">
        <v>180</v>
      </c>
      <c r="K958" s="1">
        <v>0</v>
      </c>
      <c r="L958" s="1" t="s">
        <v>30</v>
      </c>
      <c r="M958" s="1">
        <f>Table1[[#This Row],[ApplicantIncome]]+Table1[[#This Row],[CoapplicantIncome]]</f>
        <v>16615</v>
      </c>
      <c r="N958" s="1" t="s">
        <v>20</v>
      </c>
      <c r="O958" s="1" t="str">
        <f>IF(Table1[[#This Row],[Total_Income]]&lt;3000,"Low",IF(Table1[[#This Row],[Total_Income]]&lt;7000,"Medium","High"))</f>
        <v>High</v>
      </c>
      <c r="P958" s="1" t="str">
        <f t="shared" si="42"/>
        <v>Approved</v>
      </c>
      <c r="Q958" s="1" t="str">
        <f t="shared" si="43"/>
        <v>High Risk</v>
      </c>
      <c r="R958" s="2">
        <f t="shared" si="44"/>
        <v>2197.9997939598084</v>
      </c>
    </row>
    <row r="959" spans="1:18" s="1" customFormat="1" ht="11.5" x14ac:dyDescent="0.25">
      <c r="A959" s="1" t="s">
        <v>990</v>
      </c>
      <c r="B959" s="1" t="s">
        <v>52</v>
      </c>
      <c r="C959" s="1" t="s">
        <v>29</v>
      </c>
      <c r="D959" s="1" t="s">
        <v>16</v>
      </c>
      <c r="E959" s="1" t="s">
        <v>25</v>
      </c>
      <c r="F959" s="1" t="s">
        <v>22</v>
      </c>
      <c r="G959" s="1">
        <v>19153</v>
      </c>
      <c r="H959" s="1">
        <v>3267</v>
      </c>
      <c r="I959" s="1">
        <v>97</v>
      </c>
      <c r="J959" s="1">
        <v>120</v>
      </c>
      <c r="K959" s="1">
        <v>1</v>
      </c>
      <c r="L959" s="1" t="s">
        <v>19</v>
      </c>
      <c r="M959" s="1">
        <f>Table1[[#This Row],[ApplicantIncome]]+Table1[[#This Row],[CoapplicantIncome]]</f>
        <v>22420</v>
      </c>
      <c r="N959" s="1" t="s">
        <v>20</v>
      </c>
      <c r="O959" s="1" t="str">
        <f>IF(Table1[[#This Row],[Total_Income]]&lt;3000,"Low",IF(Table1[[#This Row],[Total_Income]]&lt;7000,"Medium","High"))</f>
        <v>High</v>
      </c>
      <c r="P959" s="1" t="str">
        <f t="shared" si="42"/>
        <v>Approved</v>
      </c>
      <c r="Q959" s="1" t="str">
        <f t="shared" si="43"/>
        <v>Low Risk</v>
      </c>
      <c r="R959" s="2">
        <f t="shared" si="44"/>
        <v>1176.8776652469624</v>
      </c>
    </row>
    <row r="960" spans="1:18" s="1" customFormat="1" ht="11.5" x14ac:dyDescent="0.25">
      <c r="A960" s="1" t="s">
        <v>991</v>
      </c>
      <c r="B960" s="1" t="s">
        <v>1238</v>
      </c>
      <c r="C960" s="1" t="s">
        <v>29</v>
      </c>
      <c r="D960" s="1">
        <v>0</v>
      </c>
      <c r="E960" s="1" t="s">
        <v>25</v>
      </c>
      <c r="F960" s="1" t="s">
        <v>22</v>
      </c>
      <c r="G960" s="1">
        <v>19011</v>
      </c>
      <c r="H960" s="1">
        <v>5098</v>
      </c>
      <c r="I960" s="1">
        <v>615</v>
      </c>
      <c r="J960" s="1">
        <v>360</v>
      </c>
      <c r="K960" s="1">
        <v>0</v>
      </c>
      <c r="L960" s="1" t="s">
        <v>41</v>
      </c>
      <c r="M960" s="1">
        <f>Table1[[#This Row],[ApplicantIncome]]+Table1[[#This Row],[CoapplicantIncome]]</f>
        <v>24109</v>
      </c>
      <c r="N960" s="1" t="s">
        <v>26</v>
      </c>
      <c r="O960" s="1" t="str">
        <f>IF(Table1[[#This Row],[Total_Income]]&lt;3000,"Low",IF(Table1[[#This Row],[Total_Income]]&lt;7000,"Medium","High"))</f>
        <v>High</v>
      </c>
      <c r="P960" s="1" t="str">
        <f t="shared" si="42"/>
        <v>Rejected</v>
      </c>
      <c r="Q960" s="1" t="str">
        <f t="shared" si="43"/>
        <v>High Risk</v>
      </c>
      <c r="R960" s="2">
        <f t="shared" si="44"/>
        <v>4512.6521293581636</v>
      </c>
    </row>
    <row r="961" spans="1:18" s="1" customFormat="1" ht="11.5" x14ac:dyDescent="0.25">
      <c r="A961" s="1" t="s">
        <v>992</v>
      </c>
      <c r="B961" s="1" t="s">
        <v>1238</v>
      </c>
      <c r="C961" s="1" t="s">
        <v>22</v>
      </c>
      <c r="D961" s="1" t="s">
        <v>16</v>
      </c>
      <c r="E961" s="1" t="s">
        <v>17</v>
      </c>
      <c r="F961" s="1" t="s">
        <v>22</v>
      </c>
      <c r="G961" s="1">
        <v>2203</v>
      </c>
      <c r="H961" s="1">
        <v>7407</v>
      </c>
      <c r="I961" s="1">
        <v>89</v>
      </c>
      <c r="J961" s="1">
        <v>180</v>
      </c>
      <c r="K961" s="1">
        <v>0</v>
      </c>
      <c r="L961" s="1" t="s">
        <v>19</v>
      </c>
      <c r="M961" s="1">
        <f>Table1[[#This Row],[ApplicantIncome]]+Table1[[#This Row],[CoapplicantIncome]]</f>
        <v>9610</v>
      </c>
      <c r="N961" s="1" t="s">
        <v>26</v>
      </c>
      <c r="O961" s="1" t="str">
        <f>IF(Table1[[#This Row],[Total_Income]]&lt;3000,"Low",IF(Table1[[#This Row],[Total_Income]]&lt;7000,"Medium","High"))</f>
        <v>High</v>
      </c>
      <c r="P961" s="1" t="str">
        <f t="shared" si="42"/>
        <v>Rejected</v>
      </c>
      <c r="Q961" s="1" t="str">
        <f t="shared" si="43"/>
        <v>High Risk</v>
      </c>
      <c r="R961" s="2">
        <f t="shared" si="44"/>
        <v>850.53035505401272</v>
      </c>
    </row>
    <row r="962" spans="1:18" s="1" customFormat="1" ht="11.5" x14ac:dyDescent="0.25">
      <c r="A962" s="1" t="s">
        <v>993</v>
      </c>
      <c r="B962" s="1" t="s">
        <v>28</v>
      </c>
      <c r="C962" s="1" t="s">
        <v>29</v>
      </c>
      <c r="D962" s="1">
        <v>2</v>
      </c>
      <c r="E962" s="1" t="s">
        <v>25</v>
      </c>
      <c r="F962" s="1" t="s">
        <v>29</v>
      </c>
      <c r="G962" s="1">
        <v>5544</v>
      </c>
      <c r="H962" s="1">
        <v>7642</v>
      </c>
      <c r="I962" s="1">
        <v>563</v>
      </c>
      <c r="J962" s="1">
        <v>120</v>
      </c>
      <c r="K962" s="1">
        <v>0</v>
      </c>
      <c r="L962" s="1" t="s">
        <v>41</v>
      </c>
      <c r="M962" s="1">
        <f>Table1[[#This Row],[ApplicantIncome]]+Table1[[#This Row],[CoapplicantIncome]]</f>
        <v>13186</v>
      </c>
      <c r="N962" s="1" t="s">
        <v>26</v>
      </c>
      <c r="O962" s="1" t="str">
        <f>IF(Table1[[#This Row],[Total_Income]]&lt;3000,"Low",IF(Table1[[#This Row],[Total_Income]]&lt;7000,"Medium","High"))</f>
        <v>High</v>
      </c>
      <c r="P962" s="1" t="str">
        <f t="shared" ref="P962:P1025" si="45">IF(N962="Y","Approved","Rejected")</f>
        <v>Rejected</v>
      </c>
      <c r="Q962" s="1" t="str">
        <f t="shared" ref="Q962:Q1025" si="46">IF(K962=1,"Low Risk","High Risk")</f>
        <v>High Risk</v>
      </c>
      <c r="R962" s="2">
        <f t="shared" ref="R962:R1025" si="47">-PMT(8%/12,J962,I962*1000)</f>
        <v>6830.7435622065941</v>
      </c>
    </row>
    <row r="963" spans="1:18" s="1" customFormat="1" ht="11.5" x14ac:dyDescent="0.25">
      <c r="A963" s="1" t="s">
        <v>994</v>
      </c>
      <c r="B963" s="1" t="s">
        <v>28</v>
      </c>
      <c r="C963" s="1" t="s">
        <v>22</v>
      </c>
      <c r="D963" s="1">
        <v>0</v>
      </c>
      <c r="E963" s="1" t="s">
        <v>17</v>
      </c>
      <c r="F963" s="1" t="s">
        <v>22</v>
      </c>
      <c r="G963" s="1">
        <v>5557</v>
      </c>
      <c r="H963" s="1">
        <v>7020</v>
      </c>
      <c r="I963" s="1">
        <v>562</v>
      </c>
      <c r="J963" s="1">
        <v>360</v>
      </c>
      <c r="K963" s="1">
        <v>1</v>
      </c>
      <c r="L963" s="1" t="s">
        <v>41</v>
      </c>
      <c r="M963" s="1">
        <f>Table1[[#This Row],[ApplicantIncome]]+Table1[[#This Row],[CoapplicantIncome]]</f>
        <v>12577</v>
      </c>
      <c r="N963" s="1" t="s">
        <v>26</v>
      </c>
      <c r="O963" s="1" t="str">
        <f>IF(Table1[[#This Row],[Total_Income]]&lt;3000,"Low",IF(Table1[[#This Row],[Total_Income]]&lt;7000,"Medium","High"))</f>
        <v>High</v>
      </c>
      <c r="P963" s="1" t="str">
        <f t="shared" si="45"/>
        <v>Rejected</v>
      </c>
      <c r="Q963" s="1" t="str">
        <f t="shared" si="46"/>
        <v>Low Risk</v>
      </c>
      <c r="R963" s="2">
        <f t="shared" si="47"/>
        <v>4123.7569052020945</v>
      </c>
    </row>
    <row r="964" spans="1:18" s="1" customFormat="1" ht="11.5" x14ac:dyDescent="0.25">
      <c r="A964" s="1" t="s">
        <v>995</v>
      </c>
      <c r="B964" s="1" t="s">
        <v>28</v>
      </c>
      <c r="C964" s="1" t="s">
        <v>29</v>
      </c>
      <c r="D964" s="1" t="s">
        <v>16</v>
      </c>
      <c r="E964" s="1" t="s">
        <v>25</v>
      </c>
      <c r="F964" s="1" t="s">
        <v>29</v>
      </c>
      <c r="G964" s="1">
        <v>11695</v>
      </c>
      <c r="H964" s="1">
        <v>1793</v>
      </c>
      <c r="I964" s="1">
        <v>193</v>
      </c>
      <c r="J964" s="1">
        <v>180</v>
      </c>
      <c r="K964" s="1">
        <v>0</v>
      </c>
      <c r="L964" s="1" t="s">
        <v>30</v>
      </c>
      <c r="M964" s="1">
        <f>Table1[[#This Row],[ApplicantIncome]]+Table1[[#This Row],[CoapplicantIncome]]</f>
        <v>13488</v>
      </c>
      <c r="N964" s="1" t="s">
        <v>20</v>
      </c>
      <c r="O964" s="1" t="str">
        <f>IF(Table1[[#This Row],[Total_Income]]&lt;3000,"Low",IF(Table1[[#This Row],[Total_Income]]&lt;7000,"Medium","High"))</f>
        <v>High</v>
      </c>
      <c r="P964" s="1" t="str">
        <f t="shared" si="45"/>
        <v>Approved</v>
      </c>
      <c r="Q964" s="1" t="str">
        <f t="shared" si="46"/>
        <v>High Risk</v>
      </c>
      <c r="R964" s="2">
        <f t="shared" si="47"/>
        <v>1844.4085227575783</v>
      </c>
    </row>
    <row r="965" spans="1:18" s="1" customFormat="1" ht="11.5" x14ac:dyDescent="0.25">
      <c r="A965" s="1" t="s">
        <v>996</v>
      </c>
      <c r="B965" s="1" t="s">
        <v>28</v>
      </c>
      <c r="C965" s="1" t="s">
        <v>22</v>
      </c>
      <c r="D965" s="1">
        <v>0</v>
      </c>
      <c r="E965" s="1" t="s">
        <v>25</v>
      </c>
      <c r="F965" s="1" t="s">
        <v>22</v>
      </c>
      <c r="G965" s="1">
        <v>19900</v>
      </c>
      <c r="H965" s="1">
        <v>5118</v>
      </c>
      <c r="I965" s="1">
        <v>636</v>
      </c>
      <c r="J965" s="1">
        <v>120</v>
      </c>
      <c r="K965" s="1">
        <v>1</v>
      </c>
      <c r="L965" s="1" t="s">
        <v>30</v>
      </c>
      <c r="M965" s="1">
        <f>Table1[[#This Row],[ApplicantIncome]]+Table1[[#This Row],[CoapplicantIncome]]</f>
        <v>25018</v>
      </c>
      <c r="N965" s="1" t="s">
        <v>26</v>
      </c>
      <c r="O965" s="1" t="str">
        <f>IF(Table1[[#This Row],[Total_Income]]&lt;3000,"Low",IF(Table1[[#This Row],[Total_Income]]&lt;7000,"Medium","High"))</f>
        <v>High</v>
      </c>
      <c r="P965" s="1" t="str">
        <f t="shared" si="45"/>
        <v>Rejected</v>
      </c>
      <c r="Q965" s="1" t="str">
        <f t="shared" si="46"/>
        <v>Low Risk</v>
      </c>
      <c r="R965" s="2">
        <f t="shared" si="47"/>
        <v>7716.4350010007001</v>
      </c>
    </row>
    <row r="966" spans="1:18" s="1" customFormat="1" ht="11.5" x14ac:dyDescent="0.25">
      <c r="A966" s="1" t="s">
        <v>997</v>
      </c>
      <c r="B966" s="1" t="s">
        <v>28</v>
      </c>
      <c r="C966" s="1" t="s">
        <v>22</v>
      </c>
      <c r="D966" s="1" t="s">
        <v>16</v>
      </c>
      <c r="E966" s="1" t="s">
        <v>25</v>
      </c>
      <c r="F966" s="1" t="s">
        <v>29</v>
      </c>
      <c r="G966" s="1">
        <v>18493</v>
      </c>
      <c r="H966" s="1">
        <v>838</v>
      </c>
      <c r="I966" s="1">
        <v>69</v>
      </c>
      <c r="J966" s="1">
        <v>120</v>
      </c>
      <c r="K966" s="1">
        <v>0</v>
      </c>
      <c r="L966" s="1" t="s">
        <v>19</v>
      </c>
      <c r="M966" s="1">
        <f>Table1[[#This Row],[ApplicantIncome]]+Table1[[#This Row],[CoapplicantIncome]]</f>
        <v>19331</v>
      </c>
      <c r="N966" s="1" t="s">
        <v>26</v>
      </c>
      <c r="O966" s="1" t="str">
        <f>IF(Table1[[#This Row],[Total_Income]]&lt;3000,"Low",IF(Table1[[#This Row],[Total_Income]]&lt;7000,"Medium","High"))</f>
        <v>High</v>
      </c>
      <c r="P966" s="1" t="str">
        <f t="shared" si="45"/>
        <v>Rejected</v>
      </c>
      <c r="Q966" s="1" t="str">
        <f t="shared" si="46"/>
        <v>High Risk</v>
      </c>
      <c r="R966" s="2">
        <f t="shared" si="47"/>
        <v>837.16040105196271</v>
      </c>
    </row>
    <row r="967" spans="1:18" s="1" customFormat="1" ht="11.5" x14ac:dyDescent="0.25">
      <c r="A967" s="1" t="s">
        <v>998</v>
      </c>
      <c r="B967" s="1" t="s">
        <v>52</v>
      </c>
      <c r="C967" s="1" t="s">
        <v>29</v>
      </c>
      <c r="D967" s="1">
        <v>0</v>
      </c>
      <c r="E967" s="1" t="s">
        <v>25</v>
      </c>
      <c r="F967" s="1" t="s">
        <v>22</v>
      </c>
      <c r="G967" s="1">
        <v>19564</v>
      </c>
      <c r="H967" s="1">
        <v>9519</v>
      </c>
      <c r="I967" s="1">
        <v>364</v>
      </c>
      <c r="J967" s="1">
        <v>180</v>
      </c>
      <c r="K967" s="1">
        <v>1</v>
      </c>
      <c r="L967" s="1" t="s">
        <v>30</v>
      </c>
      <c r="M967" s="1">
        <f>Table1[[#This Row],[ApplicantIncome]]+Table1[[#This Row],[CoapplicantIncome]]</f>
        <v>29083</v>
      </c>
      <c r="N967" s="1" t="s">
        <v>26</v>
      </c>
      <c r="O967" s="1" t="str">
        <f>IF(Table1[[#This Row],[Total_Income]]&lt;3000,"Low",IF(Table1[[#This Row],[Total_Income]]&lt;7000,"Medium","High"))</f>
        <v>High</v>
      </c>
      <c r="P967" s="1" t="str">
        <f t="shared" si="45"/>
        <v>Rejected</v>
      </c>
      <c r="Q967" s="1" t="str">
        <f t="shared" si="46"/>
        <v>Low Risk</v>
      </c>
      <c r="R967" s="2">
        <f t="shared" si="47"/>
        <v>3478.5735869624796</v>
      </c>
    </row>
    <row r="968" spans="1:18" s="1" customFormat="1" ht="11.5" x14ac:dyDescent="0.25">
      <c r="A968" s="1" t="s">
        <v>999</v>
      </c>
      <c r="B968" s="1" t="s">
        <v>1238</v>
      </c>
      <c r="C968" s="1" t="s">
        <v>22</v>
      </c>
      <c r="D968" s="1" t="s">
        <v>16</v>
      </c>
      <c r="E968" s="1" t="s">
        <v>25</v>
      </c>
      <c r="F968" s="1" t="s">
        <v>22</v>
      </c>
      <c r="G968" s="1">
        <v>8968</v>
      </c>
      <c r="H968" s="1">
        <v>7886</v>
      </c>
      <c r="I968" s="1">
        <v>369</v>
      </c>
      <c r="J968" s="1">
        <v>180</v>
      </c>
      <c r="K968" s="1">
        <v>0</v>
      </c>
      <c r="L968" s="1" t="s">
        <v>41</v>
      </c>
      <c r="M968" s="1">
        <f>Table1[[#This Row],[ApplicantIncome]]+Table1[[#This Row],[CoapplicantIncome]]</f>
        <v>16854</v>
      </c>
      <c r="N968" s="1" t="s">
        <v>26</v>
      </c>
      <c r="O968" s="1" t="str">
        <f>IF(Table1[[#This Row],[Total_Income]]&lt;3000,"Low",IF(Table1[[#This Row],[Total_Income]]&lt;7000,"Medium","High"))</f>
        <v>High</v>
      </c>
      <c r="P968" s="1" t="str">
        <f t="shared" si="45"/>
        <v>Rejected</v>
      </c>
      <c r="Q968" s="1" t="str">
        <f t="shared" si="46"/>
        <v>High Risk</v>
      </c>
      <c r="R968" s="2">
        <f t="shared" si="47"/>
        <v>3526.3561911789966</v>
      </c>
    </row>
    <row r="969" spans="1:18" s="1" customFormat="1" ht="11.5" x14ac:dyDescent="0.25">
      <c r="A969" s="1" t="s">
        <v>1000</v>
      </c>
      <c r="B969" s="1" t="s">
        <v>1238</v>
      </c>
      <c r="C969" s="1" t="s">
        <v>22</v>
      </c>
      <c r="D969" s="1">
        <v>1</v>
      </c>
      <c r="E969" s="1" t="s">
        <v>25</v>
      </c>
      <c r="F969" s="1" t="s">
        <v>22</v>
      </c>
      <c r="G969" s="1">
        <v>3908</v>
      </c>
      <c r="H969" s="1">
        <v>6449</v>
      </c>
      <c r="I969" s="1">
        <v>641</v>
      </c>
      <c r="J969" s="1">
        <v>180</v>
      </c>
      <c r="K969" s="1">
        <v>1</v>
      </c>
      <c r="L969" s="1" t="s">
        <v>30</v>
      </c>
      <c r="M969" s="1">
        <f>Table1[[#This Row],[ApplicantIncome]]+Table1[[#This Row],[CoapplicantIncome]]</f>
        <v>10357</v>
      </c>
      <c r="N969" s="1" t="s">
        <v>20</v>
      </c>
      <c r="O969" s="1" t="str">
        <f>IF(Table1[[#This Row],[Total_Income]]&lt;3000,"Low",IF(Table1[[#This Row],[Total_Income]]&lt;7000,"Medium","High"))</f>
        <v>High</v>
      </c>
      <c r="P969" s="1" t="str">
        <f t="shared" si="45"/>
        <v>Approved</v>
      </c>
      <c r="Q969" s="1" t="str">
        <f t="shared" si="46"/>
        <v>Low Risk</v>
      </c>
      <c r="R969" s="2">
        <f t="shared" si="47"/>
        <v>6125.7298605575525</v>
      </c>
    </row>
    <row r="970" spans="1:18" s="1" customFormat="1" ht="11.5" x14ac:dyDescent="0.25">
      <c r="A970" s="1" t="s">
        <v>1001</v>
      </c>
      <c r="B970" s="1" t="s">
        <v>52</v>
      </c>
      <c r="C970" s="1" t="s">
        <v>22</v>
      </c>
      <c r="D970" s="1">
        <v>0</v>
      </c>
      <c r="E970" s="1" t="s">
        <v>17</v>
      </c>
      <c r="F970" s="1" t="s">
        <v>22</v>
      </c>
      <c r="G970" s="1">
        <v>10531</v>
      </c>
      <c r="H970" s="1">
        <v>7539</v>
      </c>
      <c r="I970" s="1">
        <v>334</v>
      </c>
      <c r="J970" s="1">
        <v>120</v>
      </c>
      <c r="K970" s="1">
        <v>0</v>
      </c>
      <c r="L970" s="1" t="s">
        <v>19</v>
      </c>
      <c r="M970" s="1">
        <f>Table1[[#This Row],[ApplicantIncome]]+Table1[[#This Row],[CoapplicantIncome]]</f>
        <v>18070</v>
      </c>
      <c r="N970" s="1" t="s">
        <v>26</v>
      </c>
      <c r="O970" s="1" t="str">
        <f>IF(Table1[[#This Row],[Total_Income]]&lt;3000,"Low",IF(Table1[[#This Row],[Total_Income]]&lt;7000,"Medium","High"))</f>
        <v>High</v>
      </c>
      <c r="P970" s="1" t="str">
        <f t="shared" si="45"/>
        <v>Rejected</v>
      </c>
      <c r="Q970" s="1" t="str">
        <f t="shared" si="46"/>
        <v>High Risk</v>
      </c>
      <c r="R970" s="2">
        <f t="shared" si="47"/>
        <v>4052.3416514689216</v>
      </c>
    </row>
    <row r="971" spans="1:18" s="1" customFormat="1" ht="11.5" x14ac:dyDescent="0.25">
      <c r="A971" s="1" t="s">
        <v>1002</v>
      </c>
      <c r="B971" s="1" t="s">
        <v>28</v>
      </c>
      <c r="C971" s="1" t="s">
        <v>29</v>
      </c>
      <c r="D971" s="1" t="s">
        <v>16</v>
      </c>
      <c r="E971" s="1" t="s">
        <v>25</v>
      </c>
      <c r="F971" s="1" t="s">
        <v>22</v>
      </c>
      <c r="G971" s="1">
        <v>13972</v>
      </c>
      <c r="H971" s="1">
        <v>646</v>
      </c>
      <c r="I971" s="1">
        <v>486</v>
      </c>
      <c r="J971" s="1">
        <v>360</v>
      </c>
      <c r="K971" s="1">
        <v>0</v>
      </c>
      <c r="L971" s="1" t="s">
        <v>30</v>
      </c>
      <c r="M971" s="1">
        <f>Table1[[#This Row],[ApplicantIncome]]+Table1[[#This Row],[CoapplicantIncome]]</f>
        <v>14618</v>
      </c>
      <c r="N971" s="1" t="s">
        <v>20</v>
      </c>
      <c r="O971" s="1" t="str">
        <f>IF(Table1[[#This Row],[Total_Income]]&lt;3000,"Low",IF(Table1[[#This Row],[Total_Income]]&lt;7000,"Medium","High"))</f>
        <v>High</v>
      </c>
      <c r="P971" s="1" t="str">
        <f t="shared" si="45"/>
        <v>Approved</v>
      </c>
      <c r="Q971" s="1" t="str">
        <f t="shared" si="46"/>
        <v>High Risk</v>
      </c>
      <c r="R971" s="2">
        <f t="shared" si="47"/>
        <v>3566.0958290537683</v>
      </c>
    </row>
    <row r="972" spans="1:18" s="1" customFormat="1" ht="11.5" x14ac:dyDescent="0.25">
      <c r="A972" s="1" t="s">
        <v>1003</v>
      </c>
      <c r="B972" s="1" t="s">
        <v>52</v>
      </c>
      <c r="C972" s="1" t="s">
        <v>29</v>
      </c>
      <c r="D972" s="1">
        <v>0</v>
      </c>
      <c r="E972" s="1" t="s">
        <v>25</v>
      </c>
      <c r="F972" s="1" t="s">
        <v>29</v>
      </c>
      <c r="G972" s="1">
        <v>19346</v>
      </c>
      <c r="H972" s="1">
        <v>6736</v>
      </c>
      <c r="I972" s="1">
        <v>587</v>
      </c>
      <c r="J972" s="1">
        <v>180</v>
      </c>
      <c r="K972" s="1">
        <v>1</v>
      </c>
      <c r="L972" s="1" t="s">
        <v>41</v>
      </c>
      <c r="M972" s="1">
        <f>Table1[[#This Row],[ApplicantIncome]]+Table1[[#This Row],[CoapplicantIncome]]</f>
        <v>26082</v>
      </c>
      <c r="N972" s="1" t="s">
        <v>26</v>
      </c>
      <c r="O972" s="1" t="str">
        <f>IF(Table1[[#This Row],[Total_Income]]&lt;3000,"Low",IF(Table1[[#This Row],[Total_Income]]&lt;7000,"Medium","High"))</f>
        <v>High</v>
      </c>
      <c r="P972" s="1" t="str">
        <f t="shared" si="45"/>
        <v>Rejected</v>
      </c>
      <c r="Q972" s="1" t="str">
        <f t="shared" si="46"/>
        <v>Low Risk</v>
      </c>
      <c r="R972" s="2">
        <f t="shared" si="47"/>
        <v>5609.6777350191633</v>
      </c>
    </row>
    <row r="973" spans="1:18" s="1" customFormat="1" ht="11.5" x14ac:dyDescent="0.25">
      <c r="A973" s="1" t="s">
        <v>1004</v>
      </c>
      <c r="B973" s="1" t="s">
        <v>1238</v>
      </c>
      <c r="C973" s="1" t="s">
        <v>22</v>
      </c>
      <c r="D973" s="1" t="s">
        <v>16</v>
      </c>
      <c r="E973" s="1" t="s">
        <v>25</v>
      </c>
      <c r="F973" s="1" t="s">
        <v>22</v>
      </c>
      <c r="G973" s="1">
        <v>14383</v>
      </c>
      <c r="H973" s="1">
        <v>6253</v>
      </c>
      <c r="I973" s="1">
        <v>205</v>
      </c>
      <c r="J973" s="1">
        <v>180</v>
      </c>
      <c r="K973" s="1">
        <v>0</v>
      </c>
      <c r="L973" s="1" t="s">
        <v>30</v>
      </c>
      <c r="M973" s="1">
        <f>Table1[[#This Row],[ApplicantIncome]]+Table1[[#This Row],[CoapplicantIncome]]</f>
        <v>20636</v>
      </c>
      <c r="N973" s="1" t="s">
        <v>26</v>
      </c>
      <c r="O973" s="1" t="str">
        <f>IF(Table1[[#This Row],[Total_Income]]&lt;3000,"Low",IF(Table1[[#This Row],[Total_Income]]&lt;7000,"Medium","High"))</f>
        <v>High</v>
      </c>
      <c r="P973" s="1" t="str">
        <f t="shared" si="45"/>
        <v>Rejected</v>
      </c>
      <c r="Q973" s="1" t="str">
        <f t="shared" si="46"/>
        <v>High Risk</v>
      </c>
      <c r="R973" s="2">
        <f t="shared" si="47"/>
        <v>1959.0867728772205</v>
      </c>
    </row>
    <row r="974" spans="1:18" s="1" customFormat="1" ht="11.5" x14ac:dyDescent="0.25">
      <c r="A974" s="1" t="s">
        <v>1005</v>
      </c>
      <c r="B974" s="1" t="s">
        <v>52</v>
      </c>
      <c r="C974" s="1" t="s">
        <v>29</v>
      </c>
      <c r="D974" s="1">
        <v>1</v>
      </c>
      <c r="E974" s="1" t="s">
        <v>17</v>
      </c>
      <c r="F974" s="1" t="s">
        <v>29</v>
      </c>
      <c r="G974" s="1">
        <v>15802</v>
      </c>
      <c r="H974" s="1">
        <v>6847</v>
      </c>
      <c r="I974" s="1">
        <v>681</v>
      </c>
      <c r="J974" s="1">
        <v>180</v>
      </c>
      <c r="K974" s="1">
        <v>1</v>
      </c>
      <c r="L974" s="1" t="s">
        <v>30</v>
      </c>
      <c r="M974" s="1">
        <f>Table1[[#This Row],[ApplicantIncome]]+Table1[[#This Row],[CoapplicantIncome]]</f>
        <v>22649</v>
      </c>
      <c r="N974" s="1" t="s">
        <v>26</v>
      </c>
      <c r="O974" s="1" t="str">
        <f>IF(Table1[[#This Row],[Total_Income]]&lt;3000,"Low",IF(Table1[[#This Row],[Total_Income]]&lt;7000,"Medium","High"))</f>
        <v>High</v>
      </c>
      <c r="P974" s="1" t="str">
        <f t="shared" si="45"/>
        <v>Rejected</v>
      </c>
      <c r="Q974" s="1" t="str">
        <f t="shared" si="46"/>
        <v>Low Risk</v>
      </c>
      <c r="R974" s="2">
        <f t="shared" si="47"/>
        <v>6507.9906942896941</v>
      </c>
    </row>
    <row r="975" spans="1:18" s="1" customFormat="1" ht="11.5" x14ac:dyDescent="0.25">
      <c r="A975" s="1" t="s">
        <v>1006</v>
      </c>
      <c r="B975" s="1" t="s">
        <v>1238</v>
      </c>
      <c r="C975" s="1" t="s">
        <v>22</v>
      </c>
      <c r="D975" s="1">
        <v>0</v>
      </c>
      <c r="E975" s="1" t="s">
        <v>17</v>
      </c>
      <c r="F975" s="1" t="s">
        <v>22</v>
      </c>
      <c r="G975" s="1">
        <v>5766</v>
      </c>
      <c r="H975" s="1">
        <v>8307</v>
      </c>
      <c r="I975" s="1">
        <v>608</v>
      </c>
      <c r="J975" s="1">
        <v>180</v>
      </c>
      <c r="K975" s="1">
        <v>0</v>
      </c>
      <c r="L975" s="1" t="s">
        <v>19</v>
      </c>
      <c r="M975" s="1">
        <f>Table1[[#This Row],[ApplicantIncome]]+Table1[[#This Row],[CoapplicantIncome]]</f>
        <v>14073</v>
      </c>
      <c r="N975" s="1" t="s">
        <v>26</v>
      </c>
      <c r="O975" s="1" t="str">
        <f>IF(Table1[[#This Row],[Total_Income]]&lt;3000,"Low",IF(Table1[[#This Row],[Total_Income]]&lt;7000,"Medium","High"))</f>
        <v>High</v>
      </c>
      <c r="P975" s="1" t="str">
        <f t="shared" si="45"/>
        <v>Rejected</v>
      </c>
      <c r="Q975" s="1" t="str">
        <f t="shared" si="46"/>
        <v>High Risk</v>
      </c>
      <c r="R975" s="2">
        <f t="shared" si="47"/>
        <v>5810.3646727285368</v>
      </c>
    </row>
    <row r="976" spans="1:18" s="1" customFormat="1" ht="11.5" x14ac:dyDescent="0.25">
      <c r="A976" s="1" t="s">
        <v>1007</v>
      </c>
      <c r="B976" s="1" t="s">
        <v>1238</v>
      </c>
      <c r="C976" s="1" t="s">
        <v>29</v>
      </c>
      <c r="D976" s="1">
        <v>0</v>
      </c>
      <c r="E976" s="1" t="s">
        <v>17</v>
      </c>
      <c r="F976" s="1" t="s">
        <v>29</v>
      </c>
      <c r="G976" s="1">
        <v>14141</v>
      </c>
      <c r="H976" s="1">
        <v>5844</v>
      </c>
      <c r="I976" s="1">
        <v>620</v>
      </c>
      <c r="J976" s="1">
        <v>180</v>
      </c>
      <c r="K976" s="1">
        <v>1</v>
      </c>
      <c r="L976" s="1" t="s">
        <v>19</v>
      </c>
      <c r="M976" s="1">
        <f>Table1[[#This Row],[ApplicantIncome]]+Table1[[#This Row],[CoapplicantIncome]]</f>
        <v>19985</v>
      </c>
      <c r="N976" s="1" t="s">
        <v>26</v>
      </c>
      <c r="O976" s="1" t="str">
        <f>IF(Table1[[#This Row],[Total_Income]]&lt;3000,"Low",IF(Table1[[#This Row],[Total_Income]]&lt;7000,"Medium","High"))</f>
        <v>High</v>
      </c>
      <c r="P976" s="1" t="str">
        <f t="shared" si="45"/>
        <v>Rejected</v>
      </c>
      <c r="Q976" s="1" t="str">
        <f t="shared" si="46"/>
        <v>Low Risk</v>
      </c>
      <c r="R976" s="2">
        <f t="shared" si="47"/>
        <v>5925.0429228481789</v>
      </c>
    </row>
    <row r="977" spans="1:18" s="1" customFormat="1" ht="11.5" x14ac:dyDescent="0.25">
      <c r="A977" s="1" t="s">
        <v>1008</v>
      </c>
      <c r="B977" s="1" t="s">
        <v>1238</v>
      </c>
      <c r="C977" s="1" t="s">
        <v>22</v>
      </c>
      <c r="D977" s="1" t="s">
        <v>16</v>
      </c>
      <c r="E977" s="1" t="s">
        <v>17</v>
      </c>
      <c r="F977" s="1" t="s">
        <v>29</v>
      </c>
      <c r="G977" s="1">
        <v>9201</v>
      </c>
      <c r="H977" s="1">
        <v>1430</v>
      </c>
      <c r="I977" s="1">
        <v>552</v>
      </c>
      <c r="J977" s="1">
        <v>120</v>
      </c>
      <c r="K977" s="1">
        <v>1</v>
      </c>
      <c r="L977" s="1" t="s">
        <v>41</v>
      </c>
      <c r="M977" s="1">
        <f>Table1[[#This Row],[ApplicantIncome]]+Table1[[#This Row],[CoapplicantIncome]]</f>
        <v>10631</v>
      </c>
      <c r="N977" s="1" t="s">
        <v>20</v>
      </c>
      <c r="O977" s="1" t="str">
        <f>IF(Table1[[#This Row],[Total_Income]]&lt;3000,"Low",IF(Table1[[#This Row],[Total_Income]]&lt;7000,"Medium","High"))</f>
        <v>High</v>
      </c>
      <c r="P977" s="1" t="str">
        <f t="shared" si="45"/>
        <v>Approved</v>
      </c>
      <c r="Q977" s="1" t="str">
        <f t="shared" si="46"/>
        <v>Low Risk</v>
      </c>
      <c r="R977" s="2">
        <f t="shared" si="47"/>
        <v>6697.2832084157017</v>
      </c>
    </row>
    <row r="978" spans="1:18" s="1" customFormat="1" ht="11.5" x14ac:dyDescent="0.25">
      <c r="A978" s="1" t="s">
        <v>1009</v>
      </c>
      <c r="B978" s="1" t="s">
        <v>28</v>
      </c>
      <c r="C978" s="1" t="s">
        <v>22</v>
      </c>
      <c r="D978" s="1">
        <v>1</v>
      </c>
      <c r="E978" s="1" t="s">
        <v>17</v>
      </c>
      <c r="F978" s="1" t="s">
        <v>22</v>
      </c>
      <c r="G978" s="1">
        <v>4016</v>
      </c>
      <c r="H978" s="1">
        <v>9506</v>
      </c>
      <c r="I978" s="1">
        <v>114</v>
      </c>
      <c r="J978" s="1">
        <v>120</v>
      </c>
      <c r="K978" s="1">
        <v>1</v>
      </c>
      <c r="L978" s="1" t="s">
        <v>19</v>
      </c>
      <c r="M978" s="1">
        <f>Table1[[#This Row],[ApplicantIncome]]+Table1[[#This Row],[CoapplicantIncome]]</f>
        <v>13522</v>
      </c>
      <c r="N978" s="1" t="s">
        <v>20</v>
      </c>
      <c r="O978" s="1" t="str">
        <f>IF(Table1[[#This Row],[Total_Income]]&lt;3000,"Low",IF(Table1[[#This Row],[Total_Income]]&lt;7000,"Medium","High"))</f>
        <v>High</v>
      </c>
      <c r="P978" s="1" t="str">
        <f t="shared" si="45"/>
        <v>Approved</v>
      </c>
      <c r="Q978" s="1" t="str">
        <f t="shared" si="46"/>
        <v>Low Risk</v>
      </c>
      <c r="R978" s="2">
        <f t="shared" si="47"/>
        <v>1383.1345756510689</v>
      </c>
    </row>
    <row r="979" spans="1:18" s="1" customFormat="1" ht="11.5" x14ac:dyDescent="0.25">
      <c r="A979" s="1" t="s">
        <v>1010</v>
      </c>
      <c r="B979" s="1" t="s">
        <v>28</v>
      </c>
      <c r="C979" s="1" t="s">
        <v>22</v>
      </c>
      <c r="D979" s="1" t="s">
        <v>16</v>
      </c>
      <c r="E979" s="1" t="s">
        <v>25</v>
      </c>
      <c r="F979" s="1" t="s">
        <v>22</v>
      </c>
      <c r="G979" s="1">
        <v>12736</v>
      </c>
      <c r="H979" s="1">
        <v>5216</v>
      </c>
      <c r="I979" s="1">
        <v>575</v>
      </c>
      <c r="J979" s="1">
        <v>360</v>
      </c>
      <c r="K979" s="1">
        <v>0</v>
      </c>
      <c r="L979" s="1" t="s">
        <v>19</v>
      </c>
      <c r="M979" s="1">
        <f>Table1[[#This Row],[ApplicantIncome]]+Table1[[#This Row],[CoapplicantIncome]]</f>
        <v>17952</v>
      </c>
      <c r="N979" s="1" t="s">
        <v>20</v>
      </c>
      <c r="O979" s="1" t="str">
        <f>IF(Table1[[#This Row],[Total_Income]]&lt;3000,"Low",IF(Table1[[#This Row],[Total_Income]]&lt;7000,"Medium","High"))</f>
        <v>High</v>
      </c>
      <c r="P979" s="1" t="str">
        <f t="shared" si="45"/>
        <v>Approved</v>
      </c>
      <c r="Q979" s="1" t="str">
        <f t="shared" si="46"/>
        <v>High Risk</v>
      </c>
      <c r="R979" s="2">
        <f t="shared" si="47"/>
        <v>4219.1462998064126</v>
      </c>
    </row>
    <row r="980" spans="1:18" s="1" customFormat="1" ht="11.5" x14ac:dyDescent="0.25">
      <c r="A980" s="1" t="s">
        <v>1011</v>
      </c>
      <c r="B980" s="1" t="s">
        <v>1238</v>
      </c>
      <c r="C980" s="1" t="s">
        <v>22</v>
      </c>
      <c r="D980" s="1">
        <v>1</v>
      </c>
      <c r="E980" s="1" t="s">
        <v>17</v>
      </c>
      <c r="F980" s="1" t="s">
        <v>29</v>
      </c>
      <c r="G980" s="1">
        <v>8001</v>
      </c>
      <c r="H980" s="1">
        <v>2669</v>
      </c>
      <c r="I980" s="1">
        <v>458</v>
      </c>
      <c r="J980" s="1">
        <v>120</v>
      </c>
      <c r="K980" s="1">
        <v>0</v>
      </c>
      <c r="L980" s="1" t="s">
        <v>30</v>
      </c>
      <c r="M980" s="1">
        <f>Table1[[#This Row],[ApplicantIncome]]+Table1[[#This Row],[CoapplicantIncome]]</f>
        <v>10670</v>
      </c>
      <c r="N980" s="1" t="s">
        <v>26</v>
      </c>
      <c r="O980" s="1" t="str">
        <f>IF(Table1[[#This Row],[Total_Income]]&lt;3000,"Low",IF(Table1[[#This Row],[Total_Income]]&lt;7000,"Medium","High"))</f>
        <v>High</v>
      </c>
      <c r="P980" s="1" t="str">
        <f t="shared" si="45"/>
        <v>Rejected</v>
      </c>
      <c r="Q980" s="1" t="str">
        <f t="shared" si="46"/>
        <v>High Risk</v>
      </c>
      <c r="R980" s="2">
        <f t="shared" si="47"/>
        <v>5556.8038214753469</v>
      </c>
    </row>
    <row r="981" spans="1:18" s="1" customFormat="1" ht="11.5" x14ac:dyDescent="0.25">
      <c r="A981" s="1" t="s">
        <v>1012</v>
      </c>
      <c r="B981" s="1" t="s">
        <v>1238</v>
      </c>
      <c r="C981" s="1" t="s">
        <v>29</v>
      </c>
      <c r="D981" s="1">
        <v>2</v>
      </c>
      <c r="E981" s="1" t="s">
        <v>25</v>
      </c>
      <c r="F981" s="1" t="s">
        <v>29</v>
      </c>
      <c r="G981" s="1">
        <v>4825</v>
      </c>
      <c r="H981" s="1">
        <v>7482</v>
      </c>
      <c r="I981" s="1">
        <v>77</v>
      </c>
      <c r="J981" s="1">
        <v>120</v>
      </c>
      <c r="K981" s="1">
        <v>1</v>
      </c>
      <c r="L981" s="1" t="s">
        <v>41</v>
      </c>
      <c r="M981" s="1">
        <f>Table1[[#This Row],[ApplicantIncome]]+Table1[[#This Row],[CoapplicantIncome]]</f>
        <v>12307</v>
      </c>
      <c r="N981" s="1" t="s">
        <v>26</v>
      </c>
      <c r="O981" s="1" t="str">
        <f>IF(Table1[[#This Row],[Total_Income]]&lt;3000,"Low",IF(Table1[[#This Row],[Total_Income]]&lt;7000,"Medium","High"))</f>
        <v>High</v>
      </c>
      <c r="P981" s="1" t="str">
        <f t="shared" si="45"/>
        <v>Rejected</v>
      </c>
      <c r="Q981" s="1" t="str">
        <f t="shared" si="46"/>
        <v>Low Risk</v>
      </c>
      <c r="R981" s="2">
        <f t="shared" si="47"/>
        <v>934.22247653624822</v>
      </c>
    </row>
    <row r="982" spans="1:18" s="1" customFormat="1" ht="11.5" x14ac:dyDescent="0.25">
      <c r="A982" s="1" t="s">
        <v>1013</v>
      </c>
      <c r="B982" s="1" t="s">
        <v>28</v>
      </c>
      <c r="C982" s="1" t="s">
        <v>22</v>
      </c>
      <c r="D982" s="1" t="s">
        <v>16</v>
      </c>
      <c r="E982" s="1" t="s">
        <v>25</v>
      </c>
      <c r="F982" s="1" t="s">
        <v>22</v>
      </c>
      <c r="G982" s="1">
        <v>4245</v>
      </c>
      <c r="H982" s="1">
        <v>2637</v>
      </c>
      <c r="I982" s="1">
        <v>617</v>
      </c>
      <c r="J982" s="1">
        <v>360</v>
      </c>
      <c r="K982" s="1">
        <v>1</v>
      </c>
      <c r="L982" s="1" t="s">
        <v>30</v>
      </c>
      <c r="M982" s="1">
        <f>Table1[[#This Row],[ApplicantIncome]]+Table1[[#This Row],[CoapplicantIncome]]</f>
        <v>6882</v>
      </c>
      <c r="N982" s="1" t="s">
        <v>26</v>
      </c>
      <c r="O982" s="1" t="str">
        <f>IF(Table1[[#This Row],[Total_Income]]&lt;3000,"Low",IF(Table1[[#This Row],[Total_Income]]&lt;7000,"Medium","High"))</f>
        <v>Medium</v>
      </c>
      <c r="P982" s="1" t="str">
        <f t="shared" si="45"/>
        <v>Rejected</v>
      </c>
      <c r="Q982" s="1" t="str">
        <f t="shared" si="46"/>
        <v>Low Risk</v>
      </c>
      <c r="R982" s="2">
        <f t="shared" si="47"/>
        <v>4527.3274208357516</v>
      </c>
    </row>
    <row r="983" spans="1:18" s="1" customFormat="1" ht="11.5" x14ac:dyDescent="0.25">
      <c r="A983" s="1" t="s">
        <v>1014</v>
      </c>
      <c r="B983" s="1" t="s">
        <v>52</v>
      </c>
      <c r="C983" s="1" t="s">
        <v>22</v>
      </c>
      <c r="D983" s="1">
        <v>2</v>
      </c>
      <c r="E983" s="1" t="s">
        <v>17</v>
      </c>
      <c r="F983" s="1" t="s">
        <v>22</v>
      </c>
      <c r="G983" s="1">
        <v>13274</v>
      </c>
      <c r="H983" s="1">
        <v>1146</v>
      </c>
      <c r="I983" s="1">
        <v>571</v>
      </c>
      <c r="J983" s="1">
        <v>360</v>
      </c>
      <c r="K983" s="1">
        <v>0</v>
      </c>
      <c r="L983" s="1" t="s">
        <v>30</v>
      </c>
      <c r="M983" s="1">
        <f>Table1[[#This Row],[ApplicantIncome]]+Table1[[#This Row],[CoapplicantIncome]]</f>
        <v>14420</v>
      </c>
      <c r="N983" s="1" t="s">
        <v>26</v>
      </c>
      <c r="O983" s="1" t="str">
        <f>IF(Table1[[#This Row],[Total_Income]]&lt;3000,"Low",IF(Table1[[#This Row],[Total_Income]]&lt;7000,"Medium","High"))</f>
        <v>High</v>
      </c>
      <c r="P983" s="1" t="str">
        <f t="shared" si="45"/>
        <v>Rejected</v>
      </c>
      <c r="Q983" s="1" t="str">
        <f t="shared" si="46"/>
        <v>High Risk</v>
      </c>
      <c r="R983" s="2">
        <f t="shared" si="47"/>
        <v>4189.7957168512385</v>
      </c>
    </row>
    <row r="984" spans="1:18" s="1" customFormat="1" ht="11.5" x14ac:dyDescent="0.25">
      <c r="A984" s="1" t="s">
        <v>1015</v>
      </c>
      <c r="B984" s="1" t="s">
        <v>52</v>
      </c>
      <c r="C984" s="1" t="s">
        <v>22</v>
      </c>
      <c r="D984" s="1">
        <v>2</v>
      </c>
      <c r="E984" s="1" t="s">
        <v>25</v>
      </c>
      <c r="F984" s="1" t="s">
        <v>22</v>
      </c>
      <c r="G984" s="1">
        <v>4849</v>
      </c>
      <c r="H984" s="1">
        <v>3224</v>
      </c>
      <c r="I984" s="1">
        <v>648</v>
      </c>
      <c r="J984" s="1">
        <v>180</v>
      </c>
      <c r="K984" s="1">
        <v>1</v>
      </c>
      <c r="L984" s="1" t="s">
        <v>19</v>
      </c>
      <c r="M984" s="1">
        <f>Table1[[#This Row],[ApplicantIncome]]+Table1[[#This Row],[CoapplicantIncome]]</f>
        <v>8073</v>
      </c>
      <c r="N984" s="1" t="s">
        <v>26</v>
      </c>
      <c r="O984" s="1" t="str">
        <f>IF(Table1[[#This Row],[Total_Income]]&lt;3000,"Low",IF(Table1[[#This Row],[Total_Income]]&lt;7000,"Medium","High"))</f>
        <v>High</v>
      </c>
      <c r="P984" s="1" t="str">
        <f t="shared" si="45"/>
        <v>Rejected</v>
      </c>
      <c r="Q984" s="1" t="str">
        <f t="shared" si="46"/>
        <v>Low Risk</v>
      </c>
      <c r="R984" s="2">
        <f t="shared" si="47"/>
        <v>6192.6255064606776</v>
      </c>
    </row>
    <row r="985" spans="1:18" s="1" customFormat="1" ht="11.5" x14ac:dyDescent="0.25">
      <c r="A985" s="1" t="s">
        <v>1016</v>
      </c>
      <c r="B985" s="1" t="s">
        <v>28</v>
      </c>
      <c r="C985" s="1" t="s">
        <v>22</v>
      </c>
      <c r="D985" s="1">
        <v>2</v>
      </c>
      <c r="E985" s="1" t="s">
        <v>25</v>
      </c>
      <c r="F985" s="1" t="s">
        <v>22</v>
      </c>
      <c r="G985" s="1">
        <v>5520</v>
      </c>
      <c r="H985" s="1">
        <v>6749</v>
      </c>
      <c r="I985" s="1">
        <v>643</v>
      </c>
      <c r="J985" s="1">
        <v>120</v>
      </c>
      <c r="K985" s="1">
        <v>0</v>
      </c>
      <c r="L985" s="1" t="s">
        <v>19</v>
      </c>
      <c r="M985" s="1">
        <f>Table1[[#This Row],[ApplicantIncome]]+Table1[[#This Row],[CoapplicantIncome]]</f>
        <v>12269</v>
      </c>
      <c r="N985" s="1" t="s">
        <v>20</v>
      </c>
      <c r="O985" s="1" t="str">
        <f>IF(Table1[[#This Row],[Total_Income]]&lt;3000,"Low",IF(Table1[[#This Row],[Total_Income]]&lt;7000,"Medium","High"))</f>
        <v>High</v>
      </c>
      <c r="P985" s="1" t="str">
        <f t="shared" si="45"/>
        <v>Approved</v>
      </c>
      <c r="Q985" s="1" t="str">
        <f t="shared" si="46"/>
        <v>High Risk</v>
      </c>
      <c r="R985" s="2">
        <f t="shared" si="47"/>
        <v>7801.3643170494497</v>
      </c>
    </row>
    <row r="986" spans="1:18" s="1" customFormat="1" ht="11.5" x14ac:dyDescent="0.25">
      <c r="A986" s="1" t="s">
        <v>1017</v>
      </c>
      <c r="B986" s="1" t="s">
        <v>28</v>
      </c>
      <c r="C986" s="1" t="s">
        <v>29</v>
      </c>
      <c r="D986" s="1" t="s">
        <v>16</v>
      </c>
      <c r="E986" s="1" t="s">
        <v>25</v>
      </c>
      <c r="F986" s="1" t="s">
        <v>22</v>
      </c>
      <c r="G986" s="1">
        <v>17562</v>
      </c>
      <c r="H986" s="1">
        <v>832</v>
      </c>
      <c r="I986" s="1">
        <v>394</v>
      </c>
      <c r="J986" s="1">
        <v>180</v>
      </c>
      <c r="K986" s="1">
        <v>0</v>
      </c>
      <c r="L986" s="1" t="s">
        <v>19</v>
      </c>
      <c r="M986" s="1">
        <f>Table1[[#This Row],[ApplicantIncome]]+Table1[[#This Row],[CoapplicantIncome]]</f>
        <v>18394</v>
      </c>
      <c r="N986" s="1" t="s">
        <v>26</v>
      </c>
      <c r="O986" s="1" t="str">
        <f>IF(Table1[[#This Row],[Total_Income]]&lt;3000,"Low",IF(Table1[[#This Row],[Total_Income]]&lt;7000,"Medium","High"))</f>
        <v>High</v>
      </c>
      <c r="P986" s="1" t="str">
        <f t="shared" si="45"/>
        <v>Rejected</v>
      </c>
      <c r="Q986" s="1" t="str">
        <f t="shared" si="46"/>
        <v>High Risk</v>
      </c>
      <c r="R986" s="2">
        <f t="shared" si="47"/>
        <v>3765.2692122615845</v>
      </c>
    </row>
    <row r="987" spans="1:18" s="1" customFormat="1" ht="11.5" x14ac:dyDescent="0.25">
      <c r="A987" s="1" t="s">
        <v>1018</v>
      </c>
      <c r="B987" s="1" t="s">
        <v>52</v>
      </c>
      <c r="C987" s="1" t="s">
        <v>22</v>
      </c>
      <c r="D987" s="1">
        <v>1</v>
      </c>
      <c r="E987" s="1" t="s">
        <v>17</v>
      </c>
      <c r="F987" s="1" t="s">
        <v>22</v>
      </c>
      <c r="G987" s="1">
        <v>7846</v>
      </c>
      <c r="H987" s="1">
        <v>5535</v>
      </c>
      <c r="I987" s="1">
        <v>73</v>
      </c>
      <c r="J987" s="1">
        <v>360</v>
      </c>
      <c r="K987" s="1">
        <v>1</v>
      </c>
      <c r="L987" s="1" t="s">
        <v>19</v>
      </c>
      <c r="M987" s="1">
        <f>Table1[[#This Row],[ApplicantIncome]]+Table1[[#This Row],[CoapplicantIncome]]</f>
        <v>13381</v>
      </c>
      <c r="N987" s="1" t="s">
        <v>26</v>
      </c>
      <c r="O987" s="1" t="str">
        <f>IF(Table1[[#This Row],[Total_Income]]&lt;3000,"Low",IF(Table1[[#This Row],[Total_Income]]&lt;7000,"Medium","High"))</f>
        <v>High</v>
      </c>
      <c r="P987" s="1" t="str">
        <f t="shared" si="45"/>
        <v>Rejected</v>
      </c>
      <c r="Q987" s="1" t="str">
        <f t="shared" si="46"/>
        <v>Low Risk</v>
      </c>
      <c r="R987" s="2">
        <f t="shared" si="47"/>
        <v>535.64813893194457</v>
      </c>
    </row>
    <row r="988" spans="1:18" s="1" customFormat="1" ht="11.5" x14ac:dyDescent="0.25">
      <c r="A988" s="1" t="s">
        <v>1019</v>
      </c>
      <c r="B988" s="1" t="s">
        <v>28</v>
      </c>
      <c r="C988" s="1" t="s">
        <v>29</v>
      </c>
      <c r="D988" s="1">
        <v>0</v>
      </c>
      <c r="E988" s="1" t="s">
        <v>17</v>
      </c>
      <c r="F988" s="1" t="s">
        <v>22</v>
      </c>
      <c r="G988" s="1">
        <v>9291</v>
      </c>
      <c r="H988" s="1">
        <v>7268</v>
      </c>
      <c r="I988" s="1">
        <v>425</v>
      </c>
      <c r="J988" s="1">
        <v>120</v>
      </c>
      <c r="K988" s="1">
        <v>0</v>
      </c>
      <c r="L988" s="1" t="s">
        <v>19</v>
      </c>
      <c r="M988" s="1">
        <f>Table1[[#This Row],[ApplicantIncome]]+Table1[[#This Row],[CoapplicantIncome]]</f>
        <v>16559</v>
      </c>
      <c r="N988" s="1" t="s">
        <v>26</v>
      </c>
      <c r="O988" s="1" t="str">
        <f>IF(Table1[[#This Row],[Total_Income]]&lt;3000,"Low",IF(Table1[[#This Row],[Total_Income]]&lt;7000,"Medium","High"))</f>
        <v>High</v>
      </c>
      <c r="P988" s="1" t="str">
        <f t="shared" si="45"/>
        <v>Rejected</v>
      </c>
      <c r="Q988" s="1" t="str">
        <f t="shared" si="46"/>
        <v>High Risk</v>
      </c>
      <c r="R988" s="2">
        <f t="shared" si="47"/>
        <v>5156.4227601026696</v>
      </c>
    </row>
    <row r="989" spans="1:18" s="1" customFormat="1" ht="11.5" x14ac:dyDescent="0.25">
      <c r="A989" s="1" t="s">
        <v>1020</v>
      </c>
      <c r="B989" s="1" t="s">
        <v>28</v>
      </c>
      <c r="C989" s="1" t="s">
        <v>22</v>
      </c>
      <c r="D989" s="1">
        <v>1</v>
      </c>
      <c r="E989" s="1" t="s">
        <v>25</v>
      </c>
      <c r="F989" s="1" t="s">
        <v>22</v>
      </c>
      <c r="G989" s="1">
        <v>8067</v>
      </c>
      <c r="H989" s="1">
        <v>9767</v>
      </c>
      <c r="I989" s="1">
        <v>474</v>
      </c>
      <c r="J989" s="1">
        <v>120</v>
      </c>
      <c r="K989" s="1">
        <v>0</v>
      </c>
      <c r="L989" s="1" t="s">
        <v>41</v>
      </c>
      <c r="M989" s="1">
        <f>Table1[[#This Row],[ApplicantIncome]]+Table1[[#This Row],[CoapplicantIncome]]</f>
        <v>17834</v>
      </c>
      <c r="N989" s="1" t="s">
        <v>26</v>
      </c>
      <c r="O989" s="1" t="str">
        <f>IF(Table1[[#This Row],[Total_Income]]&lt;3000,"Low",IF(Table1[[#This Row],[Total_Income]]&lt;7000,"Medium","High"))</f>
        <v>High</v>
      </c>
      <c r="P989" s="1" t="str">
        <f t="shared" si="45"/>
        <v>Rejected</v>
      </c>
      <c r="Q989" s="1" t="str">
        <f t="shared" si="46"/>
        <v>High Risk</v>
      </c>
      <c r="R989" s="2">
        <f t="shared" si="47"/>
        <v>5750.9279724439184</v>
      </c>
    </row>
    <row r="990" spans="1:18" s="1" customFormat="1" ht="11.5" x14ac:dyDescent="0.25">
      <c r="A990" s="1" t="s">
        <v>1021</v>
      </c>
      <c r="B990" s="1" t="s">
        <v>52</v>
      </c>
      <c r="C990" s="1" t="s">
        <v>22</v>
      </c>
      <c r="D990" s="1">
        <v>1</v>
      </c>
      <c r="E990" s="1" t="s">
        <v>25</v>
      </c>
      <c r="F990" s="1" t="s">
        <v>22</v>
      </c>
      <c r="G990" s="1">
        <v>18222</v>
      </c>
      <c r="H990" s="1">
        <v>9152</v>
      </c>
      <c r="I990" s="1">
        <v>221</v>
      </c>
      <c r="J990" s="1">
        <v>180</v>
      </c>
      <c r="K990" s="1">
        <v>1</v>
      </c>
      <c r="L990" s="1" t="s">
        <v>30</v>
      </c>
      <c r="M990" s="1">
        <f>Table1[[#This Row],[ApplicantIncome]]+Table1[[#This Row],[CoapplicantIncome]]</f>
        <v>27374</v>
      </c>
      <c r="N990" s="1" t="s">
        <v>20</v>
      </c>
      <c r="O990" s="1" t="str">
        <f>IF(Table1[[#This Row],[Total_Income]]&lt;3000,"Low",IF(Table1[[#This Row],[Total_Income]]&lt;7000,"Medium","High"))</f>
        <v>High</v>
      </c>
      <c r="P990" s="1" t="str">
        <f t="shared" si="45"/>
        <v>Approved</v>
      </c>
      <c r="Q990" s="1" t="str">
        <f t="shared" si="46"/>
        <v>Low Risk</v>
      </c>
      <c r="R990" s="2">
        <f t="shared" si="47"/>
        <v>2111.991106370077</v>
      </c>
    </row>
    <row r="991" spans="1:18" s="1" customFormat="1" ht="11.5" x14ac:dyDescent="0.25">
      <c r="A991" s="1" t="s">
        <v>1022</v>
      </c>
      <c r="B991" s="1" t="s">
        <v>1238</v>
      </c>
      <c r="C991" s="1" t="s">
        <v>22</v>
      </c>
      <c r="D991" s="1">
        <v>0</v>
      </c>
      <c r="E991" s="1" t="s">
        <v>25</v>
      </c>
      <c r="F991" s="1" t="s">
        <v>22</v>
      </c>
      <c r="G991" s="1">
        <v>4261</v>
      </c>
      <c r="H991" s="1">
        <v>8116</v>
      </c>
      <c r="I991" s="1">
        <v>138</v>
      </c>
      <c r="J991" s="1">
        <v>120</v>
      </c>
      <c r="K991" s="1">
        <v>0</v>
      </c>
      <c r="L991" s="1" t="s">
        <v>19</v>
      </c>
      <c r="M991" s="1">
        <f>Table1[[#This Row],[ApplicantIncome]]+Table1[[#This Row],[CoapplicantIncome]]</f>
        <v>12377</v>
      </c>
      <c r="N991" s="1" t="s">
        <v>26</v>
      </c>
      <c r="O991" s="1" t="str">
        <f>IF(Table1[[#This Row],[Total_Income]]&lt;3000,"Low",IF(Table1[[#This Row],[Total_Income]]&lt;7000,"Medium","High"))</f>
        <v>High</v>
      </c>
      <c r="P991" s="1" t="str">
        <f t="shared" si="45"/>
        <v>Rejected</v>
      </c>
      <c r="Q991" s="1" t="str">
        <f t="shared" si="46"/>
        <v>High Risk</v>
      </c>
      <c r="R991" s="2">
        <f t="shared" si="47"/>
        <v>1674.3208021039254</v>
      </c>
    </row>
    <row r="992" spans="1:18" s="1" customFormat="1" ht="11.5" x14ac:dyDescent="0.25">
      <c r="A992" s="1" t="s">
        <v>1023</v>
      </c>
      <c r="B992" s="1" t="s">
        <v>52</v>
      </c>
      <c r="C992" s="1" t="s">
        <v>22</v>
      </c>
      <c r="D992" s="1">
        <v>0</v>
      </c>
      <c r="E992" s="1" t="s">
        <v>17</v>
      </c>
      <c r="F992" s="1" t="s">
        <v>29</v>
      </c>
      <c r="G992" s="1">
        <v>11469</v>
      </c>
      <c r="H992" s="1">
        <v>5618</v>
      </c>
      <c r="I992" s="1">
        <v>111</v>
      </c>
      <c r="J992" s="1">
        <v>180</v>
      </c>
      <c r="K992" s="1">
        <v>0</v>
      </c>
      <c r="L992" s="1" t="s">
        <v>19</v>
      </c>
      <c r="M992" s="1">
        <f>Table1[[#This Row],[ApplicantIncome]]+Table1[[#This Row],[CoapplicantIncome]]</f>
        <v>17087</v>
      </c>
      <c r="N992" s="1" t="s">
        <v>26</v>
      </c>
      <c r="O992" s="1" t="str">
        <f>IF(Table1[[#This Row],[Total_Income]]&lt;3000,"Low",IF(Table1[[#This Row],[Total_Income]]&lt;7000,"Medium","High"))</f>
        <v>High</v>
      </c>
      <c r="P992" s="1" t="str">
        <f t="shared" si="45"/>
        <v>Rejected</v>
      </c>
      <c r="Q992" s="1" t="str">
        <f t="shared" si="46"/>
        <v>High Risk</v>
      </c>
      <c r="R992" s="2">
        <f t="shared" si="47"/>
        <v>1060.7738136066901</v>
      </c>
    </row>
    <row r="993" spans="1:18" s="1" customFormat="1" ht="11.5" x14ac:dyDescent="0.25">
      <c r="A993" s="1" t="s">
        <v>1024</v>
      </c>
      <c r="B993" s="1" t="s">
        <v>28</v>
      </c>
      <c r="C993" s="1" t="s">
        <v>22</v>
      </c>
      <c r="D993" s="1" t="s">
        <v>16</v>
      </c>
      <c r="E993" s="1" t="s">
        <v>25</v>
      </c>
      <c r="F993" s="1" t="s">
        <v>29</v>
      </c>
      <c r="G993" s="1">
        <v>14561</v>
      </c>
      <c r="H993" s="1">
        <v>5618</v>
      </c>
      <c r="I993" s="1">
        <v>420</v>
      </c>
      <c r="J993" s="1">
        <v>180</v>
      </c>
      <c r="K993" s="1">
        <v>0</v>
      </c>
      <c r="L993" s="1" t="s">
        <v>30</v>
      </c>
      <c r="M993" s="1">
        <f>Table1[[#This Row],[ApplicantIncome]]+Table1[[#This Row],[CoapplicantIncome]]</f>
        <v>20179</v>
      </c>
      <c r="N993" s="1" t="s">
        <v>20</v>
      </c>
      <c r="O993" s="1" t="str">
        <f>IF(Table1[[#This Row],[Total_Income]]&lt;3000,"Low",IF(Table1[[#This Row],[Total_Income]]&lt;7000,"Medium","High"))</f>
        <v>High</v>
      </c>
      <c r="P993" s="1" t="str">
        <f t="shared" si="45"/>
        <v>Approved</v>
      </c>
      <c r="Q993" s="1" t="str">
        <f t="shared" si="46"/>
        <v>High Risk</v>
      </c>
      <c r="R993" s="2">
        <f t="shared" si="47"/>
        <v>4013.7387541874764</v>
      </c>
    </row>
    <row r="994" spans="1:18" s="1" customFormat="1" ht="11.5" x14ac:dyDescent="0.25">
      <c r="A994" s="1" t="s">
        <v>1025</v>
      </c>
      <c r="B994" s="1" t="s">
        <v>1238</v>
      </c>
      <c r="C994" s="1" t="s">
        <v>22</v>
      </c>
      <c r="D994" s="1" t="s">
        <v>16</v>
      </c>
      <c r="E994" s="1" t="s">
        <v>25</v>
      </c>
      <c r="F994" s="1" t="s">
        <v>29</v>
      </c>
      <c r="G994" s="1">
        <v>16778</v>
      </c>
      <c r="H994" s="1">
        <v>8409</v>
      </c>
      <c r="I994" s="1">
        <v>154</v>
      </c>
      <c r="J994" s="1">
        <v>360</v>
      </c>
      <c r="K994" s="1">
        <v>0</v>
      </c>
      <c r="L994" s="1" t="s">
        <v>19</v>
      </c>
      <c r="M994" s="1">
        <f>Table1[[#This Row],[ApplicantIncome]]+Table1[[#This Row],[CoapplicantIncome]]</f>
        <v>25187</v>
      </c>
      <c r="N994" s="1" t="s">
        <v>26</v>
      </c>
      <c r="O994" s="1" t="str">
        <f>IF(Table1[[#This Row],[Total_Income]]&lt;3000,"Low",IF(Table1[[#This Row],[Total_Income]]&lt;7000,"Medium","High"))</f>
        <v>High</v>
      </c>
      <c r="P994" s="1" t="str">
        <f t="shared" si="45"/>
        <v>Rejected</v>
      </c>
      <c r="Q994" s="1" t="str">
        <f t="shared" si="46"/>
        <v>High Risk</v>
      </c>
      <c r="R994" s="2">
        <f t="shared" si="47"/>
        <v>1129.9974437742394</v>
      </c>
    </row>
    <row r="995" spans="1:18" s="1" customFormat="1" ht="11.5" x14ac:dyDescent="0.25">
      <c r="A995" s="1" t="s">
        <v>1026</v>
      </c>
      <c r="B995" s="1" t="s">
        <v>1238</v>
      </c>
      <c r="C995" s="1" t="s">
        <v>22</v>
      </c>
      <c r="D995" s="1">
        <v>2</v>
      </c>
      <c r="E995" s="1" t="s">
        <v>17</v>
      </c>
      <c r="F995" s="1" t="s">
        <v>22</v>
      </c>
      <c r="G995" s="1">
        <v>1831</v>
      </c>
      <c r="H995" s="1">
        <v>5000</v>
      </c>
      <c r="I995" s="1">
        <v>556</v>
      </c>
      <c r="J995" s="1">
        <v>360</v>
      </c>
      <c r="K995" s="1">
        <v>0</v>
      </c>
      <c r="L995" s="1" t="s">
        <v>19</v>
      </c>
      <c r="M995" s="1">
        <f>Table1[[#This Row],[ApplicantIncome]]+Table1[[#This Row],[CoapplicantIncome]]</f>
        <v>6831</v>
      </c>
      <c r="N995" s="1" t="s">
        <v>20</v>
      </c>
      <c r="O995" s="1" t="str">
        <f>IF(Table1[[#This Row],[Total_Income]]&lt;3000,"Low",IF(Table1[[#This Row],[Total_Income]]&lt;7000,"Medium","High"))</f>
        <v>Medium</v>
      </c>
      <c r="P995" s="1" t="str">
        <f t="shared" si="45"/>
        <v>Approved</v>
      </c>
      <c r="Q995" s="1" t="str">
        <f t="shared" si="46"/>
        <v>High Risk</v>
      </c>
      <c r="R995" s="2">
        <f t="shared" si="47"/>
        <v>4079.7310307693315</v>
      </c>
    </row>
    <row r="996" spans="1:18" s="1" customFormat="1" ht="11.5" x14ac:dyDescent="0.25">
      <c r="A996" s="1" t="s">
        <v>1027</v>
      </c>
      <c r="B996" s="1" t="s">
        <v>1238</v>
      </c>
      <c r="C996" s="1" t="s">
        <v>29</v>
      </c>
      <c r="D996" s="1">
        <v>0</v>
      </c>
      <c r="E996" s="1" t="s">
        <v>17</v>
      </c>
      <c r="F996" s="1" t="s">
        <v>22</v>
      </c>
      <c r="G996" s="1">
        <v>17200</v>
      </c>
      <c r="H996" s="1">
        <v>3386</v>
      </c>
      <c r="I996" s="1">
        <v>210</v>
      </c>
      <c r="J996" s="1">
        <v>180</v>
      </c>
      <c r="K996" s="1">
        <v>1</v>
      </c>
      <c r="L996" s="1" t="s">
        <v>41</v>
      </c>
      <c r="M996" s="1">
        <f>Table1[[#This Row],[ApplicantIncome]]+Table1[[#This Row],[CoapplicantIncome]]</f>
        <v>20586</v>
      </c>
      <c r="N996" s="1" t="s">
        <v>26</v>
      </c>
      <c r="O996" s="1" t="str">
        <f>IF(Table1[[#This Row],[Total_Income]]&lt;3000,"Low",IF(Table1[[#This Row],[Total_Income]]&lt;7000,"Medium","High"))</f>
        <v>High</v>
      </c>
      <c r="P996" s="1" t="str">
        <f t="shared" si="45"/>
        <v>Rejected</v>
      </c>
      <c r="Q996" s="1" t="str">
        <f t="shared" si="46"/>
        <v>Low Risk</v>
      </c>
      <c r="R996" s="2">
        <f t="shared" si="47"/>
        <v>2006.8693770937382</v>
      </c>
    </row>
    <row r="997" spans="1:18" s="1" customFormat="1" ht="11.5" x14ac:dyDescent="0.25">
      <c r="A997" s="1" t="s">
        <v>1028</v>
      </c>
      <c r="B997" s="1" t="s">
        <v>52</v>
      </c>
      <c r="C997" s="1" t="s">
        <v>22</v>
      </c>
      <c r="D997" s="1">
        <v>1</v>
      </c>
      <c r="E997" s="1" t="s">
        <v>25</v>
      </c>
      <c r="F997" s="1" t="s">
        <v>29</v>
      </c>
      <c r="G997" s="1">
        <v>3669</v>
      </c>
      <c r="H997" s="1">
        <v>5987</v>
      </c>
      <c r="I997" s="1">
        <v>477</v>
      </c>
      <c r="J997" s="1">
        <v>120</v>
      </c>
      <c r="K997" s="1">
        <v>0</v>
      </c>
      <c r="L997" s="1" t="s">
        <v>41</v>
      </c>
      <c r="M997" s="1">
        <f>Table1[[#This Row],[ApplicantIncome]]+Table1[[#This Row],[CoapplicantIncome]]</f>
        <v>9656</v>
      </c>
      <c r="N997" s="1" t="s">
        <v>20</v>
      </c>
      <c r="O997" s="1" t="str">
        <f>IF(Table1[[#This Row],[Total_Income]]&lt;3000,"Low",IF(Table1[[#This Row],[Total_Income]]&lt;7000,"Medium","High"))</f>
        <v>High</v>
      </c>
      <c r="P997" s="1" t="str">
        <f t="shared" si="45"/>
        <v>Approved</v>
      </c>
      <c r="Q997" s="1" t="str">
        <f t="shared" si="46"/>
        <v>High Risk</v>
      </c>
      <c r="R997" s="2">
        <f t="shared" si="47"/>
        <v>5787.3262507505251</v>
      </c>
    </row>
    <row r="998" spans="1:18" s="1" customFormat="1" ht="11.5" x14ac:dyDescent="0.25">
      <c r="A998" s="1" t="s">
        <v>1029</v>
      </c>
      <c r="B998" s="1" t="s">
        <v>28</v>
      </c>
      <c r="C998" s="1" t="s">
        <v>22</v>
      </c>
      <c r="D998" s="1">
        <v>2</v>
      </c>
      <c r="E998" s="1" t="s">
        <v>25</v>
      </c>
      <c r="F998" s="1" t="s">
        <v>29</v>
      </c>
      <c r="G998" s="1">
        <v>2080</v>
      </c>
      <c r="H998" s="1">
        <v>6231</v>
      </c>
      <c r="I998" s="1">
        <v>625</v>
      </c>
      <c r="J998" s="1">
        <v>180</v>
      </c>
      <c r="K998" s="1">
        <v>0</v>
      </c>
      <c r="L998" s="1" t="s">
        <v>41</v>
      </c>
      <c r="M998" s="1">
        <f>Table1[[#This Row],[ApplicantIncome]]+Table1[[#This Row],[CoapplicantIncome]]</f>
        <v>8311</v>
      </c>
      <c r="N998" s="1" t="s">
        <v>26</v>
      </c>
      <c r="O998" s="1" t="str">
        <f>IF(Table1[[#This Row],[Total_Income]]&lt;3000,"Low",IF(Table1[[#This Row],[Total_Income]]&lt;7000,"Medium","High"))</f>
        <v>High</v>
      </c>
      <c r="P998" s="1" t="str">
        <f t="shared" si="45"/>
        <v>Rejected</v>
      </c>
      <c r="Q998" s="1" t="str">
        <f t="shared" si="46"/>
        <v>High Risk</v>
      </c>
      <c r="R998" s="2">
        <f t="shared" si="47"/>
        <v>5972.8255270646969</v>
      </c>
    </row>
    <row r="999" spans="1:18" s="1" customFormat="1" ht="11.5" x14ac:dyDescent="0.25">
      <c r="A999" s="1" t="s">
        <v>1030</v>
      </c>
      <c r="B999" s="1" t="s">
        <v>52</v>
      </c>
      <c r="C999" s="1" t="s">
        <v>22</v>
      </c>
      <c r="D999" s="1" t="s">
        <v>16</v>
      </c>
      <c r="E999" s="1" t="s">
        <v>17</v>
      </c>
      <c r="F999" s="1" t="s">
        <v>22</v>
      </c>
      <c r="G999" s="1">
        <v>11888</v>
      </c>
      <c r="H999" s="1">
        <v>3151</v>
      </c>
      <c r="I999" s="1">
        <v>182</v>
      </c>
      <c r="J999" s="1">
        <v>360</v>
      </c>
      <c r="K999" s="1">
        <v>0</v>
      </c>
      <c r="L999" s="1" t="s">
        <v>30</v>
      </c>
      <c r="M999" s="1">
        <f>Table1[[#This Row],[ApplicantIncome]]+Table1[[#This Row],[CoapplicantIncome]]</f>
        <v>15039</v>
      </c>
      <c r="N999" s="1" t="s">
        <v>26</v>
      </c>
      <c r="O999" s="1" t="str">
        <f>IF(Table1[[#This Row],[Total_Income]]&lt;3000,"Low",IF(Table1[[#This Row],[Total_Income]]&lt;7000,"Medium","High"))</f>
        <v>High</v>
      </c>
      <c r="P999" s="1" t="str">
        <f t="shared" si="45"/>
        <v>Rejected</v>
      </c>
      <c r="Q999" s="1" t="str">
        <f t="shared" si="46"/>
        <v>High Risk</v>
      </c>
      <c r="R999" s="2">
        <f t="shared" si="47"/>
        <v>1335.4515244604645</v>
      </c>
    </row>
    <row r="1000" spans="1:18" s="1" customFormat="1" ht="11.5" x14ac:dyDescent="0.25">
      <c r="A1000" s="1" t="s">
        <v>1031</v>
      </c>
      <c r="B1000" s="1" t="s">
        <v>52</v>
      </c>
      <c r="C1000" s="1" t="s">
        <v>22</v>
      </c>
      <c r="D1000" s="1" t="s">
        <v>16</v>
      </c>
      <c r="E1000" s="1" t="s">
        <v>17</v>
      </c>
      <c r="F1000" s="1" t="s">
        <v>22</v>
      </c>
      <c r="G1000" s="1">
        <v>14082</v>
      </c>
      <c r="H1000" s="1">
        <v>9356</v>
      </c>
      <c r="I1000" s="1">
        <v>209</v>
      </c>
      <c r="J1000" s="1">
        <v>360</v>
      </c>
      <c r="K1000" s="1">
        <v>0</v>
      </c>
      <c r="L1000" s="1" t="s">
        <v>30</v>
      </c>
      <c r="M1000" s="1">
        <f>Table1[[#This Row],[ApplicantIncome]]+Table1[[#This Row],[CoapplicantIncome]]</f>
        <v>23438</v>
      </c>
      <c r="N1000" s="1" t="s">
        <v>26</v>
      </c>
      <c r="O1000" s="1" t="str">
        <f>IF(Table1[[#This Row],[Total_Income]]&lt;3000,"Low",IF(Table1[[#This Row],[Total_Income]]&lt;7000,"Medium","High"))</f>
        <v>High</v>
      </c>
      <c r="P1000" s="1" t="str">
        <f t="shared" si="45"/>
        <v>Rejected</v>
      </c>
      <c r="Q1000" s="1" t="str">
        <f t="shared" si="46"/>
        <v>High Risk</v>
      </c>
      <c r="R1000" s="2">
        <f t="shared" si="47"/>
        <v>1533.5679594078961</v>
      </c>
    </row>
    <row r="1001" spans="1:18" s="1" customFormat="1" ht="11.5" x14ac:dyDescent="0.25">
      <c r="A1001" s="1" t="s">
        <v>1032</v>
      </c>
      <c r="B1001" s="1" t="s">
        <v>1238</v>
      </c>
      <c r="C1001" s="1" t="s">
        <v>29</v>
      </c>
      <c r="D1001" s="1">
        <v>0</v>
      </c>
      <c r="E1001" s="1" t="s">
        <v>17</v>
      </c>
      <c r="F1001" s="1" t="s">
        <v>29</v>
      </c>
      <c r="G1001" s="1">
        <v>15534</v>
      </c>
      <c r="H1001" s="1">
        <v>2607</v>
      </c>
      <c r="I1001" s="1">
        <v>494</v>
      </c>
      <c r="J1001" s="1">
        <v>120</v>
      </c>
      <c r="K1001" s="1">
        <v>0</v>
      </c>
      <c r="L1001" s="1" t="s">
        <v>41</v>
      </c>
      <c r="M1001" s="1">
        <f>Table1[[#This Row],[ApplicantIncome]]+Table1[[#This Row],[CoapplicantIncome]]</f>
        <v>18141</v>
      </c>
      <c r="N1001" s="1" t="s">
        <v>26</v>
      </c>
      <c r="O1001" s="1" t="str">
        <f>IF(Table1[[#This Row],[Total_Income]]&lt;3000,"Low",IF(Table1[[#This Row],[Total_Income]]&lt;7000,"Medium","High"))</f>
        <v>High</v>
      </c>
      <c r="P1001" s="1" t="str">
        <f t="shared" si="45"/>
        <v>Rejected</v>
      </c>
      <c r="Q1001" s="1" t="str">
        <f t="shared" si="46"/>
        <v>High Risk</v>
      </c>
      <c r="R1001" s="2">
        <f t="shared" si="47"/>
        <v>5993.5831611546319</v>
      </c>
    </row>
    <row r="1002" spans="1:18" s="1" customFormat="1" ht="11.5" x14ac:dyDescent="0.25">
      <c r="A1002" s="1" t="s">
        <v>1033</v>
      </c>
      <c r="B1002" s="1" t="s">
        <v>52</v>
      </c>
      <c r="C1002" s="1" t="s">
        <v>22</v>
      </c>
      <c r="D1002" s="1" t="s">
        <v>16</v>
      </c>
      <c r="E1002" s="1" t="s">
        <v>25</v>
      </c>
      <c r="F1002" s="1" t="s">
        <v>22</v>
      </c>
      <c r="G1002" s="1">
        <v>1677</v>
      </c>
      <c r="H1002" s="1">
        <v>1826</v>
      </c>
      <c r="I1002" s="1">
        <v>671</v>
      </c>
      <c r="J1002" s="1">
        <v>360</v>
      </c>
      <c r="K1002" s="1">
        <v>0</v>
      </c>
      <c r="L1002" s="1" t="s">
        <v>19</v>
      </c>
      <c r="M1002" s="1">
        <f>Table1[[#This Row],[ApplicantIncome]]+Table1[[#This Row],[CoapplicantIncome]]</f>
        <v>3503</v>
      </c>
      <c r="N1002" s="1" t="s">
        <v>20</v>
      </c>
      <c r="O1002" s="1" t="str">
        <f>IF(Table1[[#This Row],[Total_Income]]&lt;3000,"Low",IF(Table1[[#This Row],[Total_Income]]&lt;7000,"Medium","High"))</f>
        <v>Medium</v>
      </c>
      <c r="P1002" s="1" t="str">
        <f t="shared" si="45"/>
        <v>Approved</v>
      </c>
      <c r="Q1002" s="1" t="str">
        <f t="shared" si="46"/>
        <v>High Risk</v>
      </c>
      <c r="R1002" s="2">
        <f t="shared" si="47"/>
        <v>4923.5602907306147</v>
      </c>
    </row>
    <row r="1003" spans="1:18" s="1" customFormat="1" ht="11.5" x14ac:dyDescent="0.25">
      <c r="A1003" s="1" t="s">
        <v>1034</v>
      </c>
      <c r="B1003" s="1" t="s">
        <v>28</v>
      </c>
      <c r="C1003" s="1" t="s">
        <v>22</v>
      </c>
      <c r="D1003" s="1">
        <v>1</v>
      </c>
      <c r="E1003" s="1" t="s">
        <v>17</v>
      </c>
      <c r="F1003" s="1" t="s">
        <v>29</v>
      </c>
      <c r="G1003" s="1">
        <v>10743</v>
      </c>
      <c r="H1003" s="1">
        <v>5378</v>
      </c>
      <c r="I1003" s="1">
        <v>217</v>
      </c>
      <c r="J1003" s="1">
        <v>180</v>
      </c>
      <c r="K1003" s="1">
        <v>0</v>
      </c>
      <c r="L1003" s="1" t="s">
        <v>30</v>
      </c>
      <c r="M1003" s="1">
        <f>Table1[[#This Row],[ApplicantIncome]]+Table1[[#This Row],[CoapplicantIncome]]</f>
        <v>16121</v>
      </c>
      <c r="N1003" s="1" t="s">
        <v>20</v>
      </c>
      <c r="O1003" s="1" t="str">
        <f>IF(Table1[[#This Row],[Total_Income]]&lt;3000,"Low",IF(Table1[[#This Row],[Total_Income]]&lt;7000,"Medium","High"))</f>
        <v>High</v>
      </c>
      <c r="P1003" s="1" t="str">
        <f t="shared" si="45"/>
        <v>Approved</v>
      </c>
      <c r="Q1003" s="1" t="str">
        <f t="shared" si="46"/>
        <v>High Risk</v>
      </c>
      <c r="R1003" s="2">
        <f t="shared" si="47"/>
        <v>2073.7650229968626</v>
      </c>
    </row>
    <row r="1004" spans="1:18" s="1" customFormat="1" ht="11.5" x14ac:dyDescent="0.25">
      <c r="A1004" s="1" t="s">
        <v>1035</v>
      </c>
      <c r="B1004" s="1" t="s">
        <v>52</v>
      </c>
      <c r="C1004" s="1" t="s">
        <v>22</v>
      </c>
      <c r="D1004" s="1">
        <v>2</v>
      </c>
      <c r="E1004" s="1" t="s">
        <v>17</v>
      </c>
      <c r="F1004" s="1" t="s">
        <v>22</v>
      </c>
      <c r="G1004" s="1">
        <v>17092</v>
      </c>
      <c r="H1004" s="1">
        <v>1461</v>
      </c>
      <c r="I1004" s="1">
        <v>168</v>
      </c>
      <c r="J1004" s="1">
        <v>120</v>
      </c>
      <c r="K1004" s="1">
        <v>0</v>
      </c>
      <c r="L1004" s="1" t="s">
        <v>41</v>
      </c>
      <c r="M1004" s="1">
        <f>Table1[[#This Row],[ApplicantIncome]]+Table1[[#This Row],[CoapplicantIncome]]</f>
        <v>18553</v>
      </c>
      <c r="N1004" s="1" t="s">
        <v>20</v>
      </c>
      <c r="O1004" s="1" t="str">
        <f>IF(Table1[[#This Row],[Total_Income]]&lt;3000,"Low",IF(Table1[[#This Row],[Total_Income]]&lt;7000,"Medium","High"))</f>
        <v>High</v>
      </c>
      <c r="P1004" s="1" t="str">
        <f t="shared" si="45"/>
        <v>Approved</v>
      </c>
      <c r="Q1004" s="1" t="str">
        <f t="shared" si="46"/>
        <v>High Risk</v>
      </c>
      <c r="R1004" s="2">
        <f t="shared" si="47"/>
        <v>2038.3035851699965</v>
      </c>
    </row>
    <row r="1005" spans="1:18" s="1" customFormat="1" ht="11.5" x14ac:dyDescent="0.25">
      <c r="A1005" s="1" t="s">
        <v>1036</v>
      </c>
      <c r="B1005" s="1" t="s">
        <v>1238</v>
      </c>
      <c r="C1005" s="1" t="s">
        <v>22</v>
      </c>
      <c r="D1005" s="1">
        <v>1</v>
      </c>
      <c r="E1005" s="1" t="s">
        <v>25</v>
      </c>
      <c r="F1005" s="1" t="s">
        <v>22</v>
      </c>
      <c r="G1005" s="1">
        <v>12428</v>
      </c>
      <c r="H1005" s="1">
        <v>4801</v>
      </c>
      <c r="I1005" s="1">
        <v>567</v>
      </c>
      <c r="J1005" s="1">
        <v>180</v>
      </c>
      <c r="K1005" s="1">
        <v>1</v>
      </c>
      <c r="L1005" s="1" t="s">
        <v>41</v>
      </c>
      <c r="M1005" s="1">
        <f>Table1[[#This Row],[ApplicantIncome]]+Table1[[#This Row],[CoapplicantIncome]]</f>
        <v>17229</v>
      </c>
      <c r="N1005" s="1" t="s">
        <v>20</v>
      </c>
      <c r="O1005" s="1" t="str">
        <f>IF(Table1[[#This Row],[Total_Income]]&lt;3000,"Low",IF(Table1[[#This Row],[Total_Income]]&lt;7000,"Medium","High"))</f>
        <v>High</v>
      </c>
      <c r="P1005" s="1" t="str">
        <f t="shared" si="45"/>
        <v>Approved</v>
      </c>
      <c r="Q1005" s="1" t="str">
        <f t="shared" si="46"/>
        <v>Low Risk</v>
      </c>
      <c r="R1005" s="2">
        <f t="shared" si="47"/>
        <v>5418.5473181530933</v>
      </c>
    </row>
    <row r="1006" spans="1:18" s="1" customFormat="1" ht="11.5" x14ac:dyDescent="0.25">
      <c r="A1006" s="1" t="s">
        <v>1037</v>
      </c>
      <c r="B1006" s="1" t="s">
        <v>52</v>
      </c>
      <c r="C1006" s="1" t="s">
        <v>22</v>
      </c>
      <c r="D1006" s="1" t="s">
        <v>16</v>
      </c>
      <c r="E1006" s="1" t="s">
        <v>25</v>
      </c>
      <c r="F1006" s="1" t="s">
        <v>22</v>
      </c>
      <c r="G1006" s="1">
        <v>11391</v>
      </c>
      <c r="H1006" s="1">
        <v>8541</v>
      </c>
      <c r="I1006" s="1">
        <v>529</v>
      </c>
      <c r="J1006" s="1">
        <v>180</v>
      </c>
      <c r="K1006" s="1">
        <v>0</v>
      </c>
      <c r="L1006" s="1" t="s">
        <v>19</v>
      </c>
      <c r="M1006" s="1">
        <f>Table1[[#This Row],[ApplicantIncome]]+Table1[[#This Row],[CoapplicantIncome]]</f>
        <v>19932</v>
      </c>
      <c r="N1006" s="1" t="s">
        <v>20</v>
      </c>
      <c r="O1006" s="1" t="str">
        <f>IF(Table1[[#This Row],[Total_Income]]&lt;3000,"Low",IF(Table1[[#This Row],[Total_Income]]&lt;7000,"Medium","High"))</f>
        <v>High</v>
      </c>
      <c r="P1006" s="1" t="str">
        <f t="shared" si="45"/>
        <v>Approved</v>
      </c>
      <c r="Q1006" s="1" t="str">
        <f t="shared" si="46"/>
        <v>High Risk</v>
      </c>
      <c r="R1006" s="2">
        <f t="shared" si="47"/>
        <v>5055.3995261075588</v>
      </c>
    </row>
    <row r="1007" spans="1:18" s="1" customFormat="1" ht="11.5" x14ac:dyDescent="0.25">
      <c r="A1007" s="1" t="s">
        <v>1038</v>
      </c>
      <c r="B1007" s="1" t="s">
        <v>52</v>
      </c>
      <c r="C1007" s="1" t="s">
        <v>29</v>
      </c>
      <c r="D1007" s="1">
        <v>1</v>
      </c>
      <c r="E1007" s="1" t="s">
        <v>17</v>
      </c>
      <c r="F1007" s="1" t="s">
        <v>29</v>
      </c>
      <c r="G1007" s="1">
        <v>15869</v>
      </c>
      <c r="H1007" s="1">
        <v>4545</v>
      </c>
      <c r="I1007" s="1">
        <v>359</v>
      </c>
      <c r="J1007" s="1">
        <v>180</v>
      </c>
      <c r="K1007" s="1">
        <v>0</v>
      </c>
      <c r="L1007" s="1" t="s">
        <v>30</v>
      </c>
      <c r="M1007" s="1">
        <f>Table1[[#This Row],[ApplicantIncome]]+Table1[[#This Row],[CoapplicantIncome]]</f>
        <v>20414</v>
      </c>
      <c r="N1007" s="1" t="s">
        <v>20</v>
      </c>
      <c r="O1007" s="1" t="str">
        <f>IF(Table1[[#This Row],[Total_Income]]&lt;3000,"Low",IF(Table1[[#This Row],[Total_Income]]&lt;7000,"Medium","High"))</f>
        <v>High</v>
      </c>
      <c r="P1007" s="1" t="str">
        <f t="shared" si="45"/>
        <v>Approved</v>
      </c>
      <c r="Q1007" s="1" t="str">
        <f t="shared" si="46"/>
        <v>High Risk</v>
      </c>
      <c r="R1007" s="2">
        <f t="shared" si="47"/>
        <v>3430.7909827459616</v>
      </c>
    </row>
    <row r="1008" spans="1:18" s="1" customFormat="1" ht="11.5" x14ac:dyDescent="0.25">
      <c r="A1008" s="1" t="s">
        <v>1039</v>
      </c>
      <c r="B1008" s="1" t="s">
        <v>52</v>
      </c>
      <c r="C1008" s="1" t="s">
        <v>29</v>
      </c>
      <c r="D1008" s="1">
        <v>0</v>
      </c>
      <c r="E1008" s="1" t="s">
        <v>25</v>
      </c>
      <c r="F1008" s="1" t="s">
        <v>22</v>
      </c>
      <c r="G1008" s="1">
        <v>13534</v>
      </c>
      <c r="H1008" s="1">
        <v>4285</v>
      </c>
      <c r="I1008" s="1">
        <v>561</v>
      </c>
      <c r="J1008" s="1">
        <v>120</v>
      </c>
      <c r="K1008" s="1">
        <v>1</v>
      </c>
      <c r="L1008" s="1" t="s">
        <v>41</v>
      </c>
      <c r="M1008" s="1">
        <f>Table1[[#This Row],[ApplicantIncome]]+Table1[[#This Row],[CoapplicantIncome]]</f>
        <v>17819</v>
      </c>
      <c r="N1008" s="1" t="s">
        <v>26</v>
      </c>
      <c r="O1008" s="1" t="str">
        <f>IF(Table1[[#This Row],[Total_Income]]&lt;3000,"Low",IF(Table1[[#This Row],[Total_Income]]&lt;7000,"Medium","High"))</f>
        <v>High</v>
      </c>
      <c r="P1008" s="1" t="str">
        <f t="shared" si="45"/>
        <v>Rejected</v>
      </c>
      <c r="Q1008" s="1" t="str">
        <f t="shared" si="46"/>
        <v>Low Risk</v>
      </c>
      <c r="R1008" s="2">
        <f t="shared" si="47"/>
        <v>6806.4780433355236</v>
      </c>
    </row>
    <row r="1009" spans="1:18" s="1" customFormat="1" ht="11.5" x14ac:dyDescent="0.25">
      <c r="A1009" s="1" t="s">
        <v>1040</v>
      </c>
      <c r="B1009" s="1" t="s">
        <v>1238</v>
      </c>
      <c r="C1009" s="1" t="s">
        <v>22</v>
      </c>
      <c r="D1009" s="1">
        <v>0</v>
      </c>
      <c r="E1009" s="1" t="s">
        <v>25</v>
      </c>
      <c r="F1009" s="1" t="s">
        <v>29</v>
      </c>
      <c r="G1009" s="1">
        <v>19410</v>
      </c>
      <c r="H1009" s="1">
        <v>4417</v>
      </c>
      <c r="I1009" s="1">
        <v>265</v>
      </c>
      <c r="J1009" s="1">
        <v>120</v>
      </c>
      <c r="K1009" s="1">
        <v>0</v>
      </c>
      <c r="L1009" s="1" t="s">
        <v>19</v>
      </c>
      <c r="M1009" s="1">
        <f>Table1[[#This Row],[ApplicantIncome]]+Table1[[#This Row],[CoapplicantIncome]]</f>
        <v>23827</v>
      </c>
      <c r="N1009" s="1" t="s">
        <v>20</v>
      </c>
      <c r="O1009" s="1" t="str">
        <f>IF(Table1[[#This Row],[Total_Income]]&lt;3000,"Low",IF(Table1[[#This Row],[Total_Income]]&lt;7000,"Medium","High"))</f>
        <v>High</v>
      </c>
      <c r="P1009" s="1" t="str">
        <f t="shared" si="45"/>
        <v>Approved</v>
      </c>
      <c r="Q1009" s="1" t="str">
        <f t="shared" si="46"/>
        <v>High Risk</v>
      </c>
      <c r="R1009" s="2">
        <f t="shared" si="47"/>
        <v>3215.1812504169584</v>
      </c>
    </row>
    <row r="1010" spans="1:18" s="1" customFormat="1" ht="11.5" x14ac:dyDescent="0.25">
      <c r="A1010" s="1" t="s">
        <v>1041</v>
      </c>
      <c r="B1010" s="1" t="s">
        <v>52</v>
      </c>
      <c r="C1010" s="1" t="s">
        <v>22</v>
      </c>
      <c r="D1010" s="1" t="s">
        <v>16</v>
      </c>
      <c r="E1010" s="1" t="s">
        <v>17</v>
      </c>
      <c r="F1010" s="1" t="s">
        <v>29</v>
      </c>
      <c r="G1010" s="1">
        <v>13957</v>
      </c>
      <c r="H1010" s="1">
        <v>7280</v>
      </c>
      <c r="I1010" s="1">
        <v>81</v>
      </c>
      <c r="J1010" s="1">
        <v>360</v>
      </c>
      <c r="K1010" s="1">
        <v>0</v>
      </c>
      <c r="L1010" s="1" t="s">
        <v>30</v>
      </c>
      <c r="M1010" s="1">
        <f>Table1[[#This Row],[ApplicantIncome]]+Table1[[#This Row],[CoapplicantIncome]]</f>
        <v>21237</v>
      </c>
      <c r="N1010" s="1" t="s">
        <v>26</v>
      </c>
      <c r="O1010" s="1" t="str">
        <f>IF(Table1[[#This Row],[Total_Income]]&lt;3000,"Low",IF(Table1[[#This Row],[Total_Income]]&lt;7000,"Medium","High"))</f>
        <v>High</v>
      </c>
      <c r="P1010" s="1" t="str">
        <f t="shared" si="45"/>
        <v>Rejected</v>
      </c>
      <c r="Q1010" s="1" t="str">
        <f t="shared" si="46"/>
        <v>High Risk</v>
      </c>
      <c r="R1010" s="2">
        <f t="shared" si="47"/>
        <v>594.34930484229471</v>
      </c>
    </row>
    <row r="1011" spans="1:18" s="1" customFormat="1" ht="11.5" x14ac:dyDescent="0.25">
      <c r="A1011" s="1" t="s">
        <v>1042</v>
      </c>
      <c r="B1011" s="1" t="s">
        <v>52</v>
      </c>
      <c r="C1011" s="1" t="s">
        <v>22</v>
      </c>
      <c r="D1011" s="1" t="s">
        <v>16</v>
      </c>
      <c r="E1011" s="1" t="s">
        <v>25</v>
      </c>
      <c r="F1011" s="1" t="s">
        <v>29</v>
      </c>
      <c r="G1011" s="1">
        <v>19415</v>
      </c>
      <c r="H1011" s="1">
        <v>9616</v>
      </c>
      <c r="I1011" s="1">
        <v>664</v>
      </c>
      <c r="J1011" s="1">
        <v>180</v>
      </c>
      <c r="K1011" s="1">
        <v>1</v>
      </c>
      <c r="L1011" s="1" t="s">
        <v>19</v>
      </c>
      <c r="M1011" s="1">
        <f>Table1[[#This Row],[ApplicantIncome]]+Table1[[#This Row],[CoapplicantIncome]]</f>
        <v>29031</v>
      </c>
      <c r="N1011" s="1" t="s">
        <v>26</v>
      </c>
      <c r="O1011" s="1" t="str">
        <f>IF(Table1[[#This Row],[Total_Income]]&lt;3000,"Low",IF(Table1[[#This Row],[Total_Income]]&lt;7000,"Medium","High"))</f>
        <v>High</v>
      </c>
      <c r="P1011" s="1" t="str">
        <f t="shared" si="45"/>
        <v>Rejected</v>
      </c>
      <c r="Q1011" s="1" t="str">
        <f t="shared" si="46"/>
        <v>Low Risk</v>
      </c>
      <c r="R1011" s="2">
        <f t="shared" si="47"/>
        <v>6345.5298399535341</v>
      </c>
    </row>
    <row r="1012" spans="1:18" s="1" customFormat="1" ht="11.5" x14ac:dyDescent="0.25">
      <c r="A1012" s="1" t="s">
        <v>1043</v>
      </c>
      <c r="B1012" s="1" t="s">
        <v>28</v>
      </c>
      <c r="C1012" s="1" t="s">
        <v>22</v>
      </c>
      <c r="D1012" s="1" t="s">
        <v>16</v>
      </c>
      <c r="E1012" s="1" t="s">
        <v>17</v>
      </c>
      <c r="F1012" s="1" t="s">
        <v>29</v>
      </c>
      <c r="G1012" s="1">
        <v>5146</v>
      </c>
      <c r="H1012" s="1">
        <v>381</v>
      </c>
      <c r="I1012" s="1">
        <v>165</v>
      </c>
      <c r="J1012" s="1">
        <v>360</v>
      </c>
      <c r="K1012" s="1">
        <v>0</v>
      </c>
      <c r="L1012" s="1" t="s">
        <v>30</v>
      </c>
      <c r="M1012" s="1">
        <f>Table1[[#This Row],[ApplicantIncome]]+Table1[[#This Row],[CoapplicantIncome]]</f>
        <v>5527</v>
      </c>
      <c r="N1012" s="1" t="s">
        <v>20</v>
      </c>
      <c r="O1012" s="1" t="str">
        <f>IF(Table1[[#This Row],[Total_Income]]&lt;3000,"Low",IF(Table1[[#This Row],[Total_Income]]&lt;7000,"Medium","High"))</f>
        <v>Medium</v>
      </c>
      <c r="P1012" s="1" t="str">
        <f t="shared" si="45"/>
        <v>Approved</v>
      </c>
      <c r="Q1012" s="1" t="str">
        <f t="shared" si="46"/>
        <v>High Risk</v>
      </c>
      <c r="R1012" s="2">
        <f t="shared" si="47"/>
        <v>1210.7115469009707</v>
      </c>
    </row>
    <row r="1013" spans="1:18" s="1" customFormat="1" ht="11.5" x14ac:dyDescent="0.25">
      <c r="A1013" s="1" t="s">
        <v>1044</v>
      </c>
      <c r="B1013" s="1" t="s">
        <v>1238</v>
      </c>
      <c r="C1013" s="1" t="s">
        <v>22</v>
      </c>
      <c r="D1013" s="1">
        <v>0</v>
      </c>
      <c r="E1013" s="1" t="s">
        <v>25</v>
      </c>
      <c r="F1013" s="1" t="s">
        <v>22</v>
      </c>
      <c r="G1013" s="1">
        <v>1711</v>
      </c>
      <c r="H1013" s="1">
        <v>242</v>
      </c>
      <c r="I1013" s="1">
        <v>488</v>
      </c>
      <c r="J1013" s="1">
        <v>120</v>
      </c>
      <c r="K1013" s="1">
        <v>0</v>
      </c>
      <c r="L1013" s="1" t="s">
        <v>41</v>
      </c>
      <c r="M1013" s="1">
        <f>Table1[[#This Row],[ApplicantIncome]]+Table1[[#This Row],[CoapplicantIncome]]</f>
        <v>1953</v>
      </c>
      <c r="N1013" s="1" t="s">
        <v>20</v>
      </c>
      <c r="O1013" s="1" t="str">
        <f>IF(Table1[[#This Row],[Total_Income]]&lt;3000,"Low",IF(Table1[[#This Row],[Total_Income]]&lt;7000,"Medium","High"))</f>
        <v>Low</v>
      </c>
      <c r="P1013" s="1" t="str">
        <f t="shared" si="45"/>
        <v>Approved</v>
      </c>
      <c r="Q1013" s="1" t="str">
        <f t="shared" si="46"/>
        <v>High Risk</v>
      </c>
      <c r="R1013" s="2">
        <f t="shared" si="47"/>
        <v>5920.7866045414175</v>
      </c>
    </row>
    <row r="1014" spans="1:18" s="1" customFormat="1" ht="11.5" x14ac:dyDescent="0.25">
      <c r="A1014" s="1" t="s">
        <v>1045</v>
      </c>
      <c r="B1014" s="1" t="s">
        <v>1238</v>
      </c>
      <c r="C1014" s="1" t="s">
        <v>29</v>
      </c>
      <c r="D1014" s="1" t="s">
        <v>16</v>
      </c>
      <c r="E1014" s="1" t="s">
        <v>17</v>
      </c>
      <c r="F1014" s="1" t="s">
        <v>22</v>
      </c>
      <c r="G1014" s="1">
        <v>12284</v>
      </c>
      <c r="H1014" s="1">
        <v>5781</v>
      </c>
      <c r="I1014" s="1">
        <v>82</v>
      </c>
      <c r="J1014" s="1">
        <v>180</v>
      </c>
      <c r="K1014" s="1">
        <v>0</v>
      </c>
      <c r="L1014" s="1" t="s">
        <v>19</v>
      </c>
      <c r="M1014" s="1">
        <f>Table1[[#This Row],[ApplicantIncome]]+Table1[[#This Row],[CoapplicantIncome]]</f>
        <v>18065</v>
      </c>
      <c r="N1014" s="1" t="s">
        <v>20</v>
      </c>
      <c r="O1014" s="1" t="str">
        <f>IF(Table1[[#This Row],[Total_Income]]&lt;3000,"Low",IF(Table1[[#This Row],[Total_Income]]&lt;7000,"Medium","High"))</f>
        <v>High</v>
      </c>
      <c r="P1014" s="1" t="str">
        <f t="shared" si="45"/>
        <v>Approved</v>
      </c>
      <c r="Q1014" s="1" t="str">
        <f t="shared" si="46"/>
        <v>High Risk</v>
      </c>
      <c r="R1014" s="2">
        <f t="shared" si="47"/>
        <v>783.63470915088828</v>
      </c>
    </row>
    <row r="1015" spans="1:18" s="1" customFormat="1" ht="11.5" x14ac:dyDescent="0.25">
      <c r="A1015" s="1" t="s">
        <v>1046</v>
      </c>
      <c r="B1015" s="1" t="s">
        <v>28</v>
      </c>
      <c r="C1015" s="1" t="s">
        <v>29</v>
      </c>
      <c r="D1015" s="1">
        <v>2</v>
      </c>
      <c r="E1015" s="1" t="s">
        <v>17</v>
      </c>
      <c r="F1015" s="1" t="s">
        <v>22</v>
      </c>
      <c r="G1015" s="1">
        <v>15762</v>
      </c>
      <c r="H1015" s="1">
        <v>8891</v>
      </c>
      <c r="I1015" s="1">
        <v>503</v>
      </c>
      <c r="J1015" s="1">
        <v>120</v>
      </c>
      <c r="K1015" s="1">
        <v>1</v>
      </c>
      <c r="L1015" s="1" t="s">
        <v>19</v>
      </c>
      <c r="M1015" s="1">
        <f>Table1[[#This Row],[ApplicantIncome]]+Table1[[#This Row],[CoapplicantIncome]]</f>
        <v>24653</v>
      </c>
      <c r="N1015" s="1" t="s">
        <v>26</v>
      </c>
      <c r="O1015" s="1" t="str">
        <f>IF(Table1[[#This Row],[Total_Income]]&lt;3000,"Low",IF(Table1[[#This Row],[Total_Income]]&lt;7000,"Medium","High"))</f>
        <v>High</v>
      </c>
      <c r="P1015" s="1" t="str">
        <f t="shared" si="45"/>
        <v>Rejected</v>
      </c>
      <c r="Q1015" s="1" t="str">
        <f t="shared" si="46"/>
        <v>Low Risk</v>
      </c>
      <c r="R1015" s="2">
        <f t="shared" si="47"/>
        <v>6102.7779960744538</v>
      </c>
    </row>
    <row r="1016" spans="1:18" s="1" customFormat="1" ht="11.5" x14ac:dyDescent="0.25">
      <c r="A1016" s="1" t="s">
        <v>1047</v>
      </c>
      <c r="B1016" s="1" t="s">
        <v>1238</v>
      </c>
      <c r="C1016" s="1" t="s">
        <v>29</v>
      </c>
      <c r="D1016" s="1">
        <v>0</v>
      </c>
      <c r="E1016" s="1" t="s">
        <v>25</v>
      </c>
      <c r="F1016" s="1" t="s">
        <v>29</v>
      </c>
      <c r="G1016" s="1">
        <v>17715</v>
      </c>
      <c r="H1016" s="1">
        <v>4820</v>
      </c>
      <c r="I1016" s="1">
        <v>362</v>
      </c>
      <c r="J1016" s="1">
        <v>120</v>
      </c>
      <c r="K1016" s="1">
        <v>1</v>
      </c>
      <c r="L1016" s="1" t="s">
        <v>41</v>
      </c>
      <c r="M1016" s="1">
        <f>Table1[[#This Row],[ApplicantIncome]]+Table1[[#This Row],[CoapplicantIncome]]</f>
        <v>22535</v>
      </c>
      <c r="N1016" s="1" t="s">
        <v>20</v>
      </c>
      <c r="O1016" s="1" t="str">
        <f>IF(Table1[[#This Row],[Total_Income]]&lt;3000,"Low",IF(Table1[[#This Row],[Total_Income]]&lt;7000,"Medium","High"))</f>
        <v>High</v>
      </c>
      <c r="P1016" s="1" t="str">
        <f t="shared" si="45"/>
        <v>Approved</v>
      </c>
      <c r="Q1016" s="1" t="str">
        <f t="shared" si="46"/>
        <v>Low Risk</v>
      </c>
      <c r="R1016" s="2">
        <f t="shared" si="47"/>
        <v>4392.0589156639207</v>
      </c>
    </row>
    <row r="1017" spans="1:18" s="1" customFormat="1" ht="11.5" x14ac:dyDescent="0.25">
      <c r="A1017" s="1" t="s">
        <v>1048</v>
      </c>
      <c r="B1017" s="1" t="s">
        <v>1238</v>
      </c>
      <c r="C1017" s="1" t="s">
        <v>22</v>
      </c>
      <c r="D1017" s="1">
        <v>2</v>
      </c>
      <c r="E1017" s="1" t="s">
        <v>17</v>
      </c>
      <c r="F1017" s="1" t="s">
        <v>22</v>
      </c>
      <c r="G1017" s="1">
        <v>9729</v>
      </c>
      <c r="H1017" s="1">
        <v>6981</v>
      </c>
      <c r="I1017" s="1">
        <v>194</v>
      </c>
      <c r="J1017" s="1">
        <v>120</v>
      </c>
      <c r="K1017" s="1">
        <v>0</v>
      </c>
      <c r="L1017" s="1" t="s">
        <v>41</v>
      </c>
      <c r="M1017" s="1">
        <f>Table1[[#This Row],[ApplicantIncome]]+Table1[[#This Row],[CoapplicantIncome]]</f>
        <v>16710</v>
      </c>
      <c r="N1017" s="1" t="s">
        <v>26</v>
      </c>
      <c r="O1017" s="1" t="str">
        <f>IF(Table1[[#This Row],[Total_Income]]&lt;3000,"Low",IF(Table1[[#This Row],[Total_Income]]&lt;7000,"Medium","High"))</f>
        <v>High</v>
      </c>
      <c r="P1017" s="1" t="str">
        <f t="shared" si="45"/>
        <v>Rejected</v>
      </c>
      <c r="Q1017" s="1" t="str">
        <f t="shared" si="46"/>
        <v>High Risk</v>
      </c>
      <c r="R1017" s="2">
        <f t="shared" si="47"/>
        <v>2353.7553304939247</v>
      </c>
    </row>
    <row r="1018" spans="1:18" s="1" customFormat="1" ht="11.5" x14ac:dyDescent="0.25">
      <c r="A1018" s="1" t="s">
        <v>1049</v>
      </c>
      <c r="B1018" s="1" t="s">
        <v>28</v>
      </c>
      <c r="C1018" s="1" t="s">
        <v>29</v>
      </c>
      <c r="D1018" s="1">
        <v>2</v>
      </c>
      <c r="E1018" s="1" t="s">
        <v>17</v>
      </c>
      <c r="F1018" s="1" t="s">
        <v>29</v>
      </c>
      <c r="G1018" s="1">
        <v>18102</v>
      </c>
      <c r="H1018" s="1">
        <v>8017</v>
      </c>
      <c r="I1018" s="1">
        <v>57</v>
      </c>
      <c r="J1018" s="1">
        <v>180</v>
      </c>
      <c r="K1018" s="1">
        <v>0</v>
      </c>
      <c r="L1018" s="1" t="s">
        <v>19</v>
      </c>
      <c r="M1018" s="1">
        <f>Table1[[#This Row],[ApplicantIncome]]+Table1[[#This Row],[CoapplicantIncome]]</f>
        <v>26119</v>
      </c>
      <c r="N1018" s="1" t="s">
        <v>26</v>
      </c>
      <c r="O1018" s="1" t="str">
        <f>IF(Table1[[#This Row],[Total_Income]]&lt;3000,"Low",IF(Table1[[#This Row],[Total_Income]]&lt;7000,"Medium","High"))</f>
        <v>High</v>
      </c>
      <c r="P1018" s="1" t="str">
        <f t="shared" si="45"/>
        <v>Rejected</v>
      </c>
      <c r="Q1018" s="1" t="str">
        <f t="shared" si="46"/>
        <v>High Risk</v>
      </c>
      <c r="R1018" s="2">
        <f t="shared" si="47"/>
        <v>544.72168806830041</v>
      </c>
    </row>
    <row r="1019" spans="1:18" s="1" customFormat="1" ht="11.5" x14ac:dyDescent="0.25">
      <c r="A1019" s="1" t="s">
        <v>1050</v>
      </c>
      <c r="B1019" s="1" t="s">
        <v>52</v>
      </c>
      <c r="C1019" s="1" t="s">
        <v>22</v>
      </c>
      <c r="D1019" s="1">
        <v>1</v>
      </c>
      <c r="E1019" s="1" t="s">
        <v>17</v>
      </c>
      <c r="F1019" s="1" t="s">
        <v>22</v>
      </c>
      <c r="G1019" s="1">
        <v>4674</v>
      </c>
      <c r="H1019" s="1">
        <v>1961</v>
      </c>
      <c r="I1019" s="1">
        <v>134</v>
      </c>
      <c r="J1019" s="1">
        <v>180</v>
      </c>
      <c r="K1019" s="1">
        <v>0</v>
      </c>
      <c r="L1019" s="1" t="s">
        <v>19</v>
      </c>
      <c r="M1019" s="1">
        <f>Table1[[#This Row],[ApplicantIncome]]+Table1[[#This Row],[CoapplicantIncome]]</f>
        <v>6635</v>
      </c>
      <c r="N1019" s="1" t="s">
        <v>26</v>
      </c>
      <c r="O1019" s="1" t="str">
        <f>IF(Table1[[#This Row],[Total_Income]]&lt;3000,"Low",IF(Table1[[#This Row],[Total_Income]]&lt;7000,"Medium","High"))</f>
        <v>Medium</v>
      </c>
      <c r="P1019" s="1" t="str">
        <f t="shared" si="45"/>
        <v>Rejected</v>
      </c>
      <c r="Q1019" s="1" t="str">
        <f t="shared" si="46"/>
        <v>High Risk</v>
      </c>
      <c r="R1019" s="2">
        <f t="shared" si="47"/>
        <v>1280.573793002671</v>
      </c>
    </row>
    <row r="1020" spans="1:18" s="1" customFormat="1" ht="11.5" x14ac:dyDescent="0.25">
      <c r="A1020" s="1" t="s">
        <v>1051</v>
      </c>
      <c r="B1020" s="1" t="s">
        <v>1238</v>
      </c>
      <c r="C1020" s="1" t="s">
        <v>29</v>
      </c>
      <c r="D1020" s="1">
        <v>2</v>
      </c>
      <c r="E1020" s="1" t="s">
        <v>17</v>
      </c>
      <c r="F1020" s="1" t="s">
        <v>22</v>
      </c>
      <c r="G1020" s="1">
        <v>13455</v>
      </c>
      <c r="H1020" s="1">
        <v>131</v>
      </c>
      <c r="I1020" s="1">
        <v>220</v>
      </c>
      <c r="J1020" s="1">
        <v>360</v>
      </c>
      <c r="K1020" s="1">
        <v>0</v>
      </c>
      <c r="L1020" s="1" t="s">
        <v>41</v>
      </c>
      <c r="M1020" s="1">
        <f>Table1[[#This Row],[ApplicantIncome]]+Table1[[#This Row],[CoapplicantIncome]]</f>
        <v>13586</v>
      </c>
      <c r="N1020" s="1" t="s">
        <v>26</v>
      </c>
      <c r="O1020" s="1" t="str">
        <f>IF(Table1[[#This Row],[Total_Income]]&lt;3000,"Low",IF(Table1[[#This Row],[Total_Income]]&lt;7000,"Medium","High"))</f>
        <v>High</v>
      </c>
      <c r="P1020" s="1" t="str">
        <f t="shared" si="45"/>
        <v>Rejected</v>
      </c>
      <c r="Q1020" s="1" t="str">
        <f t="shared" si="46"/>
        <v>High Risk</v>
      </c>
      <c r="R1020" s="2">
        <f t="shared" si="47"/>
        <v>1614.2820625346278</v>
      </c>
    </row>
    <row r="1021" spans="1:18" s="1" customFormat="1" ht="11.5" x14ac:dyDescent="0.25">
      <c r="A1021" s="1" t="s">
        <v>1052</v>
      </c>
      <c r="B1021" s="1" t="s">
        <v>1238</v>
      </c>
      <c r="C1021" s="1" t="s">
        <v>22</v>
      </c>
      <c r="D1021" s="1" t="s">
        <v>16</v>
      </c>
      <c r="E1021" s="1" t="s">
        <v>25</v>
      </c>
      <c r="F1021" s="1" t="s">
        <v>22</v>
      </c>
      <c r="G1021" s="1">
        <v>18149</v>
      </c>
      <c r="H1021" s="1">
        <v>9575</v>
      </c>
      <c r="I1021" s="1">
        <v>63</v>
      </c>
      <c r="J1021" s="1">
        <v>360</v>
      </c>
      <c r="K1021" s="1">
        <v>0</v>
      </c>
      <c r="L1021" s="1" t="s">
        <v>30</v>
      </c>
      <c r="M1021" s="1">
        <f>Table1[[#This Row],[ApplicantIncome]]+Table1[[#This Row],[CoapplicantIncome]]</f>
        <v>27724</v>
      </c>
      <c r="N1021" s="1" t="s">
        <v>26</v>
      </c>
      <c r="O1021" s="1" t="str">
        <f>IF(Table1[[#This Row],[Total_Income]]&lt;3000,"Low",IF(Table1[[#This Row],[Total_Income]]&lt;7000,"Medium","High"))</f>
        <v>High</v>
      </c>
      <c r="P1021" s="1" t="str">
        <f t="shared" si="45"/>
        <v>Rejected</v>
      </c>
      <c r="Q1021" s="1" t="str">
        <f t="shared" si="46"/>
        <v>High Risk</v>
      </c>
      <c r="R1021" s="2">
        <f t="shared" si="47"/>
        <v>462.27168154400698</v>
      </c>
    </row>
    <row r="1022" spans="1:18" s="1" customFormat="1" ht="11.5" x14ac:dyDescent="0.25">
      <c r="A1022" s="1" t="s">
        <v>1053</v>
      </c>
      <c r="B1022" s="1" t="s">
        <v>1238</v>
      </c>
      <c r="C1022" s="1" t="s">
        <v>22</v>
      </c>
      <c r="D1022" s="1">
        <v>0</v>
      </c>
      <c r="E1022" s="1" t="s">
        <v>25</v>
      </c>
      <c r="F1022" s="1" t="s">
        <v>22</v>
      </c>
      <c r="G1022" s="1">
        <v>1649</v>
      </c>
      <c r="H1022" s="1">
        <v>1438</v>
      </c>
      <c r="I1022" s="1">
        <v>321</v>
      </c>
      <c r="J1022" s="1">
        <v>180</v>
      </c>
      <c r="K1022" s="1">
        <v>1</v>
      </c>
      <c r="L1022" s="1" t="s">
        <v>19</v>
      </c>
      <c r="M1022" s="1">
        <f>Table1[[#This Row],[ApplicantIncome]]+Table1[[#This Row],[CoapplicantIncome]]</f>
        <v>3087</v>
      </c>
      <c r="N1022" s="1" t="s">
        <v>26</v>
      </c>
      <c r="O1022" s="1" t="str">
        <f>IF(Table1[[#This Row],[Total_Income]]&lt;3000,"Low",IF(Table1[[#This Row],[Total_Income]]&lt;7000,"Medium","High"))</f>
        <v>Medium</v>
      </c>
      <c r="P1022" s="1" t="str">
        <f t="shared" si="45"/>
        <v>Rejected</v>
      </c>
      <c r="Q1022" s="1" t="str">
        <f t="shared" si="46"/>
        <v>Low Risk</v>
      </c>
      <c r="R1022" s="2">
        <f t="shared" si="47"/>
        <v>3067.6431907004285</v>
      </c>
    </row>
    <row r="1023" spans="1:18" s="1" customFormat="1" ht="11.5" x14ac:dyDescent="0.25">
      <c r="A1023" s="1" t="s">
        <v>1054</v>
      </c>
      <c r="B1023" s="1" t="s">
        <v>28</v>
      </c>
      <c r="C1023" s="1" t="s">
        <v>29</v>
      </c>
      <c r="D1023" s="1">
        <v>2</v>
      </c>
      <c r="E1023" s="1" t="s">
        <v>17</v>
      </c>
      <c r="F1023" s="1" t="s">
        <v>22</v>
      </c>
      <c r="G1023" s="1">
        <v>4893</v>
      </c>
      <c r="H1023" s="1">
        <v>8562</v>
      </c>
      <c r="I1023" s="1">
        <v>529</v>
      </c>
      <c r="J1023" s="1">
        <v>180</v>
      </c>
      <c r="K1023" s="1">
        <v>0</v>
      </c>
      <c r="L1023" s="1" t="s">
        <v>30</v>
      </c>
      <c r="M1023" s="1">
        <f>Table1[[#This Row],[ApplicantIncome]]+Table1[[#This Row],[CoapplicantIncome]]</f>
        <v>13455</v>
      </c>
      <c r="N1023" s="1" t="s">
        <v>26</v>
      </c>
      <c r="O1023" s="1" t="str">
        <f>IF(Table1[[#This Row],[Total_Income]]&lt;3000,"Low",IF(Table1[[#This Row],[Total_Income]]&lt;7000,"Medium","High"))</f>
        <v>High</v>
      </c>
      <c r="P1023" s="1" t="str">
        <f t="shared" si="45"/>
        <v>Rejected</v>
      </c>
      <c r="Q1023" s="1" t="str">
        <f t="shared" si="46"/>
        <v>High Risk</v>
      </c>
      <c r="R1023" s="2">
        <f t="shared" si="47"/>
        <v>5055.3995261075588</v>
      </c>
    </row>
    <row r="1024" spans="1:18" s="1" customFormat="1" ht="11.5" x14ac:dyDescent="0.25">
      <c r="A1024" s="1" t="s">
        <v>1055</v>
      </c>
      <c r="B1024" s="1" t="s">
        <v>52</v>
      </c>
      <c r="C1024" s="1" t="s">
        <v>22</v>
      </c>
      <c r="D1024" s="1">
        <v>0</v>
      </c>
      <c r="E1024" s="1" t="s">
        <v>25</v>
      </c>
      <c r="F1024" s="1" t="s">
        <v>29</v>
      </c>
      <c r="G1024" s="1">
        <v>15545</v>
      </c>
      <c r="H1024" s="1">
        <v>2812</v>
      </c>
      <c r="I1024" s="1">
        <v>248</v>
      </c>
      <c r="J1024" s="1">
        <v>360</v>
      </c>
      <c r="K1024" s="1">
        <v>0</v>
      </c>
      <c r="L1024" s="1" t="s">
        <v>19</v>
      </c>
      <c r="M1024" s="1">
        <f>Table1[[#This Row],[ApplicantIncome]]+Table1[[#This Row],[CoapplicantIncome]]</f>
        <v>18357</v>
      </c>
      <c r="N1024" s="1" t="s">
        <v>26</v>
      </c>
      <c r="O1024" s="1" t="str">
        <f>IF(Table1[[#This Row],[Total_Income]]&lt;3000,"Low",IF(Table1[[#This Row],[Total_Income]]&lt;7000,"Medium","High"))</f>
        <v>High</v>
      </c>
      <c r="P1024" s="1" t="str">
        <f t="shared" si="45"/>
        <v>Rejected</v>
      </c>
      <c r="Q1024" s="1" t="str">
        <f t="shared" si="46"/>
        <v>High Risk</v>
      </c>
      <c r="R1024" s="2">
        <f t="shared" si="47"/>
        <v>1819.7361432208529</v>
      </c>
    </row>
    <row r="1025" spans="1:18" s="1" customFormat="1" ht="11.5" x14ac:dyDescent="0.25">
      <c r="A1025" s="1" t="s">
        <v>1056</v>
      </c>
      <c r="B1025" s="1" t="s">
        <v>28</v>
      </c>
      <c r="C1025" s="1" t="s">
        <v>29</v>
      </c>
      <c r="D1025" s="1" t="s">
        <v>16</v>
      </c>
      <c r="E1025" s="1" t="s">
        <v>17</v>
      </c>
      <c r="F1025" s="1" t="s">
        <v>22</v>
      </c>
      <c r="G1025" s="1">
        <v>4321</v>
      </c>
      <c r="H1025" s="1">
        <v>2706</v>
      </c>
      <c r="I1025" s="1">
        <v>645</v>
      </c>
      <c r="J1025" s="1">
        <v>360</v>
      </c>
      <c r="K1025" s="1">
        <v>1</v>
      </c>
      <c r="L1025" s="1" t="s">
        <v>19</v>
      </c>
      <c r="M1025" s="1">
        <f>Table1[[#This Row],[ApplicantIncome]]+Table1[[#This Row],[CoapplicantIncome]]</f>
        <v>7027</v>
      </c>
      <c r="N1025" s="1" t="s">
        <v>26</v>
      </c>
      <c r="O1025" s="1" t="str">
        <f>IF(Table1[[#This Row],[Total_Income]]&lt;3000,"Low",IF(Table1[[#This Row],[Total_Income]]&lt;7000,"Medium","High"))</f>
        <v>High</v>
      </c>
      <c r="P1025" s="1" t="str">
        <f t="shared" si="45"/>
        <v>Rejected</v>
      </c>
      <c r="Q1025" s="1" t="str">
        <f t="shared" si="46"/>
        <v>Low Risk</v>
      </c>
      <c r="R1025" s="2">
        <f t="shared" si="47"/>
        <v>4732.7815015219767</v>
      </c>
    </row>
    <row r="1026" spans="1:18" s="1" customFormat="1" ht="11.5" x14ac:dyDescent="0.25">
      <c r="A1026" s="1" t="s">
        <v>1057</v>
      </c>
      <c r="B1026" s="1" t="s">
        <v>52</v>
      </c>
      <c r="C1026" s="1" t="s">
        <v>29</v>
      </c>
      <c r="D1026" s="1">
        <v>1</v>
      </c>
      <c r="E1026" s="1" t="s">
        <v>17</v>
      </c>
      <c r="F1026" s="1" t="s">
        <v>22</v>
      </c>
      <c r="G1026" s="1">
        <v>14609</v>
      </c>
      <c r="H1026" s="1">
        <v>8740</v>
      </c>
      <c r="I1026" s="1">
        <v>138</v>
      </c>
      <c r="J1026" s="1">
        <v>360</v>
      </c>
      <c r="K1026" s="1">
        <v>0</v>
      </c>
      <c r="L1026" s="1" t="s">
        <v>19</v>
      </c>
      <c r="M1026" s="1">
        <f>Table1[[#This Row],[ApplicantIncome]]+Table1[[#This Row],[CoapplicantIncome]]</f>
        <v>23349</v>
      </c>
      <c r="N1026" s="1" t="s">
        <v>20</v>
      </c>
      <c r="O1026" s="1" t="str">
        <f>IF(Table1[[#This Row],[Total_Income]]&lt;3000,"Low",IF(Table1[[#This Row],[Total_Income]]&lt;7000,"Medium","High"))</f>
        <v>High</v>
      </c>
      <c r="P1026" s="1" t="str">
        <f t="shared" ref="P1026:P1089" si="48">IF(N1026="Y","Approved","Rejected")</f>
        <v>Approved</v>
      </c>
      <c r="Q1026" s="1" t="str">
        <f t="shared" ref="Q1026:Q1089" si="49">IF(K1026=1,"Low Risk","High Risk")</f>
        <v>High Risk</v>
      </c>
      <c r="R1026" s="2">
        <f t="shared" ref="R1026:R1089" si="50">-PMT(8%/12,J1026,I1026*1000)</f>
        <v>1012.5951119535392</v>
      </c>
    </row>
    <row r="1027" spans="1:18" s="1" customFormat="1" ht="11.5" x14ac:dyDescent="0.25">
      <c r="A1027" s="1" t="s">
        <v>1058</v>
      </c>
      <c r="B1027" s="1" t="s">
        <v>1238</v>
      </c>
      <c r="C1027" s="1" t="s">
        <v>29</v>
      </c>
      <c r="D1027" s="1">
        <v>1</v>
      </c>
      <c r="E1027" s="1" t="s">
        <v>25</v>
      </c>
      <c r="F1027" s="1" t="s">
        <v>29</v>
      </c>
      <c r="G1027" s="1">
        <v>7048</v>
      </c>
      <c r="H1027" s="1">
        <v>4350</v>
      </c>
      <c r="I1027" s="1">
        <v>205</v>
      </c>
      <c r="J1027" s="1">
        <v>360</v>
      </c>
      <c r="K1027" s="1">
        <v>0</v>
      </c>
      <c r="L1027" s="1" t="s">
        <v>19</v>
      </c>
      <c r="M1027" s="1">
        <f>Table1[[#This Row],[ApplicantIncome]]+Table1[[#This Row],[CoapplicantIncome]]</f>
        <v>11398</v>
      </c>
      <c r="N1027" s="1" t="s">
        <v>20</v>
      </c>
      <c r="O1027" s="1" t="str">
        <f>IF(Table1[[#This Row],[Total_Income]]&lt;3000,"Low",IF(Table1[[#This Row],[Total_Income]]&lt;7000,"Medium","High"))</f>
        <v>High</v>
      </c>
      <c r="P1027" s="1" t="str">
        <f t="shared" si="48"/>
        <v>Approved</v>
      </c>
      <c r="Q1027" s="1" t="str">
        <f t="shared" si="49"/>
        <v>High Risk</v>
      </c>
      <c r="R1027" s="2">
        <f t="shared" si="50"/>
        <v>1504.2173764527213</v>
      </c>
    </row>
    <row r="1028" spans="1:18" s="1" customFormat="1" ht="11.5" x14ac:dyDescent="0.25">
      <c r="A1028" s="1" t="s">
        <v>1059</v>
      </c>
      <c r="B1028" s="1" t="s">
        <v>52</v>
      </c>
      <c r="C1028" s="1" t="s">
        <v>22</v>
      </c>
      <c r="D1028" s="1">
        <v>1</v>
      </c>
      <c r="E1028" s="1" t="s">
        <v>17</v>
      </c>
      <c r="F1028" s="1" t="s">
        <v>22</v>
      </c>
      <c r="G1028" s="1">
        <v>9850</v>
      </c>
      <c r="H1028" s="1">
        <v>5962</v>
      </c>
      <c r="I1028" s="1">
        <v>494</v>
      </c>
      <c r="J1028" s="1">
        <v>360</v>
      </c>
      <c r="K1028" s="1">
        <v>0</v>
      </c>
      <c r="L1028" s="1" t="s">
        <v>30</v>
      </c>
      <c r="M1028" s="1">
        <f>Table1[[#This Row],[ApplicantIncome]]+Table1[[#This Row],[CoapplicantIncome]]</f>
        <v>15812</v>
      </c>
      <c r="N1028" s="1" t="s">
        <v>26</v>
      </c>
      <c r="O1028" s="1" t="str">
        <f>IF(Table1[[#This Row],[Total_Income]]&lt;3000,"Low",IF(Table1[[#This Row],[Total_Income]]&lt;7000,"Medium","High"))</f>
        <v>High</v>
      </c>
      <c r="P1028" s="1" t="str">
        <f t="shared" si="48"/>
        <v>Rejected</v>
      </c>
      <c r="Q1028" s="1" t="str">
        <f t="shared" si="49"/>
        <v>High Risk</v>
      </c>
      <c r="R1028" s="2">
        <f t="shared" si="50"/>
        <v>3624.7969949641183</v>
      </c>
    </row>
    <row r="1029" spans="1:18" s="1" customFormat="1" ht="11.5" x14ac:dyDescent="0.25">
      <c r="A1029" s="1" t="s">
        <v>1060</v>
      </c>
      <c r="B1029" s="1" t="s">
        <v>1238</v>
      </c>
      <c r="C1029" s="1" t="s">
        <v>22</v>
      </c>
      <c r="D1029" s="1" t="s">
        <v>16</v>
      </c>
      <c r="E1029" s="1" t="s">
        <v>25</v>
      </c>
      <c r="F1029" s="1" t="s">
        <v>29</v>
      </c>
      <c r="G1029" s="1">
        <v>12402</v>
      </c>
      <c r="H1029" s="1">
        <v>5746</v>
      </c>
      <c r="I1029" s="1">
        <v>601</v>
      </c>
      <c r="J1029" s="1">
        <v>360</v>
      </c>
      <c r="K1029" s="1">
        <v>0</v>
      </c>
      <c r="L1029" s="1" t="s">
        <v>19</v>
      </c>
      <c r="M1029" s="1">
        <f>Table1[[#This Row],[ApplicantIncome]]+Table1[[#This Row],[CoapplicantIncome]]</f>
        <v>18148</v>
      </c>
      <c r="N1029" s="1" t="s">
        <v>20</v>
      </c>
      <c r="O1029" s="1" t="str">
        <f>IF(Table1[[#This Row],[Total_Income]]&lt;3000,"Low",IF(Table1[[#This Row],[Total_Income]]&lt;7000,"Medium","High"))</f>
        <v>High</v>
      </c>
      <c r="P1029" s="1" t="str">
        <f t="shared" si="48"/>
        <v>Approved</v>
      </c>
      <c r="Q1029" s="1" t="str">
        <f t="shared" si="49"/>
        <v>High Risk</v>
      </c>
      <c r="R1029" s="2">
        <f t="shared" si="50"/>
        <v>4409.9250890150506</v>
      </c>
    </row>
    <row r="1030" spans="1:18" s="1" customFormat="1" ht="11.5" x14ac:dyDescent="0.25">
      <c r="A1030" s="1" t="s">
        <v>1061</v>
      </c>
      <c r="B1030" s="1" t="s">
        <v>52</v>
      </c>
      <c r="C1030" s="1" t="s">
        <v>22</v>
      </c>
      <c r="D1030" s="1">
        <v>0</v>
      </c>
      <c r="E1030" s="1" t="s">
        <v>17</v>
      </c>
      <c r="F1030" s="1" t="s">
        <v>29</v>
      </c>
      <c r="G1030" s="1">
        <v>16454</v>
      </c>
      <c r="H1030" s="1">
        <v>6299</v>
      </c>
      <c r="I1030" s="1">
        <v>121</v>
      </c>
      <c r="J1030" s="1">
        <v>120</v>
      </c>
      <c r="K1030" s="1">
        <v>0</v>
      </c>
      <c r="L1030" s="1" t="s">
        <v>19</v>
      </c>
      <c r="M1030" s="1">
        <f>Table1[[#This Row],[ApplicantIncome]]+Table1[[#This Row],[CoapplicantIncome]]</f>
        <v>22753</v>
      </c>
      <c r="N1030" s="1" t="s">
        <v>20</v>
      </c>
      <c r="O1030" s="1" t="str">
        <f>IF(Table1[[#This Row],[Total_Income]]&lt;3000,"Low",IF(Table1[[#This Row],[Total_Income]]&lt;7000,"Medium","High"))</f>
        <v>High</v>
      </c>
      <c r="P1030" s="1" t="str">
        <f t="shared" si="48"/>
        <v>Approved</v>
      </c>
      <c r="Q1030" s="1" t="str">
        <f t="shared" si="49"/>
        <v>High Risk</v>
      </c>
      <c r="R1030" s="2">
        <f t="shared" si="50"/>
        <v>1468.0638916998189</v>
      </c>
    </row>
    <row r="1031" spans="1:18" s="1" customFormat="1" ht="11.5" x14ac:dyDescent="0.25">
      <c r="A1031" s="1" t="s">
        <v>1062</v>
      </c>
      <c r="B1031" s="1" t="s">
        <v>28</v>
      </c>
      <c r="C1031" s="1" t="s">
        <v>22</v>
      </c>
      <c r="D1031" s="1">
        <v>2</v>
      </c>
      <c r="E1031" s="1" t="s">
        <v>17</v>
      </c>
      <c r="F1031" s="1" t="s">
        <v>29</v>
      </c>
      <c r="G1031" s="1">
        <v>17746</v>
      </c>
      <c r="H1031" s="1">
        <v>75</v>
      </c>
      <c r="I1031" s="1">
        <v>71</v>
      </c>
      <c r="J1031" s="1">
        <v>360</v>
      </c>
      <c r="K1031" s="1">
        <v>0</v>
      </c>
      <c r="L1031" s="1" t="s">
        <v>19</v>
      </c>
      <c r="M1031" s="1">
        <f>Table1[[#This Row],[ApplicantIncome]]+Table1[[#This Row],[CoapplicantIncome]]</f>
        <v>17821</v>
      </c>
      <c r="N1031" s="1" t="s">
        <v>20</v>
      </c>
      <c r="O1031" s="1" t="str">
        <f>IF(Table1[[#This Row],[Total_Income]]&lt;3000,"Low",IF(Table1[[#This Row],[Total_Income]]&lt;7000,"Medium","High"))</f>
        <v>High</v>
      </c>
      <c r="P1031" s="1" t="str">
        <f t="shared" si="48"/>
        <v>Approved</v>
      </c>
      <c r="Q1031" s="1" t="str">
        <f t="shared" si="49"/>
        <v>High Risk</v>
      </c>
      <c r="R1031" s="2">
        <f t="shared" si="50"/>
        <v>520.97284745435707</v>
      </c>
    </row>
    <row r="1032" spans="1:18" s="1" customFormat="1" ht="11.5" x14ac:dyDescent="0.25">
      <c r="A1032" s="1" t="s">
        <v>1063</v>
      </c>
      <c r="B1032" s="1" t="s">
        <v>52</v>
      </c>
      <c r="C1032" s="1" t="s">
        <v>29</v>
      </c>
      <c r="D1032" s="1">
        <v>2</v>
      </c>
      <c r="E1032" s="1" t="s">
        <v>17</v>
      </c>
      <c r="F1032" s="1" t="s">
        <v>22</v>
      </c>
      <c r="G1032" s="1">
        <v>6457</v>
      </c>
      <c r="H1032" s="1">
        <v>8642</v>
      </c>
      <c r="I1032" s="1">
        <v>237</v>
      </c>
      <c r="J1032" s="1">
        <v>360</v>
      </c>
      <c r="K1032" s="1">
        <v>0</v>
      </c>
      <c r="L1032" s="1" t="s">
        <v>19</v>
      </c>
      <c r="M1032" s="1">
        <f>Table1[[#This Row],[ApplicantIncome]]+Table1[[#This Row],[CoapplicantIncome]]</f>
        <v>15099</v>
      </c>
      <c r="N1032" s="1" t="s">
        <v>20</v>
      </c>
      <c r="O1032" s="1" t="str">
        <f>IF(Table1[[#This Row],[Total_Income]]&lt;3000,"Low",IF(Table1[[#This Row],[Total_Income]]&lt;7000,"Medium","High"))</f>
        <v>High</v>
      </c>
      <c r="P1032" s="1" t="str">
        <f t="shared" si="48"/>
        <v>Approved</v>
      </c>
      <c r="Q1032" s="1" t="str">
        <f t="shared" si="49"/>
        <v>High Risk</v>
      </c>
      <c r="R1032" s="2">
        <f t="shared" si="50"/>
        <v>1739.0220400941216</v>
      </c>
    </row>
    <row r="1033" spans="1:18" s="1" customFormat="1" ht="11.5" x14ac:dyDescent="0.25">
      <c r="A1033" s="1" t="s">
        <v>1064</v>
      </c>
      <c r="B1033" s="1" t="s">
        <v>1238</v>
      </c>
      <c r="C1033" s="1" t="s">
        <v>22</v>
      </c>
      <c r="D1033" s="1">
        <v>0</v>
      </c>
      <c r="E1033" s="1" t="s">
        <v>25</v>
      </c>
      <c r="F1033" s="1" t="s">
        <v>29</v>
      </c>
      <c r="G1033" s="1">
        <v>8541</v>
      </c>
      <c r="H1033" s="1">
        <v>7254</v>
      </c>
      <c r="I1033" s="1">
        <v>642</v>
      </c>
      <c r="J1033" s="1">
        <v>360</v>
      </c>
      <c r="K1033" s="1">
        <v>0</v>
      </c>
      <c r="L1033" s="1" t="s">
        <v>41</v>
      </c>
      <c r="M1033" s="1">
        <f>Table1[[#This Row],[ApplicantIncome]]+Table1[[#This Row],[CoapplicantIncome]]</f>
        <v>15795</v>
      </c>
      <c r="N1033" s="1" t="s">
        <v>26</v>
      </c>
      <c r="O1033" s="1" t="str">
        <f>IF(Table1[[#This Row],[Total_Income]]&lt;3000,"Low",IF(Table1[[#This Row],[Total_Income]]&lt;7000,"Medium","High"))</f>
        <v>High</v>
      </c>
      <c r="P1033" s="1" t="str">
        <f t="shared" si="48"/>
        <v>Rejected</v>
      </c>
      <c r="Q1033" s="1" t="str">
        <f t="shared" si="49"/>
        <v>High Risk</v>
      </c>
      <c r="R1033" s="2">
        <f t="shared" si="50"/>
        <v>4710.7685643055956</v>
      </c>
    </row>
    <row r="1034" spans="1:18" s="1" customFormat="1" ht="11.5" x14ac:dyDescent="0.25">
      <c r="A1034" s="1" t="s">
        <v>1065</v>
      </c>
      <c r="B1034" s="1" t="s">
        <v>52</v>
      </c>
      <c r="C1034" s="1" t="s">
        <v>29</v>
      </c>
      <c r="D1034" s="1" t="s">
        <v>16</v>
      </c>
      <c r="E1034" s="1" t="s">
        <v>17</v>
      </c>
      <c r="F1034" s="1" t="s">
        <v>22</v>
      </c>
      <c r="G1034" s="1">
        <v>2778</v>
      </c>
      <c r="H1034" s="1">
        <v>7953</v>
      </c>
      <c r="I1034" s="1">
        <v>246</v>
      </c>
      <c r="J1034" s="1">
        <v>360</v>
      </c>
      <c r="K1034" s="1">
        <v>0</v>
      </c>
      <c r="L1034" s="1" t="s">
        <v>30</v>
      </c>
      <c r="M1034" s="1">
        <f>Table1[[#This Row],[ApplicantIncome]]+Table1[[#This Row],[CoapplicantIncome]]</f>
        <v>10731</v>
      </c>
      <c r="N1034" s="1" t="s">
        <v>20</v>
      </c>
      <c r="O1034" s="1" t="str">
        <f>IF(Table1[[#This Row],[Total_Income]]&lt;3000,"Low",IF(Table1[[#This Row],[Total_Income]]&lt;7000,"Medium","High"))</f>
        <v>High</v>
      </c>
      <c r="P1034" s="1" t="str">
        <f t="shared" si="48"/>
        <v>Approved</v>
      </c>
      <c r="Q1034" s="1" t="str">
        <f t="shared" si="49"/>
        <v>High Risk</v>
      </c>
      <c r="R1034" s="2">
        <f t="shared" si="50"/>
        <v>1805.0608517432656</v>
      </c>
    </row>
    <row r="1035" spans="1:18" s="1" customFormat="1" ht="11.5" x14ac:dyDescent="0.25">
      <c r="A1035" s="1" t="s">
        <v>1066</v>
      </c>
      <c r="B1035" s="1" t="s">
        <v>28</v>
      </c>
      <c r="C1035" s="1" t="s">
        <v>29</v>
      </c>
      <c r="D1035" s="1">
        <v>1</v>
      </c>
      <c r="E1035" s="1" t="s">
        <v>17</v>
      </c>
      <c r="F1035" s="1" t="s">
        <v>29</v>
      </c>
      <c r="G1035" s="1">
        <v>5232</v>
      </c>
      <c r="H1035" s="1">
        <v>8059</v>
      </c>
      <c r="I1035" s="1">
        <v>409</v>
      </c>
      <c r="J1035" s="1">
        <v>360</v>
      </c>
      <c r="K1035" s="1">
        <v>1</v>
      </c>
      <c r="L1035" s="1" t="s">
        <v>19</v>
      </c>
      <c r="M1035" s="1">
        <f>Table1[[#This Row],[ApplicantIncome]]+Table1[[#This Row],[CoapplicantIncome]]</f>
        <v>13291</v>
      </c>
      <c r="N1035" s="1" t="s">
        <v>26</v>
      </c>
      <c r="O1035" s="1" t="str">
        <f>IF(Table1[[#This Row],[Total_Income]]&lt;3000,"Low",IF(Table1[[#This Row],[Total_Income]]&lt;7000,"Medium","High"))</f>
        <v>High</v>
      </c>
      <c r="P1035" s="1" t="str">
        <f t="shared" si="48"/>
        <v>Rejected</v>
      </c>
      <c r="Q1035" s="1" t="str">
        <f t="shared" si="49"/>
        <v>Low Risk</v>
      </c>
      <c r="R1035" s="2">
        <f t="shared" si="50"/>
        <v>3001.0971071666486</v>
      </c>
    </row>
    <row r="1036" spans="1:18" s="1" customFormat="1" ht="11.5" x14ac:dyDescent="0.25">
      <c r="A1036" s="1" t="s">
        <v>1067</v>
      </c>
      <c r="B1036" s="1" t="s">
        <v>52</v>
      </c>
      <c r="C1036" s="1" t="s">
        <v>29</v>
      </c>
      <c r="D1036" s="1">
        <v>0</v>
      </c>
      <c r="E1036" s="1" t="s">
        <v>25</v>
      </c>
      <c r="F1036" s="1" t="s">
        <v>22</v>
      </c>
      <c r="G1036" s="1">
        <v>13725</v>
      </c>
      <c r="H1036" s="1">
        <v>630</v>
      </c>
      <c r="I1036" s="1">
        <v>411</v>
      </c>
      <c r="J1036" s="1">
        <v>360</v>
      </c>
      <c r="K1036" s="1">
        <v>0</v>
      </c>
      <c r="L1036" s="1" t="s">
        <v>41</v>
      </c>
      <c r="M1036" s="1">
        <f>Table1[[#This Row],[ApplicantIncome]]+Table1[[#This Row],[CoapplicantIncome]]</f>
        <v>14355</v>
      </c>
      <c r="N1036" s="1" t="s">
        <v>20</v>
      </c>
      <c r="O1036" s="1" t="str">
        <f>IF(Table1[[#This Row],[Total_Income]]&lt;3000,"Low",IF(Table1[[#This Row],[Total_Income]]&lt;7000,"Medium","High"))</f>
        <v>High</v>
      </c>
      <c r="P1036" s="1" t="str">
        <f t="shared" si="48"/>
        <v>Approved</v>
      </c>
      <c r="Q1036" s="1" t="str">
        <f t="shared" si="49"/>
        <v>High Risk</v>
      </c>
      <c r="R1036" s="2">
        <f t="shared" si="50"/>
        <v>3015.7723986442361</v>
      </c>
    </row>
    <row r="1037" spans="1:18" s="1" customFormat="1" ht="11.5" x14ac:dyDescent="0.25">
      <c r="A1037" s="1" t="s">
        <v>1068</v>
      </c>
      <c r="B1037" s="1" t="s">
        <v>52</v>
      </c>
      <c r="C1037" s="1" t="s">
        <v>29</v>
      </c>
      <c r="D1037" s="1">
        <v>0</v>
      </c>
      <c r="E1037" s="1" t="s">
        <v>17</v>
      </c>
      <c r="F1037" s="1" t="s">
        <v>22</v>
      </c>
      <c r="G1037" s="1">
        <v>6911</v>
      </c>
      <c r="H1037" s="1">
        <v>9735</v>
      </c>
      <c r="I1037" s="1">
        <v>341</v>
      </c>
      <c r="J1037" s="1">
        <v>180</v>
      </c>
      <c r="K1037" s="1">
        <v>1</v>
      </c>
      <c r="L1037" s="1" t="s">
        <v>30</v>
      </c>
      <c r="M1037" s="1">
        <f>Table1[[#This Row],[ApplicantIncome]]+Table1[[#This Row],[CoapplicantIncome]]</f>
        <v>16646</v>
      </c>
      <c r="N1037" s="1" t="s">
        <v>26</v>
      </c>
      <c r="O1037" s="1" t="str">
        <f>IF(Table1[[#This Row],[Total_Income]]&lt;3000,"Low",IF(Table1[[#This Row],[Total_Income]]&lt;7000,"Medium","High"))</f>
        <v>High</v>
      </c>
      <c r="P1037" s="1" t="str">
        <f t="shared" si="48"/>
        <v>Rejected</v>
      </c>
      <c r="Q1037" s="1" t="str">
        <f t="shared" si="49"/>
        <v>Low Risk</v>
      </c>
      <c r="R1037" s="2">
        <f t="shared" si="50"/>
        <v>3258.7736075664984</v>
      </c>
    </row>
    <row r="1038" spans="1:18" s="1" customFormat="1" ht="11.5" x14ac:dyDescent="0.25">
      <c r="A1038" s="1" t="s">
        <v>1069</v>
      </c>
      <c r="B1038" s="1" t="s">
        <v>1238</v>
      </c>
      <c r="C1038" s="1" t="s">
        <v>22</v>
      </c>
      <c r="D1038" s="1">
        <v>0</v>
      </c>
      <c r="E1038" s="1" t="s">
        <v>17</v>
      </c>
      <c r="F1038" s="1" t="s">
        <v>22</v>
      </c>
      <c r="G1038" s="1">
        <v>5554</v>
      </c>
      <c r="H1038" s="1">
        <v>8676</v>
      </c>
      <c r="I1038" s="1">
        <v>466</v>
      </c>
      <c r="J1038" s="1">
        <v>360</v>
      </c>
      <c r="K1038" s="1">
        <v>1</v>
      </c>
      <c r="L1038" s="1" t="s">
        <v>30</v>
      </c>
      <c r="M1038" s="1">
        <f>Table1[[#This Row],[ApplicantIncome]]+Table1[[#This Row],[CoapplicantIncome]]</f>
        <v>14230</v>
      </c>
      <c r="N1038" s="1" t="s">
        <v>20</v>
      </c>
      <c r="O1038" s="1" t="str">
        <f>IF(Table1[[#This Row],[Total_Income]]&lt;3000,"Low",IF(Table1[[#This Row],[Total_Income]]&lt;7000,"Medium","High"))</f>
        <v>High</v>
      </c>
      <c r="P1038" s="1" t="str">
        <f t="shared" si="48"/>
        <v>Approved</v>
      </c>
      <c r="Q1038" s="1" t="str">
        <f t="shared" si="49"/>
        <v>Low Risk</v>
      </c>
      <c r="R1038" s="2">
        <f t="shared" si="50"/>
        <v>3419.3429142778932</v>
      </c>
    </row>
    <row r="1039" spans="1:18" s="1" customFormat="1" ht="11.5" x14ac:dyDescent="0.25">
      <c r="A1039" s="1" t="s">
        <v>1070</v>
      </c>
      <c r="B1039" s="1" t="s">
        <v>52</v>
      </c>
      <c r="C1039" s="1" t="s">
        <v>29</v>
      </c>
      <c r="D1039" s="1" t="s">
        <v>16</v>
      </c>
      <c r="E1039" s="1" t="s">
        <v>17</v>
      </c>
      <c r="F1039" s="1" t="s">
        <v>22</v>
      </c>
      <c r="G1039" s="1">
        <v>16391</v>
      </c>
      <c r="H1039" s="1">
        <v>1445</v>
      </c>
      <c r="I1039" s="1">
        <v>79</v>
      </c>
      <c r="J1039" s="1">
        <v>180</v>
      </c>
      <c r="K1039" s="1">
        <v>0</v>
      </c>
      <c r="L1039" s="1" t="s">
        <v>30</v>
      </c>
      <c r="M1039" s="1">
        <f>Table1[[#This Row],[ApplicantIncome]]+Table1[[#This Row],[CoapplicantIncome]]</f>
        <v>17836</v>
      </c>
      <c r="N1039" s="1" t="s">
        <v>20</v>
      </c>
      <c r="O1039" s="1" t="str">
        <f>IF(Table1[[#This Row],[Total_Income]]&lt;3000,"Low",IF(Table1[[#This Row],[Total_Income]]&lt;7000,"Medium","High"))</f>
        <v>High</v>
      </c>
      <c r="P1039" s="1" t="str">
        <f t="shared" si="48"/>
        <v>Approved</v>
      </c>
      <c r="Q1039" s="1" t="str">
        <f t="shared" si="49"/>
        <v>High Risk</v>
      </c>
      <c r="R1039" s="2">
        <f t="shared" si="50"/>
        <v>754.96514662097763</v>
      </c>
    </row>
    <row r="1040" spans="1:18" s="1" customFormat="1" ht="11.5" x14ac:dyDescent="0.25">
      <c r="A1040" s="1" t="s">
        <v>1071</v>
      </c>
      <c r="B1040" s="1" t="s">
        <v>52</v>
      </c>
      <c r="C1040" s="1" t="s">
        <v>22</v>
      </c>
      <c r="D1040" s="1" t="s">
        <v>16</v>
      </c>
      <c r="E1040" s="1" t="s">
        <v>17</v>
      </c>
      <c r="F1040" s="1" t="s">
        <v>22</v>
      </c>
      <c r="G1040" s="1">
        <v>5900</v>
      </c>
      <c r="H1040" s="1">
        <v>3366</v>
      </c>
      <c r="I1040" s="1">
        <v>292</v>
      </c>
      <c r="J1040" s="1">
        <v>180</v>
      </c>
      <c r="K1040" s="1">
        <v>1</v>
      </c>
      <c r="L1040" s="1" t="s">
        <v>19</v>
      </c>
      <c r="M1040" s="1">
        <f>Table1[[#This Row],[ApplicantIncome]]+Table1[[#This Row],[CoapplicantIncome]]</f>
        <v>9266</v>
      </c>
      <c r="N1040" s="1" t="s">
        <v>26</v>
      </c>
      <c r="O1040" s="1" t="str">
        <f>IF(Table1[[#This Row],[Total_Income]]&lt;3000,"Low",IF(Table1[[#This Row],[Total_Income]]&lt;7000,"Medium","High"))</f>
        <v>High</v>
      </c>
      <c r="P1040" s="1" t="str">
        <f t="shared" si="48"/>
        <v>Rejected</v>
      </c>
      <c r="Q1040" s="1" t="str">
        <f t="shared" si="49"/>
        <v>Low Risk</v>
      </c>
      <c r="R1040" s="2">
        <f t="shared" si="50"/>
        <v>2790.5040862446263</v>
      </c>
    </row>
    <row r="1041" spans="1:18" s="1" customFormat="1" ht="11.5" x14ac:dyDescent="0.25">
      <c r="A1041" s="1" t="s">
        <v>1072</v>
      </c>
      <c r="B1041" s="1" t="s">
        <v>1238</v>
      </c>
      <c r="C1041" s="1" t="s">
        <v>22</v>
      </c>
      <c r="D1041" s="1">
        <v>2</v>
      </c>
      <c r="E1041" s="1" t="s">
        <v>25</v>
      </c>
      <c r="F1041" s="1" t="s">
        <v>22</v>
      </c>
      <c r="G1041" s="1">
        <v>9209</v>
      </c>
      <c r="H1041" s="1">
        <v>3823</v>
      </c>
      <c r="I1041" s="1">
        <v>120</v>
      </c>
      <c r="J1041" s="1">
        <v>360</v>
      </c>
      <c r="K1041" s="1">
        <v>1</v>
      </c>
      <c r="L1041" s="1" t="s">
        <v>30</v>
      </c>
      <c r="M1041" s="1">
        <f>Table1[[#This Row],[ApplicantIncome]]+Table1[[#This Row],[CoapplicantIncome]]</f>
        <v>13032</v>
      </c>
      <c r="N1041" s="1" t="s">
        <v>26</v>
      </c>
      <c r="O1041" s="1" t="str">
        <f>IF(Table1[[#This Row],[Total_Income]]&lt;3000,"Low",IF(Table1[[#This Row],[Total_Income]]&lt;7000,"Medium","High"))</f>
        <v>High</v>
      </c>
      <c r="P1041" s="1" t="str">
        <f t="shared" si="48"/>
        <v>Rejected</v>
      </c>
      <c r="Q1041" s="1" t="str">
        <f t="shared" si="49"/>
        <v>Low Risk</v>
      </c>
      <c r="R1041" s="2">
        <f t="shared" si="50"/>
        <v>880.51748865525144</v>
      </c>
    </row>
    <row r="1042" spans="1:18" s="1" customFormat="1" ht="11.5" x14ac:dyDescent="0.25">
      <c r="A1042" s="1" t="s">
        <v>1073</v>
      </c>
      <c r="B1042" s="1" t="s">
        <v>52</v>
      </c>
      <c r="C1042" s="1" t="s">
        <v>29</v>
      </c>
      <c r="D1042" s="1" t="s">
        <v>16</v>
      </c>
      <c r="E1042" s="1" t="s">
        <v>17</v>
      </c>
      <c r="F1042" s="1" t="s">
        <v>29</v>
      </c>
      <c r="G1042" s="1">
        <v>5657</v>
      </c>
      <c r="H1042" s="1">
        <v>2381</v>
      </c>
      <c r="I1042" s="1">
        <v>339</v>
      </c>
      <c r="J1042" s="1">
        <v>360</v>
      </c>
      <c r="K1042" s="1">
        <v>0</v>
      </c>
      <c r="L1042" s="1" t="s">
        <v>41</v>
      </c>
      <c r="M1042" s="1">
        <f>Table1[[#This Row],[ApplicantIncome]]+Table1[[#This Row],[CoapplicantIncome]]</f>
        <v>8038</v>
      </c>
      <c r="N1042" s="1" t="s">
        <v>26</v>
      </c>
      <c r="O1042" s="1" t="str">
        <f>IF(Table1[[#This Row],[Total_Income]]&lt;3000,"Low",IF(Table1[[#This Row],[Total_Income]]&lt;7000,"Medium","High"))</f>
        <v>High</v>
      </c>
      <c r="P1042" s="1" t="str">
        <f t="shared" si="48"/>
        <v>Rejected</v>
      </c>
      <c r="Q1042" s="1" t="str">
        <f t="shared" si="49"/>
        <v>High Risk</v>
      </c>
      <c r="R1042" s="2">
        <f t="shared" si="50"/>
        <v>2487.4619054510854</v>
      </c>
    </row>
    <row r="1043" spans="1:18" s="1" customFormat="1" ht="11.5" x14ac:dyDescent="0.25">
      <c r="A1043" s="1" t="s">
        <v>1074</v>
      </c>
      <c r="B1043" s="1" t="s">
        <v>1238</v>
      </c>
      <c r="C1043" s="1" t="s">
        <v>29</v>
      </c>
      <c r="D1043" s="1" t="s">
        <v>16</v>
      </c>
      <c r="E1043" s="1" t="s">
        <v>17</v>
      </c>
      <c r="F1043" s="1" t="s">
        <v>22</v>
      </c>
      <c r="G1043" s="1">
        <v>2589</v>
      </c>
      <c r="H1043" s="1">
        <v>150</v>
      </c>
      <c r="I1043" s="1">
        <v>190</v>
      </c>
      <c r="J1043" s="1">
        <v>180</v>
      </c>
      <c r="K1043" s="1">
        <v>1</v>
      </c>
      <c r="L1043" s="1" t="s">
        <v>30</v>
      </c>
      <c r="M1043" s="1">
        <f>Table1[[#This Row],[ApplicantIncome]]+Table1[[#This Row],[CoapplicantIncome]]</f>
        <v>2739</v>
      </c>
      <c r="N1043" s="1" t="s">
        <v>26</v>
      </c>
      <c r="O1043" s="1" t="str">
        <f>IF(Table1[[#This Row],[Total_Income]]&lt;3000,"Low",IF(Table1[[#This Row],[Total_Income]]&lt;7000,"Medium","High"))</f>
        <v>Low</v>
      </c>
      <c r="P1043" s="1" t="str">
        <f t="shared" si="48"/>
        <v>Rejected</v>
      </c>
      <c r="Q1043" s="1" t="str">
        <f t="shared" si="49"/>
        <v>Low Risk</v>
      </c>
      <c r="R1043" s="2">
        <f t="shared" si="50"/>
        <v>1815.7389602276676</v>
      </c>
    </row>
    <row r="1044" spans="1:18" s="1" customFormat="1" ht="11.5" x14ac:dyDescent="0.25">
      <c r="A1044" s="1" t="s">
        <v>1075</v>
      </c>
      <c r="B1044" s="1" t="s">
        <v>28</v>
      </c>
      <c r="C1044" s="1" t="s">
        <v>29</v>
      </c>
      <c r="D1044" s="1">
        <v>1</v>
      </c>
      <c r="E1044" s="1" t="s">
        <v>17</v>
      </c>
      <c r="F1044" s="1" t="s">
        <v>22</v>
      </c>
      <c r="G1044" s="1">
        <v>11977</v>
      </c>
      <c r="H1044" s="1">
        <v>9885</v>
      </c>
      <c r="I1044" s="1">
        <v>667</v>
      </c>
      <c r="J1044" s="1">
        <v>120</v>
      </c>
      <c r="K1044" s="1">
        <v>0</v>
      </c>
      <c r="L1044" s="1" t="s">
        <v>19</v>
      </c>
      <c r="M1044" s="1">
        <f>Table1[[#This Row],[ApplicantIncome]]+Table1[[#This Row],[CoapplicantIncome]]</f>
        <v>21862</v>
      </c>
      <c r="N1044" s="1" t="s">
        <v>26</v>
      </c>
      <c r="O1044" s="1" t="str">
        <f>IF(Table1[[#This Row],[Total_Income]]&lt;3000,"Low",IF(Table1[[#This Row],[Total_Income]]&lt;7000,"Medium","High"))</f>
        <v>High</v>
      </c>
      <c r="P1044" s="1" t="str">
        <f t="shared" si="48"/>
        <v>Rejected</v>
      </c>
      <c r="Q1044" s="1" t="str">
        <f t="shared" si="49"/>
        <v>High Risk</v>
      </c>
      <c r="R1044" s="2">
        <f t="shared" si="50"/>
        <v>8092.5505435023078</v>
      </c>
    </row>
    <row r="1045" spans="1:18" s="1" customFormat="1" ht="11.5" x14ac:dyDescent="0.25">
      <c r="A1045" s="1" t="s">
        <v>1076</v>
      </c>
      <c r="B1045" s="1" t="s">
        <v>1238</v>
      </c>
      <c r="C1045" s="1" t="s">
        <v>22</v>
      </c>
      <c r="D1045" s="1">
        <v>2</v>
      </c>
      <c r="E1045" s="1" t="s">
        <v>17</v>
      </c>
      <c r="F1045" s="1" t="s">
        <v>22</v>
      </c>
      <c r="G1045" s="1">
        <v>12304</v>
      </c>
      <c r="H1045" s="1">
        <v>3104</v>
      </c>
      <c r="I1045" s="1">
        <v>448</v>
      </c>
      <c r="J1045" s="1">
        <v>360</v>
      </c>
      <c r="K1045" s="1">
        <v>1</v>
      </c>
      <c r="L1045" s="1" t="s">
        <v>30</v>
      </c>
      <c r="M1045" s="1">
        <f>Table1[[#This Row],[ApplicantIncome]]+Table1[[#This Row],[CoapplicantIncome]]</f>
        <v>15408</v>
      </c>
      <c r="N1045" s="1" t="s">
        <v>20</v>
      </c>
      <c r="O1045" s="1" t="str">
        <f>IF(Table1[[#This Row],[Total_Income]]&lt;3000,"Low",IF(Table1[[#This Row],[Total_Income]]&lt;7000,"Medium","High"))</f>
        <v>High</v>
      </c>
      <c r="P1045" s="1" t="str">
        <f t="shared" si="48"/>
        <v>Approved</v>
      </c>
      <c r="Q1045" s="1" t="str">
        <f t="shared" si="49"/>
        <v>Low Risk</v>
      </c>
      <c r="R1045" s="2">
        <f t="shared" si="50"/>
        <v>3287.2652909796057</v>
      </c>
    </row>
    <row r="1046" spans="1:18" s="1" customFormat="1" ht="11.5" x14ac:dyDescent="0.25">
      <c r="A1046" s="1" t="s">
        <v>1077</v>
      </c>
      <c r="B1046" s="1" t="s">
        <v>52</v>
      </c>
      <c r="C1046" s="1" t="s">
        <v>29</v>
      </c>
      <c r="D1046" s="1">
        <v>0</v>
      </c>
      <c r="E1046" s="1" t="s">
        <v>25</v>
      </c>
      <c r="F1046" s="1" t="s">
        <v>29</v>
      </c>
      <c r="G1046" s="1">
        <v>9182</v>
      </c>
      <c r="H1046" s="1">
        <v>7079</v>
      </c>
      <c r="I1046" s="1">
        <v>271</v>
      </c>
      <c r="J1046" s="1">
        <v>180</v>
      </c>
      <c r="K1046" s="1">
        <v>1</v>
      </c>
      <c r="L1046" s="1" t="s">
        <v>19</v>
      </c>
      <c r="M1046" s="1">
        <f>Table1[[#This Row],[ApplicantIncome]]+Table1[[#This Row],[CoapplicantIncome]]</f>
        <v>16261</v>
      </c>
      <c r="N1046" s="1" t="s">
        <v>26</v>
      </c>
      <c r="O1046" s="1" t="str">
        <f>IF(Table1[[#This Row],[Total_Income]]&lt;3000,"Low",IF(Table1[[#This Row],[Total_Income]]&lt;7000,"Medium","High"))</f>
        <v>High</v>
      </c>
      <c r="P1046" s="1" t="str">
        <f t="shared" si="48"/>
        <v>Rejected</v>
      </c>
      <c r="Q1046" s="1" t="str">
        <f t="shared" si="49"/>
        <v>Low Risk</v>
      </c>
      <c r="R1046" s="2">
        <f t="shared" si="50"/>
        <v>2589.8171485352527</v>
      </c>
    </row>
    <row r="1047" spans="1:18" s="1" customFormat="1" ht="11.5" x14ac:dyDescent="0.25">
      <c r="A1047" s="1" t="s">
        <v>1078</v>
      </c>
      <c r="B1047" s="1" t="s">
        <v>1238</v>
      </c>
      <c r="C1047" s="1" t="s">
        <v>22</v>
      </c>
      <c r="D1047" s="1">
        <v>2</v>
      </c>
      <c r="E1047" s="1" t="s">
        <v>25</v>
      </c>
      <c r="F1047" s="1" t="s">
        <v>22</v>
      </c>
      <c r="G1047" s="1">
        <v>15973</v>
      </c>
      <c r="H1047" s="1">
        <v>8771</v>
      </c>
      <c r="I1047" s="1">
        <v>640</v>
      </c>
      <c r="J1047" s="1">
        <v>360</v>
      </c>
      <c r="K1047" s="1">
        <v>0</v>
      </c>
      <c r="L1047" s="1" t="s">
        <v>19</v>
      </c>
      <c r="M1047" s="1">
        <f>Table1[[#This Row],[ApplicantIncome]]+Table1[[#This Row],[CoapplicantIncome]]</f>
        <v>24744</v>
      </c>
      <c r="N1047" s="1" t="s">
        <v>26</v>
      </c>
      <c r="O1047" s="1" t="str">
        <f>IF(Table1[[#This Row],[Total_Income]]&lt;3000,"Low",IF(Table1[[#This Row],[Total_Income]]&lt;7000,"Medium","High"))</f>
        <v>High</v>
      </c>
      <c r="P1047" s="1" t="str">
        <f t="shared" si="48"/>
        <v>Rejected</v>
      </c>
      <c r="Q1047" s="1" t="str">
        <f t="shared" si="49"/>
        <v>High Risk</v>
      </c>
      <c r="R1047" s="2">
        <f t="shared" si="50"/>
        <v>4696.0932728280077</v>
      </c>
    </row>
    <row r="1048" spans="1:18" s="1" customFormat="1" ht="11.5" x14ac:dyDescent="0.25">
      <c r="A1048" s="1" t="s">
        <v>1079</v>
      </c>
      <c r="B1048" s="1" t="s">
        <v>1238</v>
      </c>
      <c r="C1048" s="1" t="s">
        <v>29</v>
      </c>
      <c r="D1048" s="1" t="s">
        <v>16</v>
      </c>
      <c r="E1048" s="1" t="s">
        <v>17</v>
      </c>
      <c r="F1048" s="1" t="s">
        <v>22</v>
      </c>
      <c r="G1048" s="1">
        <v>13674</v>
      </c>
      <c r="H1048" s="1">
        <v>2140</v>
      </c>
      <c r="I1048" s="1">
        <v>583</v>
      </c>
      <c r="J1048" s="1">
        <v>120</v>
      </c>
      <c r="K1048" s="1">
        <v>0</v>
      </c>
      <c r="L1048" s="1" t="s">
        <v>41</v>
      </c>
      <c r="M1048" s="1">
        <f>Table1[[#This Row],[ApplicantIncome]]+Table1[[#This Row],[CoapplicantIncome]]</f>
        <v>15814</v>
      </c>
      <c r="N1048" s="1" t="s">
        <v>26</v>
      </c>
      <c r="O1048" s="1" t="str">
        <f>IF(Table1[[#This Row],[Total_Income]]&lt;3000,"Low",IF(Table1[[#This Row],[Total_Income]]&lt;7000,"Medium","High"))</f>
        <v>High</v>
      </c>
      <c r="P1048" s="1" t="str">
        <f t="shared" si="48"/>
        <v>Rejected</v>
      </c>
      <c r="Q1048" s="1" t="str">
        <f t="shared" si="49"/>
        <v>High Risk</v>
      </c>
      <c r="R1048" s="2">
        <f t="shared" si="50"/>
        <v>7073.3987509173085</v>
      </c>
    </row>
    <row r="1049" spans="1:18" s="1" customFormat="1" ht="11.5" x14ac:dyDescent="0.25">
      <c r="A1049" s="1" t="s">
        <v>1080</v>
      </c>
      <c r="B1049" s="1" t="s">
        <v>28</v>
      </c>
      <c r="C1049" s="1" t="s">
        <v>22</v>
      </c>
      <c r="D1049" s="1" t="s">
        <v>16</v>
      </c>
      <c r="E1049" s="1" t="s">
        <v>25</v>
      </c>
      <c r="F1049" s="1" t="s">
        <v>22</v>
      </c>
      <c r="G1049" s="1">
        <v>7948</v>
      </c>
      <c r="H1049" s="1">
        <v>7791</v>
      </c>
      <c r="I1049" s="1">
        <v>192</v>
      </c>
      <c r="J1049" s="1">
        <v>180</v>
      </c>
      <c r="K1049" s="1">
        <v>0</v>
      </c>
      <c r="L1049" s="1" t="s">
        <v>41</v>
      </c>
      <c r="M1049" s="1">
        <f>Table1[[#This Row],[ApplicantIncome]]+Table1[[#This Row],[CoapplicantIncome]]</f>
        <v>15739</v>
      </c>
      <c r="N1049" s="1" t="s">
        <v>20</v>
      </c>
      <c r="O1049" s="1" t="str">
        <f>IF(Table1[[#This Row],[Total_Income]]&lt;3000,"Low",IF(Table1[[#This Row],[Total_Income]]&lt;7000,"Medium","High"))</f>
        <v>High</v>
      </c>
      <c r="P1049" s="1" t="str">
        <f t="shared" si="48"/>
        <v>Approved</v>
      </c>
      <c r="Q1049" s="1" t="str">
        <f t="shared" si="49"/>
        <v>High Risk</v>
      </c>
      <c r="R1049" s="2">
        <f t="shared" si="50"/>
        <v>1834.8520019142745</v>
      </c>
    </row>
    <row r="1050" spans="1:18" s="1" customFormat="1" ht="11.5" x14ac:dyDescent="0.25">
      <c r="A1050" s="1" t="s">
        <v>1081</v>
      </c>
      <c r="B1050" s="1" t="s">
        <v>1238</v>
      </c>
      <c r="C1050" s="1" t="s">
        <v>22</v>
      </c>
      <c r="D1050" s="1">
        <v>2</v>
      </c>
      <c r="E1050" s="1" t="s">
        <v>17</v>
      </c>
      <c r="F1050" s="1" t="s">
        <v>22</v>
      </c>
      <c r="G1050" s="1">
        <v>2259</v>
      </c>
      <c r="H1050" s="1">
        <v>3381</v>
      </c>
      <c r="I1050" s="1">
        <v>477</v>
      </c>
      <c r="J1050" s="1">
        <v>360</v>
      </c>
      <c r="K1050" s="1">
        <v>0</v>
      </c>
      <c r="L1050" s="1" t="s">
        <v>19</v>
      </c>
      <c r="M1050" s="1">
        <f>Table1[[#This Row],[ApplicantIncome]]+Table1[[#This Row],[CoapplicantIncome]]</f>
        <v>5640</v>
      </c>
      <c r="N1050" s="1" t="s">
        <v>20</v>
      </c>
      <c r="O1050" s="1" t="str">
        <f>IF(Table1[[#This Row],[Total_Income]]&lt;3000,"Low",IF(Table1[[#This Row],[Total_Income]]&lt;7000,"Medium","High"))</f>
        <v>Medium</v>
      </c>
      <c r="P1050" s="1" t="str">
        <f t="shared" si="48"/>
        <v>Approved</v>
      </c>
      <c r="Q1050" s="1" t="str">
        <f t="shared" si="49"/>
        <v>High Risk</v>
      </c>
      <c r="R1050" s="2">
        <f t="shared" si="50"/>
        <v>3500.0570174046243</v>
      </c>
    </row>
    <row r="1051" spans="1:18" s="1" customFormat="1" ht="11.5" x14ac:dyDescent="0.25">
      <c r="A1051" s="1" t="s">
        <v>1082</v>
      </c>
      <c r="B1051" s="1" t="s">
        <v>1238</v>
      </c>
      <c r="C1051" s="1" t="s">
        <v>22</v>
      </c>
      <c r="D1051" s="1">
        <v>1</v>
      </c>
      <c r="E1051" s="1" t="s">
        <v>17</v>
      </c>
      <c r="F1051" s="1" t="s">
        <v>22</v>
      </c>
      <c r="G1051" s="1">
        <v>3421</v>
      </c>
      <c r="H1051" s="1">
        <v>7507</v>
      </c>
      <c r="I1051" s="1">
        <v>118</v>
      </c>
      <c r="J1051" s="1">
        <v>360</v>
      </c>
      <c r="K1051" s="1">
        <v>0</v>
      </c>
      <c r="L1051" s="1" t="s">
        <v>30</v>
      </c>
      <c r="M1051" s="1">
        <f>Table1[[#This Row],[ApplicantIncome]]+Table1[[#This Row],[CoapplicantIncome]]</f>
        <v>10928</v>
      </c>
      <c r="N1051" s="1" t="s">
        <v>26</v>
      </c>
      <c r="O1051" s="1" t="str">
        <f>IF(Table1[[#This Row],[Total_Income]]&lt;3000,"Low",IF(Table1[[#This Row],[Total_Income]]&lt;7000,"Medium","High"))</f>
        <v>High</v>
      </c>
      <c r="P1051" s="1" t="str">
        <f t="shared" si="48"/>
        <v>Rejected</v>
      </c>
      <c r="Q1051" s="1" t="str">
        <f t="shared" si="49"/>
        <v>High Risk</v>
      </c>
      <c r="R1051" s="2">
        <f t="shared" si="50"/>
        <v>865.84219717766382</v>
      </c>
    </row>
    <row r="1052" spans="1:18" s="1" customFormat="1" ht="11.5" x14ac:dyDescent="0.25">
      <c r="A1052" s="1" t="s">
        <v>1083</v>
      </c>
      <c r="B1052" s="1" t="s">
        <v>52</v>
      </c>
      <c r="C1052" s="1" t="s">
        <v>22</v>
      </c>
      <c r="D1052" s="1">
        <v>0</v>
      </c>
      <c r="E1052" s="1" t="s">
        <v>25</v>
      </c>
      <c r="F1052" s="1" t="s">
        <v>22</v>
      </c>
      <c r="G1052" s="1">
        <v>19864</v>
      </c>
      <c r="H1052" s="1">
        <v>8091</v>
      </c>
      <c r="I1052" s="1">
        <v>680</v>
      </c>
      <c r="J1052" s="1">
        <v>360</v>
      </c>
      <c r="K1052" s="1">
        <v>0</v>
      </c>
      <c r="L1052" s="1" t="s">
        <v>41</v>
      </c>
      <c r="M1052" s="1">
        <f>Table1[[#This Row],[ApplicantIncome]]+Table1[[#This Row],[CoapplicantIncome]]</f>
        <v>27955</v>
      </c>
      <c r="N1052" s="1" t="s">
        <v>20</v>
      </c>
      <c r="O1052" s="1" t="str">
        <f>IF(Table1[[#This Row],[Total_Income]]&lt;3000,"Low",IF(Table1[[#This Row],[Total_Income]]&lt;7000,"Medium","High"))</f>
        <v>High</v>
      </c>
      <c r="P1052" s="1" t="str">
        <f t="shared" si="48"/>
        <v>Approved</v>
      </c>
      <c r="Q1052" s="1" t="str">
        <f t="shared" si="49"/>
        <v>High Risk</v>
      </c>
      <c r="R1052" s="2">
        <f t="shared" si="50"/>
        <v>4989.5991023797587</v>
      </c>
    </row>
    <row r="1053" spans="1:18" s="1" customFormat="1" ht="11.5" x14ac:dyDescent="0.25">
      <c r="A1053" s="1" t="s">
        <v>1084</v>
      </c>
      <c r="B1053" s="1" t="s">
        <v>52</v>
      </c>
      <c r="C1053" s="1" t="s">
        <v>22</v>
      </c>
      <c r="D1053" s="1">
        <v>1</v>
      </c>
      <c r="E1053" s="1" t="s">
        <v>25</v>
      </c>
      <c r="F1053" s="1" t="s">
        <v>22</v>
      </c>
      <c r="G1053" s="1">
        <v>18716</v>
      </c>
      <c r="H1053" s="1">
        <v>7679</v>
      </c>
      <c r="I1053" s="1">
        <v>435</v>
      </c>
      <c r="J1053" s="1">
        <v>360</v>
      </c>
      <c r="K1053" s="1">
        <v>0</v>
      </c>
      <c r="L1053" s="1" t="s">
        <v>41</v>
      </c>
      <c r="M1053" s="1">
        <f>Table1[[#This Row],[ApplicantIncome]]+Table1[[#This Row],[CoapplicantIncome]]</f>
        <v>26395</v>
      </c>
      <c r="N1053" s="1" t="s">
        <v>20</v>
      </c>
      <c r="O1053" s="1" t="str">
        <f>IF(Table1[[#This Row],[Total_Income]]&lt;3000,"Low",IF(Table1[[#This Row],[Total_Income]]&lt;7000,"Medium","High"))</f>
        <v>High</v>
      </c>
      <c r="P1053" s="1" t="str">
        <f t="shared" si="48"/>
        <v>Approved</v>
      </c>
      <c r="Q1053" s="1" t="str">
        <f t="shared" si="49"/>
        <v>High Risk</v>
      </c>
      <c r="R1053" s="2">
        <f t="shared" si="50"/>
        <v>3191.8758963752866</v>
      </c>
    </row>
    <row r="1054" spans="1:18" s="1" customFormat="1" ht="11.5" x14ac:dyDescent="0.25">
      <c r="A1054" s="1" t="s">
        <v>1085</v>
      </c>
      <c r="B1054" s="1" t="s">
        <v>1238</v>
      </c>
      <c r="C1054" s="1" t="s">
        <v>22</v>
      </c>
      <c r="D1054" s="1">
        <v>2</v>
      </c>
      <c r="E1054" s="1" t="s">
        <v>25</v>
      </c>
      <c r="F1054" s="1" t="s">
        <v>22</v>
      </c>
      <c r="G1054" s="1">
        <v>3350</v>
      </c>
      <c r="H1054" s="1">
        <v>5335</v>
      </c>
      <c r="I1054" s="1">
        <v>364</v>
      </c>
      <c r="J1054" s="1">
        <v>360</v>
      </c>
      <c r="K1054" s="1">
        <v>1</v>
      </c>
      <c r="L1054" s="1" t="s">
        <v>19</v>
      </c>
      <c r="M1054" s="1">
        <f>Table1[[#This Row],[ApplicantIncome]]+Table1[[#This Row],[CoapplicantIncome]]</f>
        <v>8685</v>
      </c>
      <c r="N1054" s="1" t="s">
        <v>20</v>
      </c>
      <c r="O1054" s="1" t="str">
        <f>IF(Table1[[#This Row],[Total_Income]]&lt;3000,"Low",IF(Table1[[#This Row],[Total_Income]]&lt;7000,"Medium","High"))</f>
        <v>High</v>
      </c>
      <c r="P1054" s="1" t="str">
        <f t="shared" si="48"/>
        <v>Approved</v>
      </c>
      <c r="Q1054" s="1" t="str">
        <f t="shared" si="49"/>
        <v>Low Risk</v>
      </c>
      <c r="R1054" s="2">
        <f t="shared" si="50"/>
        <v>2670.903048920929</v>
      </c>
    </row>
    <row r="1055" spans="1:18" s="1" customFormat="1" ht="11.5" x14ac:dyDescent="0.25">
      <c r="A1055" s="1" t="s">
        <v>1086</v>
      </c>
      <c r="B1055" s="1" t="s">
        <v>28</v>
      </c>
      <c r="C1055" s="1" t="s">
        <v>22</v>
      </c>
      <c r="D1055" s="1">
        <v>1</v>
      </c>
      <c r="E1055" s="1" t="s">
        <v>25</v>
      </c>
      <c r="F1055" s="1" t="s">
        <v>22</v>
      </c>
      <c r="G1055" s="1">
        <v>6899</v>
      </c>
      <c r="H1055" s="1">
        <v>7700</v>
      </c>
      <c r="I1055" s="1">
        <v>506</v>
      </c>
      <c r="J1055" s="1">
        <v>180</v>
      </c>
      <c r="K1055" s="1">
        <v>1</v>
      </c>
      <c r="L1055" s="1" t="s">
        <v>19</v>
      </c>
      <c r="M1055" s="1">
        <f>Table1[[#This Row],[ApplicantIncome]]+Table1[[#This Row],[CoapplicantIncome]]</f>
        <v>14599</v>
      </c>
      <c r="N1055" s="1" t="s">
        <v>26</v>
      </c>
      <c r="O1055" s="1" t="str">
        <f>IF(Table1[[#This Row],[Total_Income]]&lt;3000,"Low",IF(Table1[[#This Row],[Total_Income]]&lt;7000,"Medium","High"))</f>
        <v>High</v>
      </c>
      <c r="P1055" s="1" t="str">
        <f t="shared" si="48"/>
        <v>Rejected</v>
      </c>
      <c r="Q1055" s="1" t="str">
        <f t="shared" si="49"/>
        <v>Low Risk</v>
      </c>
      <c r="R1055" s="2">
        <f t="shared" si="50"/>
        <v>4835.599546711579</v>
      </c>
    </row>
    <row r="1056" spans="1:18" s="1" customFormat="1" ht="11.5" x14ac:dyDescent="0.25">
      <c r="A1056" s="1" t="s">
        <v>1087</v>
      </c>
      <c r="B1056" s="1" t="s">
        <v>52</v>
      </c>
      <c r="C1056" s="1" t="s">
        <v>22</v>
      </c>
      <c r="D1056" s="1">
        <v>1</v>
      </c>
      <c r="E1056" s="1" t="s">
        <v>25</v>
      </c>
      <c r="F1056" s="1" t="s">
        <v>22</v>
      </c>
      <c r="G1056" s="1">
        <v>2723</v>
      </c>
      <c r="H1056" s="1">
        <v>6439</v>
      </c>
      <c r="I1056" s="1">
        <v>611</v>
      </c>
      <c r="J1056" s="1">
        <v>360</v>
      </c>
      <c r="K1056" s="1">
        <v>1</v>
      </c>
      <c r="L1056" s="1" t="s">
        <v>41</v>
      </c>
      <c r="M1056" s="1">
        <f>Table1[[#This Row],[ApplicantIncome]]+Table1[[#This Row],[CoapplicantIncome]]</f>
        <v>9162</v>
      </c>
      <c r="N1056" s="1" t="s">
        <v>26</v>
      </c>
      <c r="O1056" s="1" t="str">
        <f>IF(Table1[[#This Row],[Total_Income]]&lt;3000,"Low",IF(Table1[[#This Row],[Total_Income]]&lt;7000,"Medium","High"))</f>
        <v>High</v>
      </c>
      <c r="P1056" s="1" t="str">
        <f t="shared" si="48"/>
        <v>Rejected</v>
      </c>
      <c r="Q1056" s="1" t="str">
        <f t="shared" si="49"/>
        <v>Low Risk</v>
      </c>
      <c r="R1056" s="2">
        <f t="shared" si="50"/>
        <v>4483.3015464029886</v>
      </c>
    </row>
    <row r="1057" spans="1:18" s="1" customFormat="1" ht="11.5" x14ac:dyDescent="0.25">
      <c r="A1057" s="1" t="s">
        <v>1088</v>
      </c>
      <c r="B1057" s="1" t="s">
        <v>52</v>
      </c>
      <c r="C1057" s="1" t="s">
        <v>22</v>
      </c>
      <c r="D1057" s="1" t="s">
        <v>16</v>
      </c>
      <c r="E1057" s="1" t="s">
        <v>17</v>
      </c>
      <c r="F1057" s="1" t="s">
        <v>29</v>
      </c>
      <c r="G1057" s="1">
        <v>5076</v>
      </c>
      <c r="H1057" s="1">
        <v>1730</v>
      </c>
      <c r="I1057" s="1">
        <v>92</v>
      </c>
      <c r="J1057" s="1">
        <v>120</v>
      </c>
      <c r="K1057" s="1">
        <v>1</v>
      </c>
      <c r="L1057" s="1" t="s">
        <v>41</v>
      </c>
      <c r="M1057" s="1">
        <f>Table1[[#This Row],[ApplicantIncome]]+Table1[[#This Row],[CoapplicantIncome]]</f>
        <v>6806</v>
      </c>
      <c r="N1057" s="1" t="s">
        <v>20</v>
      </c>
      <c r="O1057" s="1" t="str">
        <f>IF(Table1[[#This Row],[Total_Income]]&lt;3000,"Low",IF(Table1[[#This Row],[Total_Income]]&lt;7000,"Medium","High"))</f>
        <v>Medium</v>
      </c>
      <c r="P1057" s="1" t="str">
        <f t="shared" si="48"/>
        <v>Approved</v>
      </c>
      <c r="Q1057" s="1" t="str">
        <f t="shared" si="49"/>
        <v>Low Risk</v>
      </c>
      <c r="R1057" s="2">
        <f t="shared" si="50"/>
        <v>1116.2138680692838</v>
      </c>
    </row>
    <row r="1058" spans="1:18" s="1" customFormat="1" ht="11.5" x14ac:dyDescent="0.25">
      <c r="A1058" s="1" t="s">
        <v>1089</v>
      </c>
      <c r="B1058" s="1" t="s">
        <v>1238</v>
      </c>
      <c r="C1058" s="1" t="s">
        <v>29</v>
      </c>
      <c r="D1058" s="1">
        <v>0</v>
      </c>
      <c r="E1058" s="1" t="s">
        <v>25</v>
      </c>
      <c r="F1058" s="1" t="s">
        <v>22</v>
      </c>
      <c r="G1058" s="1">
        <v>18008</v>
      </c>
      <c r="H1058" s="1">
        <v>3507</v>
      </c>
      <c r="I1058" s="1">
        <v>359</v>
      </c>
      <c r="J1058" s="1">
        <v>120</v>
      </c>
      <c r="K1058" s="1">
        <v>0</v>
      </c>
      <c r="L1058" s="1" t="s">
        <v>41</v>
      </c>
      <c r="M1058" s="1">
        <f>Table1[[#This Row],[ApplicantIncome]]+Table1[[#This Row],[CoapplicantIncome]]</f>
        <v>21515</v>
      </c>
      <c r="N1058" s="1" t="s">
        <v>20</v>
      </c>
      <c r="O1058" s="1" t="str">
        <f>IF(Table1[[#This Row],[Total_Income]]&lt;3000,"Low",IF(Table1[[#This Row],[Total_Income]]&lt;7000,"Medium","High"))</f>
        <v>High</v>
      </c>
      <c r="P1058" s="1" t="str">
        <f t="shared" si="48"/>
        <v>Approved</v>
      </c>
      <c r="Q1058" s="1" t="str">
        <f t="shared" si="49"/>
        <v>High Risk</v>
      </c>
      <c r="R1058" s="2">
        <f t="shared" si="50"/>
        <v>4355.660637357314</v>
      </c>
    </row>
    <row r="1059" spans="1:18" s="1" customFormat="1" ht="11.5" x14ac:dyDescent="0.25">
      <c r="A1059" s="1" t="s">
        <v>1090</v>
      </c>
      <c r="B1059" s="1" t="s">
        <v>1238</v>
      </c>
      <c r="C1059" s="1" t="s">
        <v>29</v>
      </c>
      <c r="D1059" s="1">
        <v>0</v>
      </c>
      <c r="E1059" s="1" t="s">
        <v>17</v>
      </c>
      <c r="F1059" s="1" t="s">
        <v>22</v>
      </c>
      <c r="G1059" s="1">
        <v>5798</v>
      </c>
      <c r="H1059" s="1">
        <v>3367</v>
      </c>
      <c r="I1059" s="1">
        <v>548</v>
      </c>
      <c r="J1059" s="1">
        <v>360</v>
      </c>
      <c r="K1059" s="1">
        <v>1</v>
      </c>
      <c r="L1059" s="1" t="s">
        <v>41</v>
      </c>
      <c r="M1059" s="1">
        <f>Table1[[#This Row],[ApplicantIncome]]+Table1[[#This Row],[CoapplicantIncome]]</f>
        <v>9165</v>
      </c>
      <c r="N1059" s="1" t="s">
        <v>20</v>
      </c>
      <c r="O1059" s="1" t="str">
        <f>IF(Table1[[#This Row],[Total_Income]]&lt;3000,"Low",IF(Table1[[#This Row],[Total_Income]]&lt;7000,"Medium","High"))</f>
        <v>High</v>
      </c>
      <c r="P1059" s="1" t="str">
        <f t="shared" si="48"/>
        <v>Approved</v>
      </c>
      <c r="Q1059" s="1" t="str">
        <f t="shared" si="49"/>
        <v>Low Risk</v>
      </c>
      <c r="R1059" s="2">
        <f t="shared" si="50"/>
        <v>4021.0298648589815</v>
      </c>
    </row>
    <row r="1060" spans="1:18" s="1" customFormat="1" ht="11.5" x14ac:dyDescent="0.25">
      <c r="A1060" s="1" t="s">
        <v>1091</v>
      </c>
      <c r="B1060" s="1" t="s">
        <v>52</v>
      </c>
      <c r="C1060" s="1" t="s">
        <v>22</v>
      </c>
      <c r="D1060" s="1" t="s">
        <v>16</v>
      </c>
      <c r="E1060" s="1" t="s">
        <v>25</v>
      </c>
      <c r="F1060" s="1" t="s">
        <v>22</v>
      </c>
      <c r="G1060" s="1">
        <v>4501</v>
      </c>
      <c r="H1060" s="1">
        <v>3677</v>
      </c>
      <c r="I1060" s="1">
        <v>575</v>
      </c>
      <c r="J1060" s="1">
        <v>360</v>
      </c>
      <c r="K1060" s="1">
        <v>1</v>
      </c>
      <c r="L1060" s="1" t="s">
        <v>19</v>
      </c>
      <c r="M1060" s="1">
        <f>Table1[[#This Row],[ApplicantIncome]]+Table1[[#This Row],[CoapplicantIncome]]</f>
        <v>8178</v>
      </c>
      <c r="N1060" s="1" t="s">
        <v>20</v>
      </c>
      <c r="O1060" s="1" t="str">
        <f>IF(Table1[[#This Row],[Total_Income]]&lt;3000,"Low",IF(Table1[[#This Row],[Total_Income]]&lt;7000,"Medium","High"))</f>
        <v>High</v>
      </c>
      <c r="P1060" s="1" t="str">
        <f t="shared" si="48"/>
        <v>Approved</v>
      </c>
      <c r="Q1060" s="1" t="str">
        <f t="shared" si="49"/>
        <v>Low Risk</v>
      </c>
      <c r="R1060" s="2">
        <f t="shared" si="50"/>
        <v>4219.1462998064126</v>
      </c>
    </row>
    <row r="1061" spans="1:18" s="1" customFormat="1" ht="11.5" x14ac:dyDescent="0.25">
      <c r="A1061" s="1" t="s">
        <v>1092</v>
      </c>
      <c r="B1061" s="1" t="s">
        <v>52</v>
      </c>
      <c r="C1061" s="1" t="s">
        <v>22</v>
      </c>
      <c r="D1061" s="1">
        <v>1</v>
      </c>
      <c r="E1061" s="1" t="s">
        <v>17</v>
      </c>
      <c r="F1061" s="1" t="s">
        <v>22</v>
      </c>
      <c r="G1061" s="1">
        <v>18986</v>
      </c>
      <c r="H1061" s="1">
        <v>6870</v>
      </c>
      <c r="I1061" s="1">
        <v>447</v>
      </c>
      <c r="J1061" s="1">
        <v>120</v>
      </c>
      <c r="K1061" s="1">
        <v>0</v>
      </c>
      <c r="L1061" s="1" t="s">
        <v>19</v>
      </c>
      <c r="M1061" s="1">
        <f>Table1[[#This Row],[ApplicantIncome]]+Table1[[#This Row],[CoapplicantIncome]]</f>
        <v>25856</v>
      </c>
      <c r="N1061" s="1" t="s">
        <v>26</v>
      </c>
      <c r="O1061" s="1" t="str">
        <f>IF(Table1[[#This Row],[Total_Income]]&lt;3000,"Low",IF(Table1[[#This Row],[Total_Income]]&lt;7000,"Medium","High"))</f>
        <v>High</v>
      </c>
      <c r="P1061" s="1" t="str">
        <f t="shared" si="48"/>
        <v>Rejected</v>
      </c>
      <c r="Q1061" s="1" t="str">
        <f t="shared" si="49"/>
        <v>High Risk</v>
      </c>
      <c r="R1061" s="2">
        <f t="shared" si="50"/>
        <v>5423.3434676844545</v>
      </c>
    </row>
    <row r="1062" spans="1:18" s="1" customFormat="1" ht="11.5" x14ac:dyDescent="0.25">
      <c r="A1062" s="1" t="s">
        <v>1093</v>
      </c>
      <c r="B1062" s="1" t="s">
        <v>1238</v>
      </c>
      <c r="C1062" s="1" t="s">
        <v>22</v>
      </c>
      <c r="D1062" s="1">
        <v>2</v>
      </c>
      <c r="E1062" s="1" t="s">
        <v>17</v>
      </c>
      <c r="F1062" s="1" t="s">
        <v>22</v>
      </c>
      <c r="G1062" s="1">
        <v>8695</v>
      </c>
      <c r="H1062" s="1">
        <v>5463</v>
      </c>
      <c r="I1062" s="1">
        <v>377</v>
      </c>
      <c r="J1062" s="1">
        <v>360</v>
      </c>
      <c r="K1062" s="1">
        <v>1</v>
      </c>
      <c r="L1062" s="1" t="s">
        <v>30</v>
      </c>
      <c r="M1062" s="1">
        <f>Table1[[#This Row],[ApplicantIncome]]+Table1[[#This Row],[CoapplicantIncome]]</f>
        <v>14158</v>
      </c>
      <c r="N1062" s="1" t="s">
        <v>26</v>
      </c>
      <c r="O1062" s="1" t="str">
        <f>IF(Table1[[#This Row],[Total_Income]]&lt;3000,"Low",IF(Table1[[#This Row],[Total_Income]]&lt;7000,"Medium","High"))</f>
        <v>High</v>
      </c>
      <c r="P1062" s="1" t="str">
        <f t="shared" si="48"/>
        <v>Rejected</v>
      </c>
      <c r="Q1062" s="1" t="str">
        <f t="shared" si="49"/>
        <v>Low Risk</v>
      </c>
      <c r="R1062" s="2">
        <f t="shared" si="50"/>
        <v>2766.292443525248</v>
      </c>
    </row>
    <row r="1063" spans="1:18" s="1" customFormat="1" ht="11.5" x14ac:dyDescent="0.25">
      <c r="A1063" s="1" t="s">
        <v>1094</v>
      </c>
      <c r="B1063" s="1" t="s">
        <v>1238</v>
      </c>
      <c r="C1063" s="1" t="s">
        <v>22</v>
      </c>
      <c r="D1063" s="1">
        <v>2</v>
      </c>
      <c r="E1063" s="1" t="s">
        <v>25</v>
      </c>
      <c r="F1063" s="1" t="s">
        <v>29</v>
      </c>
      <c r="G1063" s="1">
        <v>9850</v>
      </c>
      <c r="H1063" s="1">
        <v>5288</v>
      </c>
      <c r="I1063" s="1">
        <v>444</v>
      </c>
      <c r="J1063" s="1">
        <v>120</v>
      </c>
      <c r="K1063" s="1">
        <v>1</v>
      </c>
      <c r="L1063" s="1" t="s">
        <v>19</v>
      </c>
      <c r="M1063" s="1">
        <f>Table1[[#This Row],[ApplicantIncome]]+Table1[[#This Row],[CoapplicantIncome]]</f>
        <v>15138</v>
      </c>
      <c r="N1063" s="1" t="s">
        <v>26</v>
      </c>
      <c r="O1063" s="1" t="str">
        <f>IF(Table1[[#This Row],[Total_Income]]&lt;3000,"Low",IF(Table1[[#This Row],[Total_Income]]&lt;7000,"Medium","High"))</f>
        <v>High</v>
      </c>
      <c r="P1063" s="1" t="str">
        <f t="shared" si="48"/>
        <v>Rejected</v>
      </c>
      <c r="Q1063" s="1" t="str">
        <f t="shared" si="49"/>
        <v>Low Risk</v>
      </c>
      <c r="R1063" s="2">
        <f t="shared" si="50"/>
        <v>5386.9451893778478</v>
      </c>
    </row>
    <row r="1064" spans="1:18" s="1" customFormat="1" ht="11.5" x14ac:dyDescent="0.25">
      <c r="A1064" s="1" t="s">
        <v>1095</v>
      </c>
      <c r="B1064" s="1" t="s">
        <v>28</v>
      </c>
      <c r="C1064" s="1" t="s">
        <v>29</v>
      </c>
      <c r="D1064" s="1">
        <v>2</v>
      </c>
      <c r="E1064" s="1" t="s">
        <v>25</v>
      </c>
      <c r="F1064" s="1" t="s">
        <v>22</v>
      </c>
      <c r="G1064" s="1">
        <v>10428</v>
      </c>
      <c r="H1064" s="1">
        <v>3750</v>
      </c>
      <c r="I1064" s="1">
        <v>551</v>
      </c>
      <c r="J1064" s="1">
        <v>180</v>
      </c>
      <c r="K1064" s="1">
        <v>1</v>
      </c>
      <c r="L1064" s="1" t="s">
        <v>30</v>
      </c>
      <c r="M1064" s="1">
        <f>Table1[[#This Row],[ApplicantIncome]]+Table1[[#This Row],[CoapplicantIncome]]</f>
        <v>14178</v>
      </c>
      <c r="N1064" s="1" t="s">
        <v>26</v>
      </c>
      <c r="O1064" s="1" t="str">
        <f>IF(Table1[[#This Row],[Total_Income]]&lt;3000,"Low",IF(Table1[[#This Row],[Total_Income]]&lt;7000,"Medium","High"))</f>
        <v>High</v>
      </c>
      <c r="P1064" s="1" t="str">
        <f t="shared" si="48"/>
        <v>Rejected</v>
      </c>
      <c r="Q1064" s="1" t="str">
        <f t="shared" si="49"/>
        <v>Low Risk</v>
      </c>
      <c r="R1064" s="2">
        <f t="shared" si="50"/>
        <v>5265.6429846602359</v>
      </c>
    </row>
    <row r="1065" spans="1:18" s="1" customFormat="1" ht="11.5" x14ac:dyDescent="0.25">
      <c r="A1065" s="1" t="s">
        <v>1096</v>
      </c>
      <c r="B1065" s="1" t="s">
        <v>52</v>
      </c>
      <c r="C1065" s="1" t="s">
        <v>29</v>
      </c>
      <c r="D1065" s="1">
        <v>1</v>
      </c>
      <c r="E1065" s="1" t="s">
        <v>25</v>
      </c>
      <c r="F1065" s="1" t="s">
        <v>29</v>
      </c>
      <c r="G1065" s="1">
        <v>1891</v>
      </c>
      <c r="H1065" s="1">
        <v>4069</v>
      </c>
      <c r="I1065" s="1">
        <v>137</v>
      </c>
      <c r="J1065" s="1">
        <v>360</v>
      </c>
      <c r="K1065" s="1">
        <v>0</v>
      </c>
      <c r="L1065" s="1" t="s">
        <v>19</v>
      </c>
      <c r="M1065" s="1">
        <f>Table1[[#This Row],[ApplicantIncome]]+Table1[[#This Row],[CoapplicantIncome]]</f>
        <v>5960</v>
      </c>
      <c r="N1065" s="1" t="s">
        <v>20</v>
      </c>
      <c r="O1065" s="1" t="str">
        <f>IF(Table1[[#This Row],[Total_Income]]&lt;3000,"Low",IF(Table1[[#This Row],[Total_Income]]&lt;7000,"Medium","High"))</f>
        <v>Medium</v>
      </c>
      <c r="P1065" s="1" t="str">
        <f t="shared" si="48"/>
        <v>Approved</v>
      </c>
      <c r="Q1065" s="1" t="str">
        <f t="shared" si="49"/>
        <v>High Risk</v>
      </c>
      <c r="R1065" s="2">
        <f t="shared" si="50"/>
        <v>1005.2574662147454</v>
      </c>
    </row>
    <row r="1066" spans="1:18" s="1" customFormat="1" ht="11.5" x14ac:dyDescent="0.25">
      <c r="A1066" s="1" t="s">
        <v>1097</v>
      </c>
      <c r="B1066" s="1" t="s">
        <v>52</v>
      </c>
      <c r="C1066" s="1" t="s">
        <v>29</v>
      </c>
      <c r="D1066" s="1">
        <v>2</v>
      </c>
      <c r="E1066" s="1" t="s">
        <v>17</v>
      </c>
      <c r="F1066" s="1" t="s">
        <v>22</v>
      </c>
      <c r="G1066" s="1">
        <v>14817</v>
      </c>
      <c r="H1066" s="1">
        <v>4822</v>
      </c>
      <c r="I1066" s="1">
        <v>378</v>
      </c>
      <c r="J1066" s="1">
        <v>360</v>
      </c>
      <c r="K1066" s="1">
        <v>0</v>
      </c>
      <c r="L1066" s="1" t="s">
        <v>41</v>
      </c>
      <c r="M1066" s="1">
        <f>Table1[[#This Row],[ApplicantIncome]]+Table1[[#This Row],[CoapplicantIncome]]</f>
        <v>19639</v>
      </c>
      <c r="N1066" s="1" t="s">
        <v>26</v>
      </c>
      <c r="O1066" s="1" t="str">
        <f>IF(Table1[[#This Row],[Total_Income]]&lt;3000,"Low",IF(Table1[[#This Row],[Total_Income]]&lt;7000,"Medium","High"))</f>
        <v>High</v>
      </c>
      <c r="P1066" s="1" t="str">
        <f t="shared" si="48"/>
        <v>Rejected</v>
      </c>
      <c r="Q1066" s="1" t="str">
        <f t="shared" si="49"/>
        <v>High Risk</v>
      </c>
      <c r="R1066" s="2">
        <f t="shared" si="50"/>
        <v>2773.630089264042</v>
      </c>
    </row>
    <row r="1067" spans="1:18" s="1" customFormat="1" ht="11.5" x14ac:dyDescent="0.25">
      <c r="A1067" s="1" t="s">
        <v>1098</v>
      </c>
      <c r="B1067" s="1" t="s">
        <v>28</v>
      </c>
      <c r="C1067" s="1" t="s">
        <v>29</v>
      </c>
      <c r="D1067" s="1">
        <v>2</v>
      </c>
      <c r="E1067" s="1" t="s">
        <v>17</v>
      </c>
      <c r="F1067" s="1" t="s">
        <v>22</v>
      </c>
      <c r="G1067" s="1">
        <v>16565</v>
      </c>
      <c r="H1067" s="1">
        <v>3136</v>
      </c>
      <c r="I1067" s="1">
        <v>614</v>
      </c>
      <c r="J1067" s="1">
        <v>360</v>
      </c>
      <c r="K1067" s="1">
        <v>0</v>
      </c>
      <c r="L1067" s="1" t="s">
        <v>30</v>
      </c>
      <c r="M1067" s="1">
        <f>Table1[[#This Row],[ApplicantIncome]]+Table1[[#This Row],[CoapplicantIncome]]</f>
        <v>19701</v>
      </c>
      <c r="N1067" s="1" t="s">
        <v>26</v>
      </c>
      <c r="O1067" s="1" t="str">
        <f>IF(Table1[[#This Row],[Total_Income]]&lt;3000,"Low",IF(Table1[[#This Row],[Total_Income]]&lt;7000,"Medium","High"))</f>
        <v>High</v>
      </c>
      <c r="P1067" s="1" t="str">
        <f t="shared" si="48"/>
        <v>Rejected</v>
      </c>
      <c r="Q1067" s="1" t="str">
        <f t="shared" si="49"/>
        <v>High Risk</v>
      </c>
      <c r="R1067" s="2">
        <f t="shared" si="50"/>
        <v>4505.3144836193696</v>
      </c>
    </row>
    <row r="1068" spans="1:18" s="1" customFormat="1" ht="11.5" x14ac:dyDescent="0.25">
      <c r="A1068" s="1" t="s">
        <v>1099</v>
      </c>
      <c r="B1068" s="1" t="s">
        <v>28</v>
      </c>
      <c r="C1068" s="1" t="s">
        <v>22</v>
      </c>
      <c r="D1068" s="1" t="s">
        <v>16</v>
      </c>
      <c r="E1068" s="1" t="s">
        <v>17</v>
      </c>
      <c r="F1068" s="1" t="s">
        <v>22</v>
      </c>
      <c r="G1068" s="1">
        <v>2072</v>
      </c>
      <c r="H1068" s="1">
        <v>6556</v>
      </c>
      <c r="I1068" s="1">
        <v>649</v>
      </c>
      <c r="J1068" s="1">
        <v>180</v>
      </c>
      <c r="K1068" s="1">
        <v>0</v>
      </c>
      <c r="L1068" s="1" t="s">
        <v>30</v>
      </c>
      <c r="M1068" s="1">
        <f>Table1[[#This Row],[ApplicantIncome]]+Table1[[#This Row],[CoapplicantIncome]]</f>
        <v>8628</v>
      </c>
      <c r="N1068" s="1" t="s">
        <v>20</v>
      </c>
      <c r="O1068" s="1" t="str">
        <f>IF(Table1[[#This Row],[Total_Income]]&lt;3000,"Low",IF(Table1[[#This Row],[Total_Income]]&lt;7000,"Medium","High"))</f>
        <v>High</v>
      </c>
      <c r="P1068" s="1" t="str">
        <f t="shared" si="48"/>
        <v>Approved</v>
      </c>
      <c r="Q1068" s="1" t="str">
        <f t="shared" si="49"/>
        <v>High Risk</v>
      </c>
      <c r="R1068" s="2">
        <f t="shared" si="50"/>
        <v>6202.1820273039812</v>
      </c>
    </row>
    <row r="1069" spans="1:18" s="1" customFormat="1" ht="11.5" x14ac:dyDescent="0.25">
      <c r="A1069" s="1" t="s">
        <v>1100</v>
      </c>
      <c r="B1069" s="1" t="s">
        <v>1238</v>
      </c>
      <c r="C1069" s="1" t="s">
        <v>22</v>
      </c>
      <c r="D1069" s="1">
        <v>2</v>
      </c>
      <c r="E1069" s="1" t="s">
        <v>17</v>
      </c>
      <c r="F1069" s="1" t="s">
        <v>22</v>
      </c>
      <c r="G1069" s="1">
        <v>10987</v>
      </c>
      <c r="H1069" s="1">
        <v>8174</v>
      </c>
      <c r="I1069" s="1">
        <v>359</v>
      </c>
      <c r="J1069" s="1">
        <v>360</v>
      </c>
      <c r="K1069" s="1">
        <v>1</v>
      </c>
      <c r="L1069" s="1" t="s">
        <v>19</v>
      </c>
      <c r="M1069" s="1">
        <f>Table1[[#This Row],[ApplicantIncome]]+Table1[[#This Row],[CoapplicantIncome]]</f>
        <v>19161</v>
      </c>
      <c r="N1069" s="1" t="s">
        <v>20</v>
      </c>
      <c r="O1069" s="1" t="str">
        <f>IF(Table1[[#This Row],[Total_Income]]&lt;3000,"Low",IF(Table1[[#This Row],[Total_Income]]&lt;7000,"Medium","High"))</f>
        <v>High</v>
      </c>
      <c r="P1069" s="1" t="str">
        <f t="shared" si="48"/>
        <v>Approved</v>
      </c>
      <c r="Q1069" s="1" t="str">
        <f t="shared" si="49"/>
        <v>Low Risk</v>
      </c>
      <c r="R1069" s="2">
        <f t="shared" si="50"/>
        <v>2634.2148202269605</v>
      </c>
    </row>
    <row r="1070" spans="1:18" s="1" customFormat="1" ht="11.5" x14ac:dyDescent="0.25">
      <c r="A1070" s="1" t="s">
        <v>1101</v>
      </c>
      <c r="B1070" s="1" t="s">
        <v>52</v>
      </c>
      <c r="C1070" s="1" t="s">
        <v>22</v>
      </c>
      <c r="D1070" s="1" t="s">
        <v>16</v>
      </c>
      <c r="E1070" s="1" t="s">
        <v>25</v>
      </c>
      <c r="F1070" s="1" t="s">
        <v>22</v>
      </c>
      <c r="G1070" s="1">
        <v>4004</v>
      </c>
      <c r="H1070" s="1">
        <v>9420</v>
      </c>
      <c r="I1070" s="1">
        <v>68</v>
      </c>
      <c r="J1070" s="1">
        <v>120</v>
      </c>
      <c r="K1070" s="1">
        <v>0</v>
      </c>
      <c r="L1070" s="1" t="s">
        <v>41</v>
      </c>
      <c r="M1070" s="1">
        <f>Table1[[#This Row],[ApplicantIncome]]+Table1[[#This Row],[CoapplicantIncome]]</f>
        <v>13424</v>
      </c>
      <c r="N1070" s="1" t="s">
        <v>26</v>
      </c>
      <c r="O1070" s="1" t="str">
        <f>IF(Table1[[#This Row],[Total_Income]]&lt;3000,"Low",IF(Table1[[#This Row],[Total_Income]]&lt;7000,"Medium","High"))</f>
        <v>High</v>
      </c>
      <c r="P1070" s="1" t="str">
        <f t="shared" si="48"/>
        <v>Rejected</v>
      </c>
      <c r="Q1070" s="1" t="str">
        <f t="shared" si="49"/>
        <v>High Risk</v>
      </c>
      <c r="R1070" s="2">
        <f t="shared" si="50"/>
        <v>825.0276416164271</v>
      </c>
    </row>
    <row r="1071" spans="1:18" s="1" customFormat="1" ht="11.5" x14ac:dyDescent="0.25">
      <c r="A1071" s="1" t="s">
        <v>1102</v>
      </c>
      <c r="B1071" s="1" t="s">
        <v>28</v>
      </c>
      <c r="C1071" s="1" t="s">
        <v>29</v>
      </c>
      <c r="D1071" s="1">
        <v>0</v>
      </c>
      <c r="E1071" s="1" t="s">
        <v>17</v>
      </c>
      <c r="F1071" s="1" t="s">
        <v>29</v>
      </c>
      <c r="G1071" s="1">
        <v>10581</v>
      </c>
      <c r="H1071" s="1">
        <v>9584</v>
      </c>
      <c r="I1071" s="1">
        <v>262</v>
      </c>
      <c r="J1071" s="1">
        <v>180</v>
      </c>
      <c r="K1071" s="1">
        <v>1</v>
      </c>
      <c r="L1071" s="1" t="s">
        <v>30</v>
      </c>
      <c r="M1071" s="1">
        <f>Table1[[#This Row],[ApplicantIncome]]+Table1[[#This Row],[CoapplicantIncome]]</f>
        <v>20165</v>
      </c>
      <c r="N1071" s="1" t="s">
        <v>20</v>
      </c>
      <c r="O1071" s="1" t="str">
        <f>IF(Table1[[#This Row],[Total_Income]]&lt;3000,"Low",IF(Table1[[#This Row],[Total_Income]]&lt;7000,"Medium","High"))</f>
        <v>High</v>
      </c>
      <c r="P1071" s="1" t="str">
        <f t="shared" si="48"/>
        <v>Approved</v>
      </c>
      <c r="Q1071" s="1" t="str">
        <f t="shared" si="49"/>
        <v>Low Risk</v>
      </c>
      <c r="R1071" s="2">
        <f t="shared" si="50"/>
        <v>2503.8084609455209</v>
      </c>
    </row>
    <row r="1072" spans="1:18" s="1" customFormat="1" ht="11.5" x14ac:dyDescent="0.25">
      <c r="A1072" s="1" t="s">
        <v>1103</v>
      </c>
      <c r="B1072" s="1" t="s">
        <v>52</v>
      </c>
      <c r="C1072" s="1" t="s">
        <v>22</v>
      </c>
      <c r="D1072" s="1">
        <v>1</v>
      </c>
      <c r="E1072" s="1" t="s">
        <v>25</v>
      </c>
      <c r="F1072" s="1" t="s">
        <v>22</v>
      </c>
      <c r="G1072" s="1">
        <v>7235</v>
      </c>
      <c r="H1072" s="1">
        <v>7786</v>
      </c>
      <c r="I1072" s="1">
        <v>254</v>
      </c>
      <c r="J1072" s="1">
        <v>360</v>
      </c>
      <c r="K1072" s="1">
        <v>0</v>
      </c>
      <c r="L1072" s="1" t="s">
        <v>19</v>
      </c>
      <c r="M1072" s="1">
        <f>Table1[[#This Row],[ApplicantIncome]]+Table1[[#This Row],[CoapplicantIncome]]</f>
        <v>15021</v>
      </c>
      <c r="N1072" s="1" t="s">
        <v>20</v>
      </c>
      <c r="O1072" s="1" t="str">
        <f>IF(Table1[[#This Row],[Total_Income]]&lt;3000,"Low",IF(Table1[[#This Row],[Total_Income]]&lt;7000,"Medium","High"))</f>
        <v>High</v>
      </c>
      <c r="P1072" s="1" t="str">
        <f t="shared" si="48"/>
        <v>Approved</v>
      </c>
      <c r="Q1072" s="1" t="str">
        <f t="shared" si="49"/>
        <v>High Risk</v>
      </c>
      <c r="R1072" s="2">
        <f t="shared" si="50"/>
        <v>1863.7620176536157</v>
      </c>
    </row>
    <row r="1073" spans="1:18" s="1" customFormat="1" ht="11.5" x14ac:dyDescent="0.25">
      <c r="A1073" s="1" t="s">
        <v>1104</v>
      </c>
      <c r="B1073" s="1" t="s">
        <v>52</v>
      </c>
      <c r="C1073" s="1" t="s">
        <v>22</v>
      </c>
      <c r="D1073" s="1">
        <v>0</v>
      </c>
      <c r="E1073" s="1" t="s">
        <v>17</v>
      </c>
      <c r="F1073" s="1" t="s">
        <v>22</v>
      </c>
      <c r="G1073" s="1">
        <v>2348</v>
      </c>
      <c r="H1073" s="1">
        <v>9922</v>
      </c>
      <c r="I1073" s="1">
        <v>546</v>
      </c>
      <c r="J1073" s="1">
        <v>360</v>
      </c>
      <c r="K1073" s="1">
        <v>0</v>
      </c>
      <c r="L1073" s="1" t="s">
        <v>19</v>
      </c>
      <c r="M1073" s="1">
        <f>Table1[[#This Row],[ApplicantIncome]]+Table1[[#This Row],[CoapplicantIncome]]</f>
        <v>12270</v>
      </c>
      <c r="N1073" s="1" t="s">
        <v>26</v>
      </c>
      <c r="O1073" s="1" t="str">
        <f>IF(Table1[[#This Row],[Total_Income]]&lt;3000,"Low",IF(Table1[[#This Row],[Total_Income]]&lt;7000,"Medium","High"))</f>
        <v>High</v>
      </c>
      <c r="P1073" s="1" t="str">
        <f t="shared" si="48"/>
        <v>Rejected</v>
      </c>
      <c r="Q1073" s="1" t="str">
        <f t="shared" si="49"/>
        <v>High Risk</v>
      </c>
      <c r="R1073" s="2">
        <f t="shared" si="50"/>
        <v>4006.3545733813944</v>
      </c>
    </row>
    <row r="1074" spans="1:18" s="1" customFormat="1" ht="11.5" x14ac:dyDescent="0.25">
      <c r="A1074" s="1" t="s">
        <v>1105</v>
      </c>
      <c r="B1074" s="1" t="s">
        <v>1238</v>
      </c>
      <c r="C1074" s="1" t="s">
        <v>22</v>
      </c>
      <c r="D1074" s="1" t="s">
        <v>16</v>
      </c>
      <c r="E1074" s="1" t="s">
        <v>17</v>
      </c>
      <c r="F1074" s="1" t="s">
        <v>22</v>
      </c>
      <c r="G1074" s="1">
        <v>11892</v>
      </c>
      <c r="H1074" s="1">
        <v>5387</v>
      </c>
      <c r="I1074" s="1">
        <v>554</v>
      </c>
      <c r="J1074" s="1">
        <v>180</v>
      </c>
      <c r="K1074" s="1">
        <v>0</v>
      </c>
      <c r="L1074" s="1" t="s">
        <v>41</v>
      </c>
      <c r="M1074" s="1">
        <f>Table1[[#This Row],[ApplicantIncome]]+Table1[[#This Row],[CoapplicantIncome]]</f>
        <v>17279</v>
      </c>
      <c r="N1074" s="1" t="s">
        <v>26</v>
      </c>
      <c r="O1074" s="1" t="str">
        <f>IF(Table1[[#This Row],[Total_Income]]&lt;3000,"Low",IF(Table1[[#This Row],[Total_Income]]&lt;7000,"Medium","High"))</f>
        <v>High</v>
      </c>
      <c r="P1074" s="1" t="str">
        <f t="shared" si="48"/>
        <v>Rejected</v>
      </c>
      <c r="Q1074" s="1" t="str">
        <f t="shared" si="49"/>
        <v>High Risk</v>
      </c>
      <c r="R1074" s="2">
        <f t="shared" si="50"/>
        <v>5294.3125471901467</v>
      </c>
    </row>
    <row r="1075" spans="1:18" s="1" customFormat="1" ht="11.5" x14ac:dyDescent="0.25">
      <c r="A1075" s="1" t="s">
        <v>1106</v>
      </c>
      <c r="B1075" s="1" t="s">
        <v>1238</v>
      </c>
      <c r="C1075" s="1" t="s">
        <v>29</v>
      </c>
      <c r="D1075" s="1">
        <v>0</v>
      </c>
      <c r="E1075" s="1" t="s">
        <v>17</v>
      </c>
      <c r="F1075" s="1" t="s">
        <v>29</v>
      </c>
      <c r="G1075" s="1">
        <v>12844</v>
      </c>
      <c r="H1075" s="1">
        <v>6681</v>
      </c>
      <c r="I1075" s="1">
        <v>614</v>
      </c>
      <c r="J1075" s="1">
        <v>120</v>
      </c>
      <c r="K1075" s="1">
        <v>0</v>
      </c>
      <c r="L1075" s="1" t="s">
        <v>41</v>
      </c>
      <c r="M1075" s="1">
        <f>Table1[[#This Row],[ApplicantIncome]]+Table1[[#This Row],[CoapplicantIncome]]</f>
        <v>19525</v>
      </c>
      <c r="N1075" s="1" t="s">
        <v>26</v>
      </c>
      <c r="O1075" s="1" t="str">
        <f>IF(Table1[[#This Row],[Total_Income]]&lt;3000,"Low",IF(Table1[[#This Row],[Total_Income]]&lt;7000,"Medium","High"))</f>
        <v>High</v>
      </c>
      <c r="P1075" s="1" t="str">
        <f t="shared" si="48"/>
        <v>Rejected</v>
      </c>
      <c r="Q1075" s="1" t="str">
        <f t="shared" si="49"/>
        <v>High Risk</v>
      </c>
      <c r="R1075" s="2">
        <f t="shared" si="50"/>
        <v>7449.5142934189153</v>
      </c>
    </row>
    <row r="1076" spans="1:18" s="1" customFormat="1" ht="11.5" x14ac:dyDescent="0.25">
      <c r="A1076" s="1" t="s">
        <v>1107</v>
      </c>
      <c r="B1076" s="1" t="s">
        <v>28</v>
      </c>
      <c r="C1076" s="1" t="s">
        <v>22</v>
      </c>
      <c r="D1076" s="1">
        <v>2</v>
      </c>
      <c r="E1076" s="1" t="s">
        <v>25</v>
      </c>
      <c r="F1076" s="1" t="s">
        <v>29</v>
      </c>
      <c r="G1076" s="1">
        <v>12488</v>
      </c>
      <c r="H1076" s="1">
        <v>9713</v>
      </c>
      <c r="I1076" s="1">
        <v>636</v>
      </c>
      <c r="J1076" s="1">
        <v>360</v>
      </c>
      <c r="K1076" s="1">
        <v>0</v>
      </c>
      <c r="L1076" s="1" t="s">
        <v>19</v>
      </c>
      <c r="M1076" s="1">
        <f>Table1[[#This Row],[ApplicantIncome]]+Table1[[#This Row],[CoapplicantIncome]]</f>
        <v>22201</v>
      </c>
      <c r="N1076" s="1" t="s">
        <v>20</v>
      </c>
      <c r="O1076" s="1" t="str">
        <f>IF(Table1[[#This Row],[Total_Income]]&lt;3000,"Low",IF(Table1[[#This Row],[Total_Income]]&lt;7000,"Medium","High"))</f>
        <v>High</v>
      </c>
      <c r="P1076" s="1" t="str">
        <f t="shared" si="48"/>
        <v>Approved</v>
      </c>
      <c r="Q1076" s="1" t="str">
        <f t="shared" si="49"/>
        <v>High Risk</v>
      </c>
      <c r="R1076" s="2">
        <f t="shared" si="50"/>
        <v>4666.7426898728327</v>
      </c>
    </row>
    <row r="1077" spans="1:18" s="1" customFormat="1" ht="11.5" x14ac:dyDescent="0.25">
      <c r="A1077" s="1" t="s">
        <v>1108</v>
      </c>
      <c r="B1077" s="1" t="s">
        <v>28</v>
      </c>
      <c r="C1077" s="1" t="s">
        <v>29</v>
      </c>
      <c r="D1077" s="1">
        <v>1</v>
      </c>
      <c r="E1077" s="1" t="s">
        <v>17</v>
      </c>
      <c r="F1077" s="1" t="s">
        <v>29</v>
      </c>
      <c r="G1077" s="1">
        <v>13916</v>
      </c>
      <c r="H1077" s="1">
        <v>3002</v>
      </c>
      <c r="I1077" s="1">
        <v>568</v>
      </c>
      <c r="J1077" s="1">
        <v>120</v>
      </c>
      <c r="K1077" s="1">
        <v>1</v>
      </c>
      <c r="L1077" s="1" t="s">
        <v>19</v>
      </c>
      <c r="M1077" s="1">
        <f>Table1[[#This Row],[ApplicantIncome]]+Table1[[#This Row],[CoapplicantIncome]]</f>
        <v>16918</v>
      </c>
      <c r="N1077" s="1" t="s">
        <v>26</v>
      </c>
      <c r="O1077" s="1" t="str">
        <f>IF(Table1[[#This Row],[Total_Income]]&lt;3000,"Low",IF(Table1[[#This Row],[Total_Income]]&lt;7000,"Medium","High"))</f>
        <v>High</v>
      </c>
      <c r="P1077" s="1" t="str">
        <f t="shared" si="48"/>
        <v>Rejected</v>
      </c>
      <c r="Q1077" s="1" t="str">
        <f t="shared" si="49"/>
        <v>Low Risk</v>
      </c>
      <c r="R1077" s="2">
        <f t="shared" si="50"/>
        <v>6891.4073593842731</v>
      </c>
    </row>
    <row r="1078" spans="1:18" s="1" customFormat="1" ht="11.5" x14ac:dyDescent="0.25">
      <c r="A1078" s="1" t="s">
        <v>1109</v>
      </c>
      <c r="B1078" s="1" t="s">
        <v>1238</v>
      </c>
      <c r="C1078" s="1" t="s">
        <v>22</v>
      </c>
      <c r="D1078" s="1">
        <v>1</v>
      </c>
      <c r="E1078" s="1" t="s">
        <v>25</v>
      </c>
      <c r="F1078" s="1" t="s">
        <v>29</v>
      </c>
      <c r="G1078" s="1">
        <v>15346</v>
      </c>
      <c r="H1078" s="1">
        <v>3956</v>
      </c>
      <c r="I1078" s="1">
        <v>204</v>
      </c>
      <c r="J1078" s="1">
        <v>120</v>
      </c>
      <c r="K1078" s="1">
        <v>0</v>
      </c>
      <c r="L1078" s="1" t="s">
        <v>30</v>
      </c>
      <c r="M1078" s="1">
        <f>Table1[[#This Row],[ApplicantIncome]]+Table1[[#This Row],[CoapplicantIncome]]</f>
        <v>19302</v>
      </c>
      <c r="N1078" s="1" t="s">
        <v>20</v>
      </c>
      <c r="O1078" s="1" t="str">
        <f>IF(Table1[[#This Row],[Total_Income]]&lt;3000,"Low",IF(Table1[[#This Row],[Total_Income]]&lt;7000,"Medium","High"))</f>
        <v>High</v>
      </c>
      <c r="P1078" s="1" t="str">
        <f t="shared" si="48"/>
        <v>Approved</v>
      </c>
      <c r="Q1078" s="1" t="str">
        <f t="shared" si="49"/>
        <v>High Risk</v>
      </c>
      <c r="R1078" s="2">
        <f t="shared" si="50"/>
        <v>2475.0829248492814</v>
      </c>
    </row>
    <row r="1079" spans="1:18" s="1" customFormat="1" ht="11.5" x14ac:dyDescent="0.25">
      <c r="A1079" s="1" t="s">
        <v>1110</v>
      </c>
      <c r="B1079" s="1" t="s">
        <v>52</v>
      </c>
      <c r="C1079" s="1" t="s">
        <v>22</v>
      </c>
      <c r="D1079" s="1">
        <v>1</v>
      </c>
      <c r="E1079" s="1" t="s">
        <v>25</v>
      </c>
      <c r="F1079" s="1" t="s">
        <v>22</v>
      </c>
      <c r="G1079" s="1">
        <v>8229</v>
      </c>
      <c r="H1079" s="1">
        <v>9</v>
      </c>
      <c r="I1079" s="1">
        <v>232</v>
      </c>
      <c r="J1079" s="1">
        <v>360</v>
      </c>
      <c r="K1079" s="1">
        <v>1</v>
      </c>
      <c r="L1079" s="1" t="s">
        <v>41</v>
      </c>
      <c r="M1079" s="1">
        <f>Table1[[#This Row],[ApplicantIncome]]+Table1[[#This Row],[CoapplicantIncome]]</f>
        <v>8238</v>
      </c>
      <c r="N1079" s="1" t="s">
        <v>20</v>
      </c>
      <c r="O1079" s="1" t="str">
        <f>IF(Table1[[#This Row],[Total_Income]]&lt;3000,"Low",IF(Table1[[#This Row],[Total_Income]]&lt;7000,"Medium","High"))</f>
        <v>High</v>
      </c>
      <c r="P1079" s="1" t="str">
        <f t="shared" si="48"/>
        <v>Approved</v>
      </c>
      <c r="Q1079" s="1" t="str">
        <f t="shared" si="49"/>
        <v>Low Risk</v>
      </c>
      <c r="R1079" s="2">
        <f t="shared" si="50"/>
        <v>1702.3338114001526</v>
      </c>
    </row>
    <row r="1080" spans="1:18" s="1" customFormat="1" ht="11.5" x14ac:dyDescent="0.25">
      <c r="A1080" s="1" t="s">
        <v>1111</v>
      </c>
      <c r="B1080" s="1" t="s">
        <v>52</v>
      </c>
      <c r="C1080" s="1" t="s">
        <v>22</v>
      </c>
      <c r="D1080" s="1">
        <v>0</v>
      </c>
      <c r="E1080" s="1" t="s">
        <v>17</v>
      </c>
      <c r="F1080" s="1" t="s">
        <v>22</v>
      </c>
      <c r="G1080" s="1">
        <v>13778</v>
      </c>
      <c r="H1080" s="1">
        <v>4386</v>
      </c>
      <c r="I1080" s="1">
        <v>279</v>
      </c>
      <c r="J1080" s="1">
        <v>360</v>
      </c>
      <c r="K1080" s="1">
        <v>0</v>
      </c>
      <c r="L1080" s="1" t="s">
        <v>19</v>
      </c>
      <c r="M1080" s="1">
        <f>Table1[[#This Row],[ApplicantIncome]]+Table1[[#This Row],[CoapplicantIncome]]</f>
        <v>18164</v>
      </c>
      <c r="N1080" s="1" t="s">
        <v>26</v>
      </c>
      <c r="O1080" s="1" t="str">
        <f>IF(Table1[[#This Row],[Total_Income]]&lt;3000,"Low",IF(Table1[[#This Row],[Total_Income]]&lt;7000,"Medium","High"))</f>
        <v>High</v>
      </c>
      <c r="P1080" s="1" t="str">
        <f t="shared" si="48"/>
        <v>Rejected</v>
      </c>
      <c r="Q1080" s="1" t="str">
        <f t="shared" si="49"/>
        <v>High Risk</v>
      </c>
      <c r="R1080" s="2">
        <f t="shared" si="50"/>
        <v>2047.2031611234595</v>
      </c>
    </row>
    <row r="1081" spans="1:18" s="1" customFormat="1" ht="11.5" x14ac:dyDescent="0.25">
      <c r="A1081" s="1" t="s">
        <v>1112</v>
      </c>
      <c r="B1081" s="1" t="s">
        <v>52</v>
      </c>
      <c r="C1081" s="1" t="s">
        <v>22</v>
      </c>
      <c r="D1081" s="1">
        <v>0</v>
      </c>
      <c r="E1081" s="1" t="s">
        <v>17</v>
      </c>
      <c r="F1081" s="1" t="s">
        <v>22</v>
      </c>
      <c r="G1081" s="1">
        <v>6698</v>
      </c>
      <c r="H1081" s="1">
        <v>7580</v>
      </c>
      <c r="I1081" s="1">
        <v>554</v>
      </c>
      <c r="J1081" s="1">
        <v>120</v>
      </c>
      <c r="K1081" s="1">
        <v>1</v>
      </c>
      <c r="L1081" s="1" t="s">
        <v>19</v>
      </c>
      <c r="M1081" s="1">
        <f>Table1[[#This Row],[ApplicantIncome]]+Table1[[#This Row],[CoapplicantIncome]]</f>
        <v>14278</v>
      </c>
      <c r="N1081" s="1" t="s">
        <v>26</v>
      </c>
      <c r="O1081" s="1" t="str">
        <f>IF(Table1[[#This Row],[Total_Income]]&lt;3000,"Low",IF(Table1[[#This Row],[Total_Income]]&lt;7000,"Medium","High"))</f>
        <v>High</v>
      </c>
      <c r="P1081" s="1" t="str">
        <f t="shared" si="48"/>
        <v>Rejected</v>
      </c>
      <c r="Q1081" s="1" t="str">
        <f t="shared" si="49"/>
        <v>Low Risk</v>
      </c>
      <c r="R1081" s="2">
        <f t="shared" si="50"/>
        <v>6721.5487272867731</v>
      </c>
    </row>
    <row r="1082" spans="1:18" s="1" customFormat="1" ht="11.5" x14ac:dyDescent="0.25">
      <c r="A1082" s="1" t="s">
        <v>1113</v>
      </c>
      <c r="B1082" s="1" t="s">
        <v>52</v>
      </c>
      <c r="C1082" s="1" t="s">
        <v>29</v>
      </c>
      <c r="D1082" s="1">
        <v>2</v>
      </c>
      <c r="E1082" s="1" t="s">
        <v>17</v>
      </c>
      <c r="F1082" s="1" t="s">
        <v>22</v>
      </c>
      <c r="G1082" s="1">
        <v>19213</v>
      </c>
      <c r="H1082" s="1">
        <v>4337</v>
      </c>
      <c r="I1082" s="1">
        <v>76</v>
      </c>
      <c r="J1082" s="1">
        <v>360</v>
      </c>
      <c r="K1082" s="1">
        <v>0</v>
      </c>
      <c r="L1082" s="1" t="s">
        <v>30</v>
      </c>
      <c r="M1082" s="1">
        <f>Table1[[#This Row],[ApplicantIncome]]+Table1[[#This Row],[CoapplicantIncome]]</f>
        <v>23550</v>
      </c>
      <c r="N1082" s="1" t="s">
        <v>20</v>
      </c>
      <c r="O1082" s="1" t="str">
        <f>IF(Table1[[#This Row],[Total_Income]]&lt;3000,"Low",IF(Table1[[#This Row],[Total_Income]]&lt;7000,"Medium","High"))</f>
        <v>High</v>
      </c>
      <c r="P1082" s="1" t="str">
        <f t="shared" si="48"/>
        <v>Approved</v>
      </c>
      <c r="Q1082" s="1" t="str">
        <f t="shared" si="49"/>
        <v>High Risk</v>
      </c>
      <c r="R1082" s="2">
        <f t="shared" si="50"/>
        <v>557.66107614832595</v>
      </c>
    </row>
    <row r="1083" spans="1:18" s="1" customFormat="1" ht="11.5" x14ac:dyDescent="0.25">
      <c r="A1083" s="1" t="s">
        <v>1114</v>
      </c>
      <c r="B1083" s="1" t="s">
        <v>52</v>
      </c>
      <c r="C1083" s="1" t="s">
        <v>29</v>
      </c>
      <c r="D1083" s="1">
        <v>1</v>
      </c>
      <c r="E1083" s="1" t="s">
        <v>25</v>
      </c>
      <c r="F1083" s="1" t="s">
        <v>29</v>
      </c>
      <c r="G1083" s="1">
        <v>11565</v>
      </c>
      <c r="H1083" s="1">
        <v>1173</v>
      </c>
      <c r="I1083" s="1">
        <v>138</v>
      </c>
      <c r="J1083" s="1">
        <v>360</v>
      </c>
      <c r="K1083" s="1">
        <v>0</v>
      </c>
      <c r="L1083" s="1" t="s">
        <v>30</v>
      </c>
      <c r="M1083" s="1">
        <f>Table1[[#This Row],[ApplicantIncome]]+Table1[[#This Row],[CoapplicantIncome]]</f>
        <v>12738</v>
      </c>
      <c r="N1083" s="1" t="s">
        <v>20</v>
      </c>
      <c r="O1083" s="1" t="str">
        <f>IF(Table1[[#This Row],[Total_Income]]&lt;3000,"Low",IF(Table1[[#This Row],[Total_Income]]&lt;7000,"Medium","High"))</f>
        <v>High</v>
      </c>
      <c r="P1083" s="1" t="str">
        <f t="shared" si="48"/>
        <v>Approved</v>
      </c>
      <c r="Q1083" s="1" t="str">
        <f t="shared" si="49"/>
        <v>High Risk</v>
      </c>
      <c r="R1083" s="2">
        <f t="shared" si="50"/>
        <v>1012.5951119535392</v>
      </c>
    </row>
    <row r="1084" spans="1:18" s="1" customFormat="1" ht="11.5" x14ac:dyDescent="0.25">
      <c r="A1084" s="1" t="s">
        <v>1115</v>
      </c>
      <c r="B1084" s="1" t="s">
        <v>52</v>
      </c>
      <c r="C1084" s="1" t="s">
        <v>29</v>
      </c>
      <c r="D1084" s="1">
        <v>0</v>
      </c>
      <c r="E1084" s="1" t="s">
        <v>25</v>
      </c>
      <c r="F1084" s="1" t="s">
        <v>22</v>
      </c>
      <c r="G1084" s="1">
        <v>17164</v>
      </c>
      <c r="H1084" s="1">
        <v>3501</v>
      </c>
      <c r="I1084" s="1">
        <v>253</v>
      </c>
      <c r="J1084" s="1">
        <v>360</v>
      </c>
      <c r="K1084" s="1">
        <v>1</v>
      </c>
      <c r="L1084" s="1" t="s">
        <v>30</v>
      </c>
      <c r="M1084" s="1">
        <f>Table1[[#This Row],[ApplicantIncome]]+Table1[[#This Row],[CoapplicantIncome]]</f>
        <v>20665</v>
      </c>
      <c r="N1084" s="1" t="s">
        <v>26</v>
      </c>
      <c r="O1084" s="1" t="str">
        <f>IF(Table1[[#This Row],[Total_Income]]&lt;3000,"Low",IF(Table1[[#This Row],[Total_Income]]&lt;7000,"Medium","High"))</f>
        <v>High</v>
      </c>
      <c r="P1084" s="1" t="str">
        <f t="shared" si="48"/>
        <v>Rejected</v>
      </c>
      <c r="Q1084" s="1" t="str">
        <f t="shared" si="49"/>
        <v>Low Risk</v>
      </c>
      <c r="R1084" s="2">
        <f t="shared" si="50"/>
        <v>1856.4243719148219</v>
      </c>
    </row>
    <row r="1085" spans="1:18" s="1" customFormat="1" ht="11.5" x14ac:dyDescent="0.25">
      <c r="A1085" s="1" t="s">
        <v>1116</v>
      </c>
      <c r="B1085" s="1" t="s">
        <v>28</v>
      </c>
      <c r="C1085" s="1" t="s">
        <v>22</v>
      </c>
      <c r="D1085" s="1">
        <v>0</v>
      </c>
      <c r="E1085" s="1" t="s">
        <v>25</v>
      </c>
      <c r="F1085" s="1" t="s">
        <v>29</v>
      </c>
      <c r="G1085" s="1">
        <v>10189</v>
      </c>
      <c r="H1085" s="1">
        <v>2181</v>
      </c>
      <c r="I1085" s="1">
        <v>444</v>
      </c>
      <c r="J1085" s="1">
        <v>180</v>
      </c>
      <c r="K1085" s="1">
        <v>1</v>
      </c>
      <c r="L1085" s="1" t="s">
        <v>30</v>
      </c>
      <c r="M1085" s="1">
        <f>Table1[[#This Row],[ApplicantIncome]]+Table1[[#This Row],[CoapplicantIncome]]</f>
        <v>12370</v>
      </c>
      <c r="N1085" s="1" t="s">
        <v>20</v>
      </c>
      <c r="O1085" s="1" t="str">
        <f>IF(Table1[[#This Row],[Total_Income]]&lt;3000,"Low",IF(Table1[[#This Row],[Total_Income]]&lt;7000,"Medium","High"))</f>
        <v>High</v>
      </c>
      <c r="P1085" s="1" t="str">
        <f t="shared" si="48"/>
        <v>Approved</v>
      </c>
      <c r="Q1085" s="1" t="str">
        <f t="shared" si="49"/>
        <v>Low Risk</v>
      </c>
      <c r="R1085" s="2">
        <f t="shared" si="50"/>
        <v>4243.0952544267602</v>
      </c>
    </row>
    <row r="1086" spans="1:18" s="1" customFormat="1" ht="11.5" x14ac:dyDescent="0.25">
      <c r="A1086" s="1" t="s">
        <v>1117</v>
      </c>
      <c r="B1086" s="1" t="s">
        <v>28</v>
      </c>
      <c r="C1086" s="1" t="s">
        <v>22</v>
      </c>
      <c r="D1086" s="1">
        <v>2</v>
      </c>
      <c r="E1086" s="1" t="s">
        <v>17</v>
      </c>
      <c r="F1086" s="1" t="s">
        <v>22</v>
      </c>
      <c r="G1086" s="1">
        <v>13886</v>
      </c>
      <c r="H1086" s="1">
        <v>8734</v>
      </c>
      <c r="I1086" s="1">
        <v>660</v>
      </c>
      <c r="J1086" s="1">
        <v>360</v>
      </c>
      <c r="K1086" s="1">
        <v>1</v>
      </c>
      <c r="L1086" s="1" t="s">
        <v>41</v>
      </c>
      <c r="M1086" s="1">
        <f>Table1[[#This Row],[ApplicantIncome]]+Table1[[#This Row],[CoapplicantIncome]]</f>
        <v>22620</v>
      </c>
      <c r="N1086" s="1" t="s">
        <v>26</v>
      </c>
      <c r="O1086" s="1" t="str">
        <f>IF(Table1[[#This Row],[Total_Income]]&lt;3000,"Low",IF(Table1[[#This Row],[Total_Income]]&lt;7000,"Medium","High"))</f>
        <v>High</v>
      </c>
      <c r="P1086" s="1" t="str">
        <f t="shared" si="48"/>
        <v>Rejected</v>
      </c>
      <c r="Q1086" s="1" t="str">
        <f t="shared" si="49"/>
        <v>Low Risk</v>
      </c>
      <c r="R1086" s="2">
        <f t="shared" si="50"/>
        <v>4842.8461876038828</v>
      </c>
    </row>
    <row r="1087" spans="1:18" s="1" customFormat="1" ht="11.5" x14ac:dyDescent="0.25">
      <c r="A1087" s="1" t="s">
        <v>1118</v>
      </c>
      <c r="B1087" s="1" t="s">
        <v>1238</v>
      </c>
      <c r="C1087" s="1" t="s">
        <v>29</v>
      </c>
      <c r="D1087" s="1">
        <v>2</v>
      </c>
      <c r="E1087" s="1" t="s">
        <v>17</v>
      </c>
      <c r="F1087" s="1" t="s">
        <v>22</v>
      </c>
      <c r="G1087" s="1">
        <v>3673</v>
      </c>
      <c r="H1087" s="1">
        <v>5899</v>
      </c>
      <c r="I1087" s="1">
        <v>260</v>
      </c>
      <c r="J1087" s="1">
        <v>360</v>
      </c>
      <c r="K1087" s="1">
        <v>0</v>
      </c>
      <c r="L1087" s="1" t="s">
        <v>30</v>
      </c>
      <c r="M1087" s="1">
        <f>Table1[[#This Row],[ApplicantIncome]]+Table1[[#This Row],[CoapplicantIncome]]</f>
        <v>9572</v>
      </c>
      <c r="N1087" s="1" t="s">
        <v>26</v>
      </c>
      <c r="O1087" s="1" t="str">
        <f>IF(Table1[[#This Row],[Total_Income]]&lt;3000,"Low",IF(Table1[[#This Row],[Total_Income]]&lt;7000,"Medium","High"))</f>
        <v>High</v>
      </c>
      <c r="P1087" s="1" t="str">
        <f t="shared" si="48"/>
        <v>Rejected</v>
      </c>
      <c r="Q1087" s="1" t="str">
        <f t="shared" si="49"/>
        <v>High Risk</v>
      </c>
      <c r="R1087" s="2">
        <f t="shared" si="50"/>
        <v>1907.787892086378</v>
      </c>
    </row>
    <row r="1088" spans="1:18" s="1" customFormat="1" ht="11.5" x14ac:dyDescent="0.25">
      <c r="A1088" s="1" t="s">
        <v>1119</v>
      </c>
      <c r="B1088" s="1" t="s">
        <v>28</v>
      </c>
      <c r="C1088" s="1" t="s">
        <v>22</v>
      </c>
      <c r="D1088" s="1">
        <v>2</v>
      </c>
      <c r="E1088" s="1" t="s">
        <v>25</v>
      </c>
      <c r="F1088" s="1" t="s">
        <v>29</v>
      </c>
      <c r="G1088" s="1">
        <v>14943</v>
      </c>
      <c r="H1088" s="1">
        <v>376</v>
      </c>
      <c r="I1088" s="1">
        <v>185</v>
      </c>
      <c r="J1088" s="1">
        <v>360</v>
      </c>
      <c r="K1088" s="1">
        <v>1</v>
      </c>
      <c r="L1088" s="1" t="s">
        <v>19</v>
      </c>
      <c r="M1088" s="1">
        <f>Table1[[#This Row],[ApplicantIncome]]+Table1[[#This Row],[CoapplicantIncome]]</f>
        <v>15319</v>
      </c>
      <c r="N1088" s="1" t="s">
        <v>26</v>
      </c>
      <c r="O1088" s="1" t="str">
        <f>IF(Table1[[#This Row],[Total_Income]]&lt;3000,"Low",IF(Table1[[#This Row],[Total_Income]]&lt;7000,"Medium","High"))</f>
        <v>High</v>
      </c>
      <c r="P1088" s="1" t="str">
        <f t="shared" si="48"/>
        <v>Rejected</v>
      </c>
      <c r="Q1088" s="1" t="str">
        <f t="shared" si="49"/>
        <v>Low Risk</v>
      </c>
      <c r="R1088" s="2">
        <f t="shared" si="50"/>
        <v>1357.464461676846</v>
      </c>
    </row>
    <row r="1089" spans="1:18" s="1" customFormat="1" ht="11.5" x14ac:dyDescent="0.25">
      <c r="A1089" s="1" t="s">
        <v>1120</v>
      </c>
      <c r="B1089" s="1" t="s">
        <v>28</v>
      </c>
      <c r="C1089" s="1" t="s">
        <v>29</v>
      </c>
      <c r="D1089" s="1">
        <v>2</v>
      </c>
      <c r="E1089" s="1" t="s">
        <v>17</v>
      </c>
      <c r="F1089" s="1" t="s">
        <v>29</v>
      </c>
      <c r="G1089" s="1">
        <v>15641</v>
      </c>
      <c r="H1089" s="1">
        <v>7285</v>
      </c>
      <c r="I1089" s="1">
        <v>375</v>
      </c>
      <c r="J1089" s="1">
        <v>120</v>
      </c>
      <c r="K1089" s="1">
        <v>1</v>
      </c>
      <c r="L1089" s="1" t="s">
        <v>30</v>
      </c>
      <c r="M1089" s="1">
        <f>Table1[[#This Row],[ApplicantIncome]]+Table1[[#This Row],[CoapplicantIncome]]</f>
        <v>22926</v>
      </c>
      <c r="N1089" s="1" t="s">
        <v>20</v>
      </c>
      <c r="O1089" s="1" t="str">
        <f>IF(Table1[[#This Row],[Total_Income]]&lt;3000,"Low",IF(Table1[[#This Row],[Total_Income]]&lt;7000,"Medium","High"))</f>
        <v>High</v>
      </c>
      <c r="P1089" s="1" t="str">
        <f t="shared" si="48"/>
        <v>Approved</v>
      </c>
      <c r="Q1089" s="1" t="str">
        <f t="shared" si="49"/>
        <v>Low Risk</v>
      </c>
      <c r="R1089" s="2">
        <f t="shared" si="50"/>
        <v>4549.7847883258846</v>
      </c>
    </row>
    <row r="1090" spans="1:18" s="1" customFormat="1" ht="11.5" x14ac:dyDescent="0.25">
      <c r="A1090" s="1" t="s">
        <v>1121</v>
      </c>
      <c r="B1090" s="1" t="s">
        <v>52</v>
      </c>
      <c r="C1090" s="1" t="s">
        <v>22</v>
      </c>
      <c r="D1090" s="1" t="s">
        <v>16</v>
      </c>
      <c r="E1090" s="1" t="s">
        <v>25</v>
      </c>
      <c r="F1090" s="1" t="s">
        <v>22</v>
      </c>
      <c r="G1090" s="1">
        <v>9305</v>
      </c>
      <c r="H1090" s="1">
        <v>5674</v>
      </c>
      <c r="I1090" s="1">
        <v>109</v>
      </c>
      <c r="J1090" s="1">
        <v>360</v>
      </c>
      <c r="K1090" s="1">
        <v>0</v>
      </c>
      <c r="L1090" s="1" t="s">
        <v>30</v>
      </c>
      <c r="M1090" s="1">
        <f>Table1[[#This Row],[ApplicantIncome]]+Table1[[#This Row],[CoapplicantIncome]]</f>
        <v>14979</v>
      </c>
      <c r="N1090" s="1" t="s">
        <v>26</v>
      </c>
      <c r="O1090" s="1" t="str">
        <f>IF(Table1[[#This Row],[Total_Income]]&lt;3000,"Low",IF(Table1[[#This Row],[Total_Income]]&lt;7000,"Medium","High"))</f>
        <v>High</v>
      </c>
      <c r="P1090" s="1" t="str">
        <f t="shared" ref="P1090:P1153" si="51">IF(N1090="Y","Approved","Rejected")</f>
        <v>Rejected</v>
      </c>
      <c r="Q1090" s="1" t="str">
        <f t="shared" ref="Q1090:Q1153" si="52">IF(K1090=1,"Low Risk","High Risk")</f>
        <v>High Risk</v>
      </c>
      <c r="R1090" s="2">
        <f t="shared" ref="R1090:R1153" si="53">-PMT(8%/12,J1090,I1090*1000)</f>
        <v>799.80338552852004</v>
      </c>
    </row>
    <row r="1091" spans="1:18" s="1" customFormat="1" ht="11.5" x14ac:dyDescent="0.25">
      <c r="A1091" s="1" t="s">
        <v>1122</v>
      </c>
      <c r="B1091" s="1" t="s">
        <v>1238</v>
      </c>
      <c r="C1091" s="1" t="s">
        <v>29</v>
      </c>
      <c r="D1091" s="1" t="s">
        <v>16</v>
      </c>
      <c r="E1091" s="1" t="s">
        <v>25</v>
      </c>
      <c r="F1091" s="1" t="s">
        <v>29</v>
      </c>
      <c r="G1091" s="1">
        <v>18017</v>
      </c>
      <c r="H1091" s="1">
        <v>2149</v>
      </c>
      <c r="I1091" s="1">
        <v>349</v>
      </c>
      <c r="J1091" s="1">
        <v>360</v>
      </c>
      <c r="K1091" s="1">
        <v>0</v>
      </c>
      <c r="L1091" s="1" t="s">
        <v>30</v>
      </c>
      <c r="M1091" s="1">
        <f>Table1[[#This Row],[ApplicantIncome]]+Table1[[#This Row],[CoapplicantIncome]]</f>
        <v>20166</v>
      </c>
      <c r="N1091" s="1" t="s">
        <v>26</v>
      </c>
      <c r="O1091" s="1" t="str">
        <f>IF(Table1[[#This Row],[Total_Income]]&lt;3000,"Low",IF(Table1[[#This Row],[Total_Income]]&lt;7000,"Medium","High"))</f>
        <v>High</v>
      </c>
      <c r="P1091" s="1" t="str">
        <f t="shared" si="51"/>
        <v>Rejected</v>
      </c>
      <c r="Q1091" s="1" t="str">
        <f t="shared" si="52"/>
        <v>High Risk</v>
      </c>
      <c r="R1091" s="2">
        <f t="shared" si="53"/>
        <v>2560.8383628390229</v>
      </c>
    </row>
    <row r="1092" spans="1:18" s="1" customFormat="1" ht="11.5" x14ac:dyDescent="0.25">
      <c r="A1092" s="1" t="s">
        <v>1123</v>
      </c>
      <c r="B1092" s="1" t="s">
        <v>1238</v>
      </c>
      <c r="C1092" s="1" t="s">
        <v>22</v>
      </c>
      <c r="D1092" s="1" t="s">
        <v>16</v>
      </c>
      <c r="E1092" s="1" t="s">
        <v>17</v>
      </c>
      <c r="F1092" s="1" t="s">
        <v>29</v>
      </c>
      <c r="G1092" s="1">
        <v>7721</v>
      </c>
      <c r="H1092" s="1">
        <v>4994</v>
      </c>
      <c r="I1092" s="1">
        <v>146</v>
      </c>
      <c r="J1092" s="1">
        <v>360</v>
      </c>
      <c r="K1092" s="1">
        <v>0</v>
      </c>
      <c r="L1092" s="1" t="s">
        <v>41</v>
      </c>
      <c r="M1092" s="1">
        <f>Table1[[#This Row],[ApplicantIncome]]+Table1[[#This Row],[CoapplicantIncome]]</f>
        <v>12715</v>
      </c>
      <c r="N1092" s="1" t="s">
        <v>26</v>
      </c>
      <c r="O1092" s="1" t="str">
        <f>IF(Table1[[#This Row],[Total_Income]]&lt;3000,"Low",IF(Table1[[#This Row],[Total_Income]]&lt;7000,"Medium","High"))</f>
        <v>High</v>
      </c>
      <c r="P1092" s="1" t="str">
        <f t="shared" si="51"/>
        <v>Rejected</v>
      </c>
      <c r="Q1092" s="1" t="str">
        <f t="shared" si="52"/>
        <v>High Risk</v>
      </c>
      <c r="R1092" s="2">
        <f t="shared" si="53"/>
        <v>1071.2962778638891</v>
      </c>
    </row>
    <row r="1093" spans="1:18" s="1" customFormat="1" ht="11.5" x14ac:dyDescent="0.25">
      <c r="A1093" s="1" t="s">
        <v>1124</v>
      </c>
      <c r="B1093" s="1" t="s">
        <v>52</v>
      </c>
      <c r="C1093" s="1" t="s">
        <v>29</v>
      </c>
      <c r="D1093" s="1">
        <v>0</v>
      </c>
      <c r="E1093" s="1" t="s">
        <v>25</v>
      </c>
      <c r="F1093" s="1" t="s">
        <v>29</v>
      </c>
      <c r="G1093" s="1">
        <v>18543</v>
      </c>
      <c r="H1093" s="1">
        <v>3146</v>
      </c>
      <c r="I1093" s="1">
        <v>594</v>
      </c>
      <c r="J1093" s="1">
        <v>360</v>
      </c>
      <c r="K1093" s="1">
        <v>0</v>
      </c>
      <c r="L1093" s="1" t="s">
        <v>19</v>
      </c>
      <c r="M1093" s="1">
        <f>Table1[[#This Row],[ApplicantIncome]]+Table1[[#This Row],[CoapplicantIncome]]</f>
        <v>21689</v>
      </c>
      <c r="N1093" s="1" t="s">
        <v>26</v>
      </c>
      <c r="O1093" s="1" t="str">
        <f>IF(Table1[[#This Row],[Total_Income]]&lt;3000,"Low",IF(Table1[[#This Row],[Total_Income]]&lt;7000,"Medium","High"))</f>
        <v>High</v>
      </c>
      <c r="P1093" s="1" t="str">
        <f t="shared" si="51"/>
        <v>Rejected</v>
      </c>
      <c r="Q1093" s="1" t="str">
        <f t="shared" si="52"/>
        <v>High Risk</v>
      </c>
      <c r="R1093" s="2">
        <f t="shared" si="53"/>
        <v>4358.5615688434946</v>
      </c>
    </row>
    <row r="1094" spans="1:18" s="1" customFormat="1" ht="11.5" x14ac:dyDescent="0.25">
      <c r="A1094" s="1" t="s">
        <v>1125</v>
      </c>
      <c r="B1094" s="1" t="s">
        <v>28</v>
      </c>
      <c r="C1094" s="1" t="s">
        <v>29</v>
      </c>
      <c r="D1094" s="1" t="s">
        <v>16</v>
      </c>
      <c r="E1094" s="1" t="s">
        <v>25</v>
      </c>
      <c r="F1094" s="1" t="s">
        <v>22</v>
      </c>
      <c r="G1094" s="1">
        <v>4611</v>
      </c>
      <c r="H1094" s="1">
        <v>3776</v>
      </c>
      <c r="I1094" s="1">
        <v>689</v>
      </c>
      <c r="J1094" s="1">
        <v>360</v>
      </c>
      <c r="K1094" s="1">
        <v>1</v>
      </c>
      <c r="L1094" s="1" t="s">
        <v>30</v>
      </c>
      <c r="M1094" s="1">
        <f>Table1[[#This Row],[ApplicantIncome]]+Table1[[#This Row],[CoapplicantIncome]]</f>
        <v>8387</v>
      </c>
      <c r="N1094" s="1" t="s">
        <v>20</v>
      </c>
      <c r="O1094" s="1" t="str">
        <f>IF(Table1[[#This Row],[Total_Income]]&lt;3000,"Low",IF(Table1[[#This Row],[Total_Income]]&lt;7000,"Medium","High"))</f>
        <v>High</v>
      </c>
      <c r="P1094" s="1" t="str">
        <f t="shared" si="51"/>
        <v>Approved</v>
      </c>
      <c r="Q1094" s="1" t="str">
        <f t="shared" si="52"/>
        <v>Low Risk</v>
      </c>
      <c r="R1094" s="2">
        <f t="shared" si="53"/>
        <v>5055.6379140289018</v>
      </c>
    </row>
    <row r="1095" spans="1:18" s="1" customFormat="1" ht="11.5" x14ac:dyDescent="0.25">
      <c r="A1095" s="1" t="s">
        <v>1126</v>
      </c>
      <c r="B1095" s="1" t="s">
        <v>28</v>
      </c>
      <c r="C1095" s="1" t="s">
        <v>29</v>
      </c>
      <c r="D1095" s="1" t="s">
        <v>16</v>
      </c>
      <c r="E1095" s="1" t="s">
        <v>25</v>
      </c>
      <c r="F1095" s="1" t="s">
        <v>29</v>
      </c>
      <c r="G1095" s="1">
        <v>5411</v>
      </c>
      <c r="H1095" s="1">
        <v>6142</v>
      </c>
      <c r="I1095" s="1">
        <v>227</v>
      </c>
      <c r="J1095" s="1">
        <v>180</v>
      </c>
      <c r="K1095" s="1">
        <v>0</v>
      </c>
      <c r="L1095" s="1" t="s">
        <v>30</v>
      </c>
      <c r="M1095" s="1">
        <f>Table1[[#This Row],[ApplicantIncome]]+Table1[[#This Row],[CoapplicantIncome]]</f>
        <v>11553</v>
      </c>
      <c r="N1095" s="1" t="s">
        <v>20</v>
      </c>
      <c r="O1095" s="1" t="str">
        <f>IF(Table1[[#This Row],[Total_Income]]&lt;3000,"Low",IF(Table1[[#This Row],[Total_Income]]&lt;7000,"Medium","High"))</f>
        <v>High</v>
      </c>
      <c r="P1095" s="1" t="str">
        <f t="shared" si="51"/>
        <v>Approved</v>
      </c>
      <c r="Q1095" s="1" t="str">
        <f t="shared" si="52"/>
        <v>High Risk</v>
      </c>
      <c r="R1095" s="2">
        <f t="shared" si="53"/>
        <v>2169.3302314298976</v>
      </c>
    </row>
    <row r="1096" spans="1:18" s="1" customFormat="1" ht="11.5" x14ac:dyDescent="0.25">
      <c r="A1096" s="1" t="s">
        <v>1127</v>
      </c>
      <c r="B1096" s="1" t="s">
        <v>28</v>
      </c>
      <c r="C1096" s="1" t="s">
        <v>29</v>
      </c>
      <c r="D1096" s="1">
        <v>1</v>
      </c>
      <c r="E1096" s="1" t="s">
        <v>17</v>
      </c>
      <c r="F1096" s="1" t="s">
        <v>22</v>
      </c>
      <c r="G1096" s="1">
        <v>8176</v>
      </c>
      <c r="H1096" s="1">
        <v>360</v>
      </c>
      <c r="I1096" s="1">
        <v>143</v>
      </c>
      <c r="J1096" s="1">
        <v>360</v>
      </c>
      <c r="K1096" s="1">
        <v>0</v>
      </c>
      <c r="L1096" s="1" t="s">
        <v>19</v>
      </c>
      <c r="M1096" s="1">
        <f>Table1[[#This Row],[ApplicantIncome]]+Table1[[#This Row],[CoapplicantIncome]]</f>
        <v>8536</v>
      </c>
      <c r="N1096" s="1" t="s">
        <v>20</v>
      </c>
      <c r="O1096" s="1" t="str">
        <f>IF(Table1[[#This Row],[Total_Income]]&lt;3000,"Low",IF(Table1[[#This Row],[Total_Income]]&lt;7000,"Medium","High"))</f>
        <v>High</v>
      </c>
      <c r="P1096" s="1" t="str">
        <f t="shared" si="51"/>
        <v>Approved</v>
      </c>
      <c r="Q1096" s="1" t="str">
        <f t="shared" si="52"/>
        <v>High Risk</v>
      </c>
      <c r="R1096" s="2">
        <f t="shared" si="53"/>
        <v>1049.2833406475081</v>
      </c>
    </row>
    <row r="1097" spans="1:18" s="1" customFormat="1" ht="11.5" x14ac:dyDescent="0.25">
      <c r="A1097" s="1" t="s">
        <v>1128</v>
      </c>
      <c r="B1097" s="1" t="s">
        <v>28</v>
      </c>
      <c r="C1097" s="1" t="s">
        <v>22</v>
      </c>
      <c r="D1097" s="1">
        <v>2</v>
      </c>
      <c r="E1097" s="1" t="s">
        <v>25</v>
      </c>
      <c r="F1097" s="1" t="s">
        <v>22</v>
      </c>
      <c r="G1097" s="1">
        <v>12298</v>
      </c>
      <c r="H1097" s="1">
        <v>5865</v>
      </c>
      <c r="I1097" s="1">
        <v>289</v>
      </c>
      <c r="J1097" s="1">
        <v>360</v>
      </c>
      <c r="K1097" s="1">
        <v>0</v>
      </c>
      <c r="L1097" s="1" t="s">
        <v>41</v>
      </c>
      <c r="M1097" s="1">
        <f>Table1[[#This Row],[ApplicantIncome]]+Table1[[#This Row],[CoapplicantIncome]]</f>
        <v>18163</v>
      </c>
      <c r="N1097" s="1" t="s">
        <v>20</v>
      </c>
      <c r="O1097" s="1" t="str">
        <f>IF(Table1[[#This Row],[Total_Income]]&lt;3000,"Low",IF(Table1[[#This Row],[Total_Income]]&lt;7000,"Medium","High"))</f>
        <v>High</v>
      </c>
      <c r="P1097" s="1" t="str">
        <f t="shared" si="51"/>
        <v>Approved</v>
      </c>
      <c r="Q1097" s="1" t="str">
        <f t="shared" si="52"/>
        <v>High Risk</v>
      </c>
      <c r="R1097" s="2">
        <f t="shared" si="53"/>
        <v>2120.5796185113973</v>
      </c>
    </row>
    <row r="1098" spans="1:18" s="1" customFormat="1" ht="11.5" x14ac:dyDescent="0.25">
      <c r="A1098" s="1" t="s">
        <v>1129</v>
      </c>
      <c r="B1098" s="1" t="s">
        <v>1238</v>
      </c>
      <c r="C1098" s="1" t="s">
        <v>22</v>
      </c>
      <c r="D1098" s="1">
        <v>1</v>
      </c>
      <c r="E1098" s="1" t="s">
        <v>17</v>
      </c>
      <c r="F1098" s="1" t="s">
        <v>29</v>
      </c>
      <c r="G1098" s="1">
        <v>10055</v>
      </c>
      <c r="H1098" s="1">
        <v>5725</v>
      </c>
      <c r="I1098" s="1">
        <v>499</v>
      </c>
      <c r="J1098" s="1">
        <v>360</v>
      </c>
      <c r="K1098" s="1">
        <v>0</v>
      </c>
      <c r="L1098" s="1" t="s">
        <v>30</v>
      </c>
      <c r="M1098" s="1">
        <f>Table1[[#This Row],[ApplicantIncome]]+Table1[[#This Row],[CoapplicantIncome]]</f>
        <v>15780</v>
      </c>
      <c r="N1098" s="1" t="s">
        <v>26</v>
      </c>
      <c r="O1098" s="1" t="str">
        <f>IF(Table1[[#This Row],[Total_Income]]&lt;3000,"Low",IF(Table1[[#This Row],[Total_Income]]&lt;7000,"Medium","High"))</f>
        <v>High</v>
      </c>
      <c r="P1098" s="1" t="str">
        <f t="shared" si="51"/>
        <v>Rejected</v>
      </c>
      <c r="Q1098" s="1" t="str">
        <f t="shared" si="52"/>
        <v>High Risk</v>
      </c>
      <c r="R1098" s="2">
        <f t="shared" si="53"/>
        <v>3661.4852236580873</v>
      </c>
    </row>
    <row r="1099" spans="1:18" s="1" customFormat="1" ht="11.5" x14ac:dyDescent="0.25">
      <c r="A1099" s="1" t="s">
        <v>1130</v>
      </c>
      <c r="B1099" s="1" t="s">
        <v>28</v>
      </c>
      <c r="C1099" s="1" t="s">
        <v>22</v>
      </c>
      <c r="D1099" s="1">
        <v>0</v>
      </c>
      <c r="E1099" s="1" t="s">
        <v>17</v>
      </c>
      <c r="F1099" s="1" t="s">
        <v>22</v>
      </c>
      <c r="G1099" s="1">
        <v>17056</v>
      </c>
      <c r="H1099" s="1">
        <v>9142</v>
      </c>
      <c r="I1099" s="1">
        <v>584</v>
      </c>
      <c r="J1099" s="1">
        <v>360</v>
      </c>
      <c r="K1099" s="1">
        <v>0</v>
      </c>
      <c r="L1099" s="1" t="s">
        <v>30</v>
      </c>
      <c r="M1099" s="1">
        <f>Table1[[#This Row],[ApplicantIncome]]+Table1[[#This Row],[CoapplicantIncome]]</f>
        <v>26198</v>
      </c>
      <c r="N1099" s="1" t="s">
        <v>26</v>
      </c>
      <c r="O1099" s="1" t="str">
        <f>IF(Table1[[#This Row],[Total_Income]]&lt;3000,"Low",IF(Table1[[#This Row],[Total_Income]]&lt;7000,"Medium","High"))</f>
        <v>High</v>
      </c>
      <c r="P1099" s="1" t="str">
        <f t="shared" si="51"/>
        <v>Rejected</v>
      </c>
      <c r="Q1099" s="1" t="str">
        <f t="shared" si="52"/>
        <v>High Risk</v>
      </c>
      <c r="R1099" s="2">
        <f t="shared" si="53"/>
        <v>4285.1851114555566</v>
      </c>
    </row>
    <row r="1100" spans="1:18" s="1" customFormat="1" ht="11.5" x14ac:dyDescent="0.25">
      <c r="A1100" s="1" t="s">
        <v>1131</v>
      </c>
      <c r="B1100" s="1" t="s">
        <v>28</v>
      </c>
      <c r="C1100" s="1" t="s">
        <v>22</v>
      </c>
      <c r="D1100" s="1">
        <v>1</v>
      </c>
      <c r="E1100" s="1" t="s">
        <v>17</v>
      </c>
      <c r="F1100" s="1" t="s">
        <v>22</v>
      </c>
      <c r="G1100" s="1">
        <v>12152</v>
      </c>
      <c r="H1100" s="1">
        <v>7162</v>
      </c>
      <c r="I1100" s="1">
        <v>364</v>
      </c>
      <c r="J1100" s="1">
        <v>360</v>
      </c>
      <c r="K1100" s="1">
        <v>0</v>
      </c>
      <c r="L1100" s="1" t="s">
        <v>41</v>
      </c>
      <c r="M1100" s="1">
        <f>Table1[[#This Row],[ApplicantIncome]]+Table1[[#This Row],[CoapplicantIncome]]</f>
        <v>19314</v>
      </c>
      <c r="N1100" s="1" t="s">
        <v>20</v>
      </c>
      <c r="O1100" s="1" t="str">
        <f>IF(Table1[[#This Row],[Total_Income]]&lt;3000,"Low",IF(Table1[[#This Row],[Total_Income]]&lt;7000,"Medium","High"))</f>
        <v>High</v>
      </c>
      <c r="P1100" s="1" t="str">
        <f t="shared" si="51"/>
        <v>Approved</v>
      </c>
      <c r="Q1100" s="1" t="str">
        <f t="shared" si="52"/>
        <v>High Risk</v>
      </c>
      <c r="R1100" s="2">
        <f t="shared" si="53"/>
        <v>2670.903048920929</v>
      </c>
    </row>
    <row r="1101" spans="1:18" s="1" customFormat="1" ht="11.5" x14ac:dyDescent="0.25">
      <c r="A1101" s="1" t="s">
        <v>1132</v>
      </c>
      <c r="B1101" s="1" t="s">
        <v>1238</v>
      </c>
      <c r="C1101" s="1" t="s">
        <v>29</v>
      </c>
      <c r="D1101" s="1">
        <v>1</v>
      </c>
      <c r="E1101" s="1" t="s">
        <v>25</v>
      </c>
      <c r="F1101" s="1" t="s">
        <v>22</v>
      </c>
      <c r="G1101" s="1">
        <v>17939</v>
      </c>
      <c r="H1101" s="1">
        <v>873</v>
      </c>
      <c r="I1101" s="1">
        <v>646</v>
      </c>
      <c r="J1101" s="1">
        <v>180</v>
      </c>
      <c r="K1101" s="1">
        <v>0</v>
      </c>
      <c r="L1101" s="1" t="s">
        <v>19</v>
      </c>
      <c r="M1101" s="1">
        <f>Table1[[#This Row],[ApplicantIncome]]+Table1[[#This Row],[CoapplicantIncome]]</f>
        <v>18812</v>
      </c>
      <c r="N1101" s="1" t="s">
        <v>26</v>
      </c>
      <c r="O1101" s="1" t="str">
        <f>IF(Table1[[#This Row],[Total_Income]]&lt;3000,"Low",IF(Table1[[#This Row],[Total_Income]]&lt;7000,"Medium","High"))</f>
        <v>High</v>
      </c>
      <c r="P1101" s="1" t="str">
        <f t="shared" si="51"/>
        <v>Rejected</v>
      </c>
      <c r="Q1101" s="1" t="str">
        <f t="shared" si="52"/>
        <v>High Risk</v>
      </c>
      <c r="R1101" s="2">
        <f t="shared" si="53"/>
        <v>6173.5124647740704</v>
      </c>
    </row>
    <row r="1102" spans="1:18" s="1" customFormat="1" ht="11.5" x14ac:dyDescent="0.25">
      <c r="A1102" s="1" t="s">
        <v>1133</v>
      </c>
      <c r="B1102" s="1" t="s">
        <v>52</v>
      </c>
      <c r="C1102" s="1" t="s">
        <v>29</v>
      </c>
      <c r="D1102" s="1" t="s">
        <v>16</v>
      </c>
      <c r="E1102" s="1" t="s">
        <v>25</v>
      </c>
      <c r="F1102" s="1" t="s">
        <v>22</v>
      </c>
      <c r="G1102" s="1">
        <v>11730</v>
      </c>
      <c r="H1102" s="1">
        <v>5155</v>
      </c>
      <c r="I1102" s="1">
        <v>331</v>
      </c>
      <c r="J1102" s="1">
        <v>120</v>
      </c>
      <c r="K1102" s="1">
        <v>1</v>
      </c>
      <c r="L1102" s="1" t="s">
        <v>30</v>
      </c>
      <c r="M1102" s="1">
        <f>Table1[[#This Row],[ApplicantIncome]]+Table1[[#This Row],[CoapplicantIncome]]</f>
        <v>16885</v>
      </c>
      <c r="N1102" s="1" t="s">
        <v>20</v>
      </c>
      <c r="O1102" s="1" t="str">
        <f>IF(Table1[[#This Row],[Total_Income]]&lt;3000,"Low",IF(Table1[[#This Row],[Total_Income]]&lt;7000,"Medium","High"))</f>
        <v>High</v>
      </c>
      <c r="P1102" s="1" t="str">
        <f t="shared" si="51"/>
        <v>Approved</v>
      </c>
      <c r="Q1102" s="1" t="str">
        <f t="shared" si="52"/>
        <v>Low Risk</v>
      </c>
      <c r="R1102" s="2">
        <f t="shared" si="53"/>
        <v>4015.9433731623144</v>
      </c>
    </row>
    <row r="1103" spans="1:18" s="1" customFormat="1" ht="11.5" x14ac:dyDescent="0.25">
      <c r="A1103" s="1" t="s">
        <v>1134</v>
      </c>
      <c r="B1103" s="1" t="s">
        <v>1238</v>
      </c>
      <c r="C1103" s="1" t="s">
        <v>29</v>
      </c>
      <c r="D1103" s="1">
        <v>1</v>
      </c>
      <c r="E1103" s="1" t="s">
        <v>17</v>
      </c>
      <c r="F1103" s="1" t="s">
        <v>22</v>
      </c>
      <c r="G1103" s="1">
        <v>16675</v>
      </c>
      <c r="H1103" s="1">
        <v>5669</v>
      </c>
      <c r="I1103" s="1">
        <v>343</v>
      </c>
      <c r="J1103" s="1">
        <v>360</v>
      </c>
      <c r="K1103" s="1">
        <v>1</v>
      </c>
      <c r="L1103" s="1" t="s">
        <v>41</v>
      </c>
      <c r="M1103" s="1">
        <f>Table1[[#This Row],[ApplicantIncome]]+Table1[[#This Row],[CoapplicantIncome]]</f>
        <v>22344</v>
      </c>
      <c r="N1103" s="1" t="s">
        <v>20</v>
      </c>
      <c r="O1103" s="1" t="str">
        <f>IF(Table1[[#This Row],[Total_Income]]&lt;3000,"Low",IF(Table1[[#This Row],[Total_Income]]&lt;7000,"Medium","High"))</f>
        <v>High</v>
      </c>
      <c r="P1103" s="1" t="str">
        <f t="shared" si="51"/>
        <v>Approved</v>
      </c>
      <c r="Q1103" s="1" t="str">
        <f t="shared" si="52"/>
        <v>Low Risk</v>
      </c>
      <c r="R1103" s="2">
        <f t="shared" si="53"/>
        <v>2516.8124884062604</v>
      </c>
    </row>
    <row r="1104" spans="1:18" s="1" customFormat="1" ht="11.5" x14ac:dyDescent="0.25">
      <c r="A1104" s="1" t="s">
        <v>1135</v>
      </c>
      <c r="B1104" s="1" t="s">
        <v>28</v>
      </c>
      <c r="C1104" s="1" t="s">
        <v>29</v>
      </c>
      <c r="D1104" s="1" t="s">
        <v>16</v>
      </c>
      <c r="E1104" s="1" t="s">
        <v>17</v>
      </c>
      <c r="F1104" s="1" t="s">
        <v>22</v>
      </c>
      <c r="G1104" s="1">
        <v>6041</v>
      </c>
      <c r="H1104" s="1">
        <v>9605</v>
      </c>
      <c r="I1104" s="1">
        <v>170</v>
      </c>
      <c r="J1104" s="1">
        <v>120</v>
      </c>
      <c r="K1104" s="1">
        <v>0</v>
      </c>
      <c r="L1104" s="1" t="s">
        <v>41</v>
      </c>
      <c r="M1104" s="1">
        <f>Table1[[#This Row],[ApplicantIncome]]+Table1[[#This Row],[CoapplicantIncome]]</f>
        <v>15646</v>
      </c>
      <c r="N1104" s="1" t="s">
        <v>26</v>
      </c>
      <c r="O1104" s="1" t="str">
        <f>IF(Table1[[#This Row],[Total_Income]]&lt;3000,"Low",IF(Table1[[#This Row],[Total_Income]]&lt;7000,"Medium","High"))</f>
        <v>High</v>
      </c>
      <c r="P1104" s="1" t="str">
        <f t="shared" si="51"/>
        <v>Rejected</v>
      </c>
      <c r="Q1104" s="1" t="str">
        <f t="shared" si="52"/>
        <v>High Risk</v>
      </c>
      <c r="R1104" s="2">
        <f t="shared" si="53"/>
        <v>2062.5691040410679</v>
      </c>
    </row>
    <row r="1105" spans="1:18" s="1" customFormat="1" ht="11.5" x14ac:dyDescent="0.25">
      <c r="A1105" s="1" t="s">
        <v>1136</v>
      </c>
      <c r="B1105" s="1" t="s">
        <v>1238</v>
      </c>
      <c r="C1105" s="1" t="s">
        <v>22</v>
      </c>
      <c r="D1105" s="1" t="s">
        <v>16</v>
      </c>
      <c r="E1105" s="1" t="s">
        <v>17</v>
      </c>
      <c r="F1105" s="1" t="s">
        <v>22</v>
      </c>
      <c r="G1105" s="1">
        <v>2534</v>
      </c>
      <c r="H1105" s="1">
        <v>3156</v>
      </c>
      <c r="I1105" s="1">
        <v>342</v>
      </c>
      <c r="J1105" s="1">
        <v>180</v>
      </c>
      <c r="K1105" s="1">
        <v>0</v>
      </c>
      <c r="L1105" s="1" t="s">
        <v>30</v>
      </c>
      <c r="M1105" s="1">
        <f>Table1[[#This Row],[ApplicantIncome]]+Table1[[#This Row],[CoapplicantIncome]]</f>
        <v>5690</v>
      </c>
      <c r="N1105" s="1" t="s">
        <v>26</v>
      </c>
      <c r="O1105" s="1" t="str">
        <f>IF(Table1[[#This Row],[Total_Income]]&lt;3000,"Low",IF(Table1[[#This Row],[Total_Income]]&lt;7000,"Medium","High"))</f>
        <v>Medium</v>
      </c>
      <c r="P1105" s="1" t="str">
        <f t="shared" si="51"/>
        <v>Rejected</v>
      </c>
      <c r="Q1105" s="1" t="str">
        <f t="shared" si="52"/>
        <v>High Risk</v>
      </c>
      <c r="R1105" s="2">
        <f t="shared" si="53"/>
        <v>3268.330128409802</v>
      </c>
    </row>
    <row r="1106" spans="1:18" s="1" customFormat="1" ht="11.5" x14ac:dyDescent="0.25">
      <c r="A1106" s="1" t="s">
        <v>1137</v>
      </c>
      <c r="B1106" s="1" t="s">
        <v>28</v>
      </c>
      <c r="C1106" s="1" t="s">
        <v>22</v>
      </c>
      <c r="D1106" s="1" t="s">
        <v>16</v>
      </c>
      <c r="E1106" s="1" t="s">
        <v>17</v>
      </c>
      <c r="F1106" s="1" t="s">
        <v>29</v>
      </c>
      <c r="G1106" s="1">
        <v>12466</v>
      </c>
      <c r="H1106" s="1">
        <v>1050</v>
      </c>
      <c r="I1106" s="1">
        <v>408</v>
      </c>
      <c r="J1106" s="1">
        <v>120</v>
      </c>
      <c r="K1106" s="1">
        <v>0</v>
      </c>
      <c r="L1106" s="1" t="s">
        <v>19</v>
      </c>
      <c r="M1106" s="1">
        <f>Table1[[#This Row],[ApplicantIncome]]+Table1[[#This Row],[CoapplicantIncome]]</f>
        <v>13516</v>
      </c>
      <c r="N1106" s="1" t="s">
        <v>26</v>
      </c>
      <c r="O1106" s="1" t="str">
        <f>IF(Table1[[#This Row],[Total_Income]]&lt;3000,"Low",IF(Table1[[#This Row],[Total_Income]]&lt;7000,"Medium","High"))</f>
        <v>High</v>
      </c>
      <c r="P1106" s="1" t="str">
        <f t="shared" si="51"/>
        <v>Rejected</v>
      </c>
      <c r="Q1106" s="1" t="str">
        <f t="shared" si="52"/>
        <v>High Risk</v>
      </c>
      <c r="R1106" s="2">
        <f t="shared" si="53"/>
        <v>4950.1658496985629</v>
      </c>
    </row>
    <row r="1107" spans="1:18" s="1" customFormat="1" ht="11.5" x14ac:dyDescent="0.25">
      <c r="A1107" s="1" t="s">
        <v>1138</v>
      </c>
      <c r="B1107" s="1" t="s">
        <v>1238</v>
      </c>
      <c r="C1107" s="1" t="s">
        <v>22</v>
      </c>
      <c r="D1107" s="1" t="s">
        <v>16</v>
      </c>
      <c r="E1107" s="1" t="s">
        <v>25</v>
      </c>
      <c r="F1107" s="1" t="s">
        <v>22</v>
      </c>
      <c r="G1107" s="1">
        <v>11271</v>
      </c>
      <c r="H1107" s="1">
        <v>8714</v>
      </c>
      <c r="I1107" s="1">
        <v>515</v>
      </c>
      <c r="J1107" s="1">
        <v>360</v>
      </c>
      <c r="K1107" s="1">
        <v>0</v>
      </c>
      <c r="L1107" s="1" t="s">
        <v>41</v>
      </c>
      <c r="M1107" s="1">
        <f>Table1[[#This Row],[ApplicantIncome]]+Table1[[#This Row],[CoapplicantIncome]]</f>
        <v>19985</v>
      </c>
      <c r="N1107" s="1" t="s">
        <v>26</v>
      </c>
      <c r="O1107" s="1" t="str">
        <f>IF(Table1[[#This Row],[Total_Income]]&lt;3000,"Low",IF(Table1[[#This Row],[Total_Income]]&lt;7000,"Medium","High"))</f>
        <v>High</v>
      </c>
      <c r="P1107" s="1" t="str">
        <f t="shared" si="51"/>
        <v>Rejected</v>
      </c>
      <c r="Q1107" s="1" t="str">
        <f t="shared" si="52"/>
        <v>High Risk</v>
      </c>
      <c r="R1107" s="2">
        <f t="shared" si="53"/>
        <v>3778.8875554787874</v>
      </c>
    </row>
    <row r="1108" spans="1:18" s="1" customFormat="1" ht="11.5" x14ac:dyDescent="0.25">
      <c r="A1108" s="1" t="s">
        <v>1139</v>
      </c>
      <c r="B1108" s="1" t="s">
        <v>52</v>
      </c>
      <c r="C1108" s="1" t="s">
        <v>22</v>
      </c>
      <c r="D1108" s="1">
        <v>0</v>
      </c>
      <c r="E1108" s="1" t="s">
        <v>17</v>
      </c>
      <c r="F1108" s="1" t="s">
        <v>22</v>
      </c>
      <c r="G1108" s="1">
        <v>19887</v>
      </c>
      <c r="H1108" s="1">
        <v>8930</v>
      </c>
      <c r="I1108" s="1">
        <v>237</v>
      </c>
      <c r="J1108" s="1">
        <v>120</v>
      </c>
      <c r="K1108" s="1">
        <v>0</v>
      </c>
      <c r="L1108" s="1" t="s">
        <v>41</v>
      </c>
      <c r="M1108" s="1">
        <f>Table1[[#This Row],[ApplicantIncome]]+Table1[[#This Row],[CoapplicantIncome]]</f>
        <v>28817</v>
      </c>
      <c r="N1108" s="1" t="s">
        <v>20</v>
      </c>
      <c r="O1108" s="1" t="str">
        <f>IF(Table1[[#This Row],[Total_Income]]&lt;3000,"Low",IF(Table1[[#This Row],[Total_Income]]&lt;7000,"Medium","High"))</f>
        <v>High</v>
      </c>
      <c r="P1108" s="1" t="str">
        <f t="shared" si="51"/>
        <v>Approved</v>
      </c>
      <c r="Q1108" s="1" t="str">
        <f t="shared" si="52"/>
        <v>High Risk</v>
      </c>
      <c r="R1108" s="2">
        <f t="shared" si="53"/>
        <v>2875.4639862219592</v>
      </c>
    </row>
    <row r="1109" spans="1:18" s="1" customFormat="1" ht="11.5" x14ac:dyDescent="0.25">
      <c r="A1109" s="1" t="s">
        <v>1140</v>
      </c>
      <c r="B1109" s="1" t="s">
        <v>1238</v>
      </c>
      <c r="C1109" s="1" t="s">
        <v>29</v>
      </c>
      <c r="D1109" s="1" t="s">
        <v>16</v>
      </c>
      <c r="E1109" s="1" t="s">
        <v>25</v>
      </c>
      <c r="F1109" s="1" t="s">
        <v>22</v>
      </c>
      <c r="G1109" s="1">
        <v>2016</v>
      </c>
      <c r="H1109" s="1">
        <v>5574</v>
      </c>
      <c r="I1109" s="1">
        <v>369</v>
      </c>
      <c r="J1109" s="1">
        <v>360</v>
      </c>
      <c r="K1109" s="1">
        <v>1</v>
      </c>
      <c r="L1109" s="1" t="s">
        <v>30</v>
      </c>
      <c r="M1109" s="1">
        <f>Table1[[#This Row],[ApplicantIncome]]+Table1[[#This Row],[CoapplicantIncome]]</f>
        <v>7590</v>
      </c>
      <c r="N1109" s="1" t="s">
        <v>26</v>
      </c>
      <c r="O1109" s="1" t="str">
        <f>IF(Table1[[#This Row],[Total_Income]]&lt;3000,"Low",IF(Table1[[#This Row],[Total_Income]]&lt;7000,"Medium","High"))</f>
        <v>High</v>
      </c>
      <c r="P1109" s="1" t="str">
        <f t="shared" si="51"/>
        <v>Rejected</v>
      </c>
      <c r="Q1109" s="1" t="str">
        <f t="shared" si="52"/>
        <v>Low Risk</v>
      </c>
      <c r="R1109" s="2">
        <f t="shared" si="53"/>
        <v>2707.591277614898</v>
      </c>
    </row>
    <row r="1110" spans="1:18" s="1" customFormat="1" ht="11.5" x14ac:dyDescent="0.25">
      <c r="A1110" s="1" t="s">
        <v>1141</v>
      </c>
      <c r="B1110" s="1" t="s">
        <v>52</v>
      </c>
      <c r="C1110" s="1" t="s">
        <v>29</v>
      </c>
      <c r="D1110" s="1">
        <v>2</v>
      </c>
      <c r="E1110" s="1" t="s">
        <v>17</v>
      </c>
      <c r="F1110" s="1" t="s">
        <v>22</v>
      </c>
      <c r="G1110" s="1">
        <v>15588</v>
      </c>
      <c r="H1110" s="1">
        <v>3002</v>
      </c>
      <c r="I1110" s="1">
        <v>292</v>
      </c>
      <c r="J1110" s="1">
        <v>360</v>
      </c>
      <c r="K1110" s="1">
        <v>1</v>
      </c>
      <c r="L1110" s="1" t="s">
        <v>19</v>
      </c>
      <c r="M1110" s="1">
        <f>Table1[[#This Row],[ApplicantIncome]]+Table1[[#This Row],[CoapplicantIncome]]</f>
        <v>18590</v>
      </c>
      <c r="N1110" s="1" t="s">
        <v>20</v>
      </c>
      <c r="O1110" s="1" t="str">
        <f>IF(Table1[[#This Row],[Total_Income]]&lt;3000,"Low",IF(Table1[[#This Row],[Total_Income]]&lt;7000,"Medium","High"))</f>
        <v>High</v>
      </c>
      <c r="P1110" s="1" t="str">
        <f t="shared" si="51"/>
        <v>Approved</v>
      </c>
      <c r="Q1110" s="1" t="str">
        <f t="shared" si="52"/>
        <v>Low Risk</v>
      </c>
      <c r="R1110" s="2">
        <f t="shared" si="53"/>
        <v>2142.5925557277783</v>
      </c>
    </row>
    <row r="1111" spans="1:18" s="1" customFormat="1" ht="11.5" x14ac:dyDescent="0.25">
      <c r="A1111" s="1" t="s">
        <v>1142</v>
      </c>
      <c r="B1111" s="1" t="s">
        <v>28</v>
      </c>
      <c r="C1111" s="1" t="s">
        <v>22</v>
      </c>
      <c r="D1111" s="1" t="s">
        <v>16</v>
      </c>
      <c r="E1111" s="1" t="s">
        <v>17</v>
      </c>
      <c r="F1111" s="1" t="s">
        <v>29</v>
      </c>
      <c r="G1111" s="1">
        <v>5262</v>
      </c>
      <c r="H1111" s="1">
        <v>1716</v>
      </c>
      <c r="I1111" s="1">
        <v>227</v>
      </c>
      <c r="J1111" s="1">
        <v>360</v>
      </c>
      <c r="K1111" s="1">
        <v>0</v>
      </c>
      <c r="L1111" s="1" t="s">
        <v>19</v>
      </c>
      <c r="M1111" s="1">
        <f>Table1[[#This Row],[ApplicantIncome]]+Table1[[#This Row],[CoapplicantIncome]]</f>
        <v>6978</v>
      </c>
      <c r="N1111" s="1" t="s">
        <v>26</v>
      </c>
      <c r="O1111" s="1" t="str">
        <f>IF(Table1[[#This Row],[Total_Income]]&lt;3000,"Low",IF(Table1[[#This Row],[Total_Income]]&lt;7000,"Medium","High"))</f>
        <v>Medium</v>
      </c>
      <c r="P1111" s="1" t="str">
        <f t="shared" si="51"/>
        <v>Rejected</v>
      </c>
      <c r="Q1111" s="1" t="str">
        <f t="shared" si="52"/>
        <v>High Risk</v>
      </c>
      <c r="R1111" s="2">
        <f t="shared" si="53"/>
        <v>1665.6455827061839</v>
      </c>
    </row>
    <row r="1112" spans="1:18" s="1" customFormat="1" ht="11.5" x14ac:dyDescent="0.25">
      <c r="A1112" s="1" t="s">
        <v>1143</v>
      </c>
      <c r="B1112" s="1" t="s">
        <v>28</v>
      </c>
      <c r="C1112" s="1" t="s">
        <v>22</v>
      </c>
      <c r="D1112" s="1">
        <v>0</v>
      </c>
      <c r="E1112" s="1" t="s">
        <v>25</v>
      </c>
      <c r="F1112" s="1" t="s">
        <v>29</v>
      </c>
      <c r="G1112" s="1">
        <v>3678</v>
      </c>
      <c r="H1112" s="1">
        <v>6950</v>
      </c>
      <c r="I1112" s="1">
        <v>115</v>
      </c>
      <c r="J1112" s="1">
        <v>180</v>
      </c>
      <c r="K1112" s="1">
        <v>1</v>
      </c>
      <c r="L1112" s="1" t="s">
        <v>19</v>
      </c>
      <c r="M1112" s="1">
        <f>Table1[[#This Row],[ApplicantIncome]]+Table1[[#This Row],[CoapplicantIncome]]</f>
        <v>10628</v>
      </c>
      <c r="N1112" s="1" t="s">
        <v>20</v>
      </c>
      <c r="O1112" s="1" t="str">
        <f>IF(Table1[[#This Row],[Total_Income]]&lt;3000,"Low",IF(Table1[[#This Row],[Total_Income]]&lt;7000,"Medium","High"))</f>
        <v>High</v>
      </c>
      <c r="P1112" s="1" t="str">
        <f t="shared" si="51"/>
        <v>Approved</v>
      </c>
      <c r="Q1112" s="1" t="str">
        <f t="shared" si="52"/>
        <v>Low Risk</v>
      </c>
      <c r="R1112" s="2">
        <f t="shared" si="53"/>
        <v>1098.9998969799042</v>
      </c>
    </row>
    <row r="1113" spans="1:18" s="1" customFormat="1" ht="11.5" x14ac:dyDescent="0.25">
      <c r="A1113" s="1" t="s">
        <v>1144</v>
      </c>
      <c r="B1113" s="1" t="s">
        <v>28</v>
      </c>
      <c r="C1113" s="1" t="s">
        <v>29</v>
      </c>
      <c r="D1113" s="1">
        <v>1</v>
      </c>
      <c r="E1113" s="1" t="s">
        <v>17</v>
      </c>
      <c r="F1113" s="1" t="s">
        <v>22</v>
      </c>
      <c r="G1113" s="1">
        <v>9161</v>
      </c>
      <c r="H1113" s="1">
        <v>8714</v>
      </c>
      <c r="I1113" s="1">
        <v>196</v>
      </c>
      <c r="J1113" s="1">
        <v>180</v>
      </c>
      <c r="K1113" s="1">
        <v>0</v>
      </c>
      <c r="L1113" s="1" t="s">
        <v>19</v>
      </c>
      <c r="M1113" s="1">
        <f>Table1[[#This Row],[ApplicantIncome]]+Table1[[#This Row],[CoapplicantIncome]]</f>
        <v>17875</v>
      </c>
      <c r="N1113" s="1" t="s">
        <v>26</v>
      </c>
      <c r="O1113" s="1" t="str">
        <f>IF(Table1[[#This Row],[Total_Income]]&lt;3000,"Low",IF(Table1[[#This Row],[Total_Income]]&lt;7000,"Medium","High"))</f>
        <v>High</v>
      </c>
      <c r="P1113" s="1" t="str">
        <f t="shared" si="51"/>
        <v>Rejected</v>
      </c>
      <c r="Q1113" s="1" t="str">
        <f t="shared" si="52"/>
        <v>High Risk</v>
      </c>
      <c r="R1113" s="2">
        <f t="shared" si="53"/>
        <v>1873.0780852874889</v>
      </c>
    </row>
    <row r="1114" spans="1:18" s="1" customFormat="1" ht="11.5" x14ac:dyDescent="0.25">
      <c r="A1114" s="1" t="s">
        <v>1145</v>
      </c>
      <c r="B1114" s="1" t="s">
        <v>28</v>
      </c>
      <c r="C1114" s="1" t="s">
        <v>22</v>
      </c>
      <c r="D1114" s="1">
        <v>2</v>
      </c>
      <c r="E1114" s="1" t="s">
        <v>25</v>
      </c>
      <c r="F1114" s="1" t="s">
        <v>22</v>
      </c>
      <c r="G1114" s="1">
        <v>13470</v>
      </c>
      <c r="H1114" s="1">
        <v>7185</v>
      </c>
      <c r="I1114" s="1">
        <v>686</v>
      </c>
      <c r="J1114" s="1">
        <v>180</v>
      </c>
      <c r="K1114" s="1">
        <v>0</v>
      </c>
      <c r="L1114" s="1" t="s">
        <v>19</v>
      </c>
      <c r="M1114" s="1">
        <f>Table1[[#This Row],[ApplicantIncome]]+Table1[[#This Row],[CoapplicantIncome]]</f>
        <v>20655</v>
      </c>
      <c r="N1114" s="1" t="s">
        <v>20</v>
      </c>
      <c r="O1114" s="1" t="str">
        <f>IF(Table1[[#This Row],[Total_Income]]&lt;3000,"Low",IF(Table1[[#This Row],[Total_Income]]&lt;7000,"Medium","High"))</f>
        <v>High</v>
      </c>
      <c r="P1114" s="1" t="str">
        <f t="shared" si="51"/>
        <v>Approved</v>
      </c>
      <c r="Q1114" s="1" t="str">
        <f t="shared" si="52"/>
        <v>High Risk</v>
      </c>
      <c r="R1114" s="2">
        <f t="shared" si="53"/>
        <v>6555.7732985062112</v>
      </c>
    </row>
    <row r="1115" spans="1:18" s="1" customFormat="1" ht="11.5" x14ac:dyDescent="0.25">
      <c r="A1115" s="1" t="s">
        <v>1146</v>
      </c>
      <c r="B1115" s="1" t="s">
        <v>52</v>
      </c>
      <c r="C1115" s="1" t="s">
        <v>22</v>
      </c>
      <c r="D1115" s="1">
        <v>1</v>
      </c>
      <c r="E1115" s="1" t="s">
        <v>17</v>
      </c>
      <c r="F1115" s="1" t="s">
        <v>22</v>
      </c>
      <c r="G1115" s="1">
        <v>1687</v>
      </c>
      <c r="H1115" s="1">
        <v>8174</v>
      </c>
      <c r="I1115" s="1">
        <v>266</v>
      </c>
      <c r="J1115" s="1">
        <v>360</v>
      </c>
      <c r="K1115" s="1">
        <v>1</v>
      </c>
      <c r="L1115" s="1" t="s">
        <v>19</v>
      </c>
      <c r="M1115" s="1">
        <f>Table1[[#This Row],[ApplicantIncome]]+Table1[[#This Row],[CoapplicantIncome]]</f>
        <v>9861</v>
      </c>
      <c r="N1115" s="1" t="s">
        <v>26</v>
      </c>
      <c r="O1115" s="1" t="str">
        <f>IF(Table1[[#This Row],[Total_Income]]&lt;3000,"Low",IF(Table1[[#This Row],[Total_Income]]&lt;7000,"Medium","High"))</f>
        <v>High</v>
      </c>
      <c r="P1115" s="1" t="str">
        <f t="shared" si="51"/>
        <v>Rejected</v>
      </c>
      <c r="Q1115" s="1" t="str">
        <f t="shared" si="52"/>
        <v>Low Risk</v>
      </c>
      <c r="R1115" s="2">
        <f t="shared" si="53"/>
        <v>1951.8137665191407</v>
      </c>
    </row>
    <row r="1116" spans="1:18" s="1" customFormat="1" ht="11.5" x14ac:dyDescent="0.25">
      <c r="A1116" s="1" t="s">
        <v>1147</v>
      </c>
      <c r="B1116" s="1" t="s">
        <v>52</v>
      </c>
      <c r="C1116" s="1" t="s">
        <v>29</v>
      </c>
      <c r="D1116" s="1">
        <v>2</v>
      </c>
      <c r="E1116" s="1" t="s">
        <v>17</v>
      </c>
      <c r="F1116" s="1" t="s">
        <v>22</v>
      </c>
      <c r="G1116" s="1">
        <v>12895</v>
      </c>
      <c r="H1116" s="1">
        <v>8586</v>
      </c>
      <c r="I1116" s="1">
        <v>95</v>
      </c>
      <c r="J1116" s="1">
        <v>360</v>
      </c>
      <c r="K1116" s="1">
        <v>0</v>
      </c>
      <c r="L1116" s="1" t="s">
        <v>30</v>
      </c>
      <c r="M1116" s="1">
        <f>Table1[[#This Row],[ApplicantIncome]]+Table1[[#This Row],[CoapplicantIncome]]</f>
        <v>21481</v>
      </c>
      <c r="N1116" s="1" t="s">
        <v>26</v>
      </c>
      <c r="O1116" s="1" t="str">
        <f>IF(Table1[[#This Row],[Total_Income]]&lt;3000,"Low",IF(Table1[[#This Row],[Total_Income]]&lt;7000,"Medium","High"))</f>
        <v>High</v>
      </c>
      <c r="P1116" s="1" t="str">
        <f t="shared" si="51"/>
        <v>Rejected</v>
      </c>
      <c r="Q1116" s="1" t="str">
        <f t="shared" si="52"/>
        <v>High Risk</v>
      </c>
      <c r="R1116" s="2">
        <f t="shared" si="53"/>
        <v>697.07634518540738</v>
      </c>
    </row>
    <row r="1117" spans="1:18" s="1" customFormat="1" ht="11.5" x14ac:dyDescent="0.25">
      <c r="A1117" s="1" t="s">
        <v>1148</v>
      </c>
      <c r="B1117" s="1" t="s">
        <v>52</v>
      </c>
      <c r="C1117" s="1" t="s">
        <v>22</v>
      </c>
      <c r="D1117" s="1">
        <v>0</v>
      </c>
      <c r="E1117" s="1" t="s">
        <v>25</v>
      </c>
      <c r="F1117" s="1" t="s">
        <v>22</v>
      </c>
      <c r="G1117" s="1">
        <v>18021</v>
      </c>
      <c r="H1117" s="1">
        <v>9483</v>
      </c>
      <c r="I1117" s="1">
        <v>177</v>
      </c>
      <c r="J1117" s="1">
        <v>360</v>
      </c>
      <c r="K1117" s="1">
        <v>1</v>
      </c>
      <c r="L1117" s="1" t="s">
        <v>30</v>
      </c>
      <c r="M1117" s="1">
        <f>Table1[[#This Row],[ApplicantIncome]]+Table1[[#This Row],[CoapplicantIncome]]</f>
        <v>27504</v>
      </c>
      <c r="N1117" s="1" t="s">
        <v>26</v>
      </c>
      <c r="O1117" s="1" t="str">
        <f>IF(Table1[[#This Row],[Total_Income]]&lt;3000,"Low",IF(Table1[[#This Row],[Total_Income]]&lt;7000,"Medium","High"))</f>
        <v>High</v>
      </c>
      <c r="P1117" s="1" t="str">
        <f t="shared" si="51"/>
        <v>Rejected</v>
      </c>
      <c r="Q1117" s="1" t="str">
        <f t="shared" si="52"/>
        <v>Low Risk</v>
      </c>
      <c r="R1117" s="2">
        <f t="shared" si="53"/>
        <v>1298.763295766496</v>
      </c>
    </row>
    <row r="1118" spans="1:18" s="1" customFormat="1" ht="11.5" x14ac:dyDescent="0.25">
      <c r="A1118" s="1" t="s">
        <v>1149</v>
      </c>
      <c r="B1118" s="1" t="s">
        <v>28</v>
      </c>
      <c r="C1118" s="1" t="s">
        <v>22</v>
      </c>
      <c r="D1118" s="1" t="s">
        <v>16</v>
      </c>
      <c r="E1118" s="1" t="s">
        <v>17</v>
      </c>
      <c r="F1118" s="1" t="s">
        <v>22</v>
      </c>
      <c r="G1118" s="1">
        <v>6529</v>
      </c>
      <c r="H1118" s="1">
        <v>3633</v>
      </c>
      <c r="I1118" s="1">
        <v>571</v>
      </c>
      <c r="J1118" s="1">
        <v>120</v>
      </c>
      <c r="K1118" s="1">
        <v>0</v>
      </c>
      <c r="L1118" s="1" t="s">
        <v>30</v>
      </c>
      <c r="M1118" s="1">
        <f>Table1[[#This Row],[ApplicantIncome]]+Table1[[#This Row],[CoapplicantIncome]]</f>
        <v>10162</v>
      </c>
      <c r="N1118" s="1" t="s">
        <v>26</v>
      </c>
      <c r="O1118" s="1" t="str">
        <f>IF(Table1[[#This Row],[Total_Income]]&lt;3000,"Low",IF(Table1[[#This Row],[Total_Income]]&lt;7000,"Medium","High"))</f>
        <v>High</v>
      </c>
      <c r="P1118" s="1" t="str">
        <f t="shared" si="51"/>
        <v>Rejected</v>
      </c>
      <c r="Q1118" s="1" t="str">
        <f t="shared" si="52"/>
        <v>High Risk</v>
      </c>
      <c r="R1118" s="2">
        <f t="shared" si="53"/>
        <v>6927.8056376908798</v>
      </c>
    </row>
    <row r="1119" spans="1:18" s="1" customFormat="1" ht="11.5" x14ac:dyDescent="0.25">
      <c r="A1119" s="1" t="s">
        <v>1150</v>
      </c>
      <c r="B1119" s="1" t="s">
        <v>1238</v>
      </c>
      <c r="C1119" s="1" t="s">
        <v>29</v>
      </c>
      <c r="D1119" s="1">
        <v>1</v>
      </c>
      <c r="E1119" s="1" t="s">
        <v>17</v>
      </c>
      <c r="F1119" s="1" t="s">
        <v>29</v>
      </c>
      <c r="G1119" s="1">
        <v>2962</v>
      </c>
      <c r="H1119" s="1">
        <v>4203</v>
      </c>
      <c r="I1119" s="1">
        <v>695</v>
      </c>
      <c r="J1119" s="1">
        <v>360</v>
      </c>
      <c r="K1119" s="1">
        <v>0</v>
      </c>
      <c r="L1119" s="1" t="s">
        <v>19</v>
      </c>
      <c r="M1119" s="1">
        <f>Table1[[#This Row],[ApplicantIncome]]+Table1[[#This Row],[CoapplicantIncome]]</f>
        <v>7165</v>
      </c>
      <c r="N1119" s="1" t="s">
        <v>20</v>
      </c>
      <c r="O1119" s="1" t="str">
        <f>IF(Table1[[#This Row],[Total_Income]]&lt;3000,"Low",IF(Table1[[#This Row],[Total_Income]]&lt;7000,"Medium","High"))</f>
        <v>High</v>
      </c>
      <c r="P1119" s="1" t="str">
        <f t="shared" si="51"/>
        <v>Approved</v>
      </c>
      <c r="Q1119" s="1" t="str">
        <f t="shared" si="52"/>
        <v>High Risk</v>
      </c>
      <c r="R1119" s="2">
        <f t="shared" si="53"/>
        <v>5099.6637884616648</v>
      </c>
    </row>
    <row r="1120" spans="1:18" s="1" customFormat="1" ht="11.5" x14ac:dyDescent="0.25">
      <c r="A1120" s="1" t="s">
        <v>1151</v>
      </c>
      <c r="B1120" s="1" t="s">
        <v>1238</v>
      </c>
      <c r="C1120" s="1" t="s">
        <v>22</v>
      </c>
      <c r="D1120" s="1">
        <v>0</v>
      </c>
      <c r="E1120" s="1" t="s">
        <v>25</v>
      </c>
      <c r="F1120" s="1" t="s">
        <v>29</v>
      </c>
      <c r="G1120" s="1">
        <v>9910</v>
      </c>
      <c r="H1120" s="1">
        <v>1505</v>
      </c>
      <c r="I1120" s="1">
        <v>686</v>
      </c>
      <c r="J1120" s="1">
        <v>120</v>
      </c>
      <c r="K1120" s="1">
        <v>0</v>
      </c>
      <c r="L1120" s="1" t="s">
        <v>30</v>
      </c>
      <c r="M1120" s="1">
        <f>Table1[[#This Row],[ApplicantIncome]]+Table1[[#This Row],[CoapplicantIncome]]</f>
        <v>11415</v>
      </c>
      <c r="N1120" s="1" t="s">
        <v>20</v>
      </c>
      <c r="O1120" s="1" t="str">
        <f>IF(Table1[[#This Row],[Total_Income]]&lt;3000,"Low",IF(Table1[[#This Row],[Total_Income]]&lt;7000,"Medium","High"))</f>
        <v>High</v>
      </c>
      <c r="P1120" s="1" t="str">
        <f t="shared" si="51"/>
        <v>Approved</v>
      </c>
      <c r="Q1120" s="1" t="str">
        <f t="shared" si="52"/>
        <v>High Risk</v>
      </c>
      <c r="R1120" s="2">
        <f t="shared" si="53"/>
        <v>8323.0729727774851</v>
      </c>
    </row>
    <row r="1121" spans="1:18" s="1" customFormat="1" ht="11.5" x14ac:dyDescent="0.25">
      <c r="A1121" s="1" t="s">
        <v>1152</v>
      </c>
      <c r="B1121" s="1" t="s">
        <v>28</v>
      </c>
      <c r="C1121" s="1" t="s">
        <v>29</v>
      </c>
      <c r="D1121" s="1">
        <v>1</v>
      </c>
      <c r="E1121" s="1" t="s">
        <v>17</v>
      </c>
      <c r="F1121" s="1" t="s">
        <v>22</v>
      </c>
      <c r="G1121" s="1">
        <v>2384</v>
      </c>
      <c r="H1121" s="1">
        <v>7030</v>
      </c>
      <c r="I1121" s="1">
        <v>372</v>
      </c>
      <c r="J1121" s="1">
        <v>180</v>
      </c>
      <c r="K1121" s="1">
        <v>0</v>
      </c>
      <c r="L1121" s="1" t="s">
        <v>41</v>
      </c>
      <c r="M1121" s="1">
        <f>Table1[[#This Row],[ApplicantIncome]]+Table1[[#This Row],[CoapplicantIncome]]</f>
        <v>9414</v>
      </c>
      <c r="N1121" s="1" t="s">
        <v>20</v>
      </c>
      <c r="O1121" s="1" t="str">
        <f>IF(Table1[[#This Row],[Total_Income]]&lt;3000,"Low",IF(Table1[[#This Row],[Total_Income]]&lt;7000,"Medium","High"))</f>
        <v>High</v>
      </c>
      <c r="P1121" s="1" t="str">
        <f t="shared" si="51"/>
        <v>Approved</v>
      </c>
      <c r="Q1121" s="1" t="str">
        <f t="shared" si="52"/>
        <v>High Risk</v>
      </c>
      <c r="R1121" s="2">
        <f t="shared" si="53"/>
        <v>3555.0257537089074</v>
      </c>
    </row>
    <row r="1122" spans="1:18" s="1" customFormat="1" ht="11.5" x14ac:dyDescent="0.25">
      <c r="A1122" s="1" t="s">
        <v>1153</v>
      </c>
      <c r="B1122" s="1" t="s">
        <v>28</v>
      </c>
      <c r="C1122" s="1" t="s">
        <v>22</v>
      </c>
      <c r="D1122" s="1">
        <v>0</v>
      </c>
      <c r="E1122" s="1" t="s">
        <v>25</v>
      </c>
      <c r="F1122" s="1" t="s">
        <v>29</v>
      </c>
      <c r="G1122" s="1">
        <v>17404</v>
      </c>
      <c r="H1122" s="1">
        <v>4131</v>
      </c>
      <c r="I1122" s="1">
        <v>543</v>
      </c>
      <c r="J1122" s="1">
        <v>120</v>
      </c>
      <c r="K1122" s="1">
        <v>0</v>
      </c>
      <c r="L1122" s="1" t="s">
        <v>41</v>
      </c>
      <c r="M1122" s="1">
        <f>Table1[[#This Row],[ApplicantIncome]]+Table1[[#This Row],[CoapplicantIncome]]</f>
        <v>21535</v>
      </c>
      <c r="N1122" s="1" t="s">
        <v>20</v>
      </c>
      <c r="O1122" s="1" t="str">
        <f>IF(Table1[[#This Row],[Total_Income]]&lt;3000,"Low",IF(Table1[[#This Row],[Total_Income]]&lt;7000,"Medium","High"))</f>
        <v>High</v>
      </c>
      <c r="P1122" s="1" t="str">
        <f t="shared" si="51"/>
        <v>Approved</v>
      </c>
      <c r="Q1122" s="1" t="str">
        <f t="shared" si="52"/>
        <v>High Risk</v>
      </c>
      <c r="R1122" s="2">
        <f t="shared" si="53"/>
        <v>6588.0883734958807</v>
      </c>
    </row>
    <row r="1123" spans="1:18" s="1" customFormat="1" ht="11.5" x14ac:dyDescent="0.25">
      <c r="A1123" s="1" t="s">
        <v>1154</v>
      </c>
      <c r="B1123" s="1" t="s">
        <v>1238</v>
      </c>
      <c r="C1123" s="1" t="s">
        <v>22</v>
      </c>
      <c r="D1123" s="1" t="s">
        <v>16</v>
      </c>
      <c r="E1123" s="1" t="s">
        <v>17</v>
      </c>
      <c r="F1123" s="1" t="s">
        <v>22</v>
      </c>
      <c r="G1123" s="1">
        <v>14371</v>
      </c>
      <c r="H1123" s="1">
        <v>2081</v>
      </c>
      <c r="I1123" s="1">
        <v>471</v>
      </c>
      <c r="J1123" s="1">
        <v>360</v>
      </c>
      <c r="K1123" s="1">
        <v>1</v>
      </c>
      <c r="L1123" s="1" t="s">
        <v>19</v>
      </c>
      <c r="M1123" s="1">
        <f>Table1[[#This Row],[ApplicantIncome]]+Table1[[#This Row],[CoapplicantIncome]]</f>
        <v>16452</v>
      </c>
      <c r="N1123" s="1" t="s">
        <v>26</v>
      </c>
      <c r="O1123" s="1" t="str">
        <f>IF(Table1[[#This Row],[Total_Income]]&lt;3000,"Low",IF(Table1[[#This Row],[Total_Income]]&lt;7000,"Medium","High"))</f>
        <v>High</v>
      </c>
      <c r="P1123" s="1" t="str">
        <f t="shared" si="51"/>
        <v>Rejected</v>
      </c>
      <c r="Q1123" s="1" t="str">
        <f t="shared" si="52"/>
        <v>Low Risk</v>
      </c>
      <c r="R1123" s="2">
        <f t="shared" si="53"/>
        <v>3456.0311429718622</v>
      </c>
    </row>
    <row r="1124" spans="1:18" s="1" customFormat="1" ht="11.5" x14ac:dyDescent="0.25">
      <c r="A1124" s="1" t="s">
        <v>1155</v>
      </c>
      <c r="B1124" s="1" t="s">
        <v>52</v>
      </c>
      <c r="C1124" s="1" t="s">
        <v>29</v>
      </c>
      <c r="D1124" s="1" t="s">
        <v>16</v>
      </c>
      <c r="E1124" s="1" t="s">
        <v>17</v>
      </c>
      <c r="F1124" s="1" t="s">
        <v>22</v>
      </c>
      <c r="G1124" s="1">
        <v>8645</v>
      </c>
      <c r="H1124" s="1">
        <v>5275</v>
      </c>
      <c r="I1124" s="1">
        <v>432</v>
      </c>
      <c r="J1124" s="1">
        <v>180</v>
      </c>
      <c r="K1124" s="1">
        <v>0</v>
      </c>
      <c r="L1124" s="1" t="s">
        <v>30</v>
      </c>
      <c r="M1124" s="1">
        <f>Table1[[#This Row],[ApplicantIncome]]+Table1[[#This Row],[CoapplicantIncome]]</f>
        <v>13920</v>
      </c>
      <c r="N1124" s="1" t="s">
        <v>20</v>
      </c>
      <c r="O1124" s="1" t="str">
        <f>IF(Table1[[#This Row],[Total_Income]]&lt;3000,"Low",IF(Table1[[#This Row],[Total_Income]]&lt;7000,"Medium","High"))</f>
        <v>High</v>
      </c>
      <c r="P1124" s="1" t="str">
        <f t="shared" si="51"/>
        <v>Approved</v>
      </c>
      <c r="Q1124" s="1" t="str">
        <f t="shared" si="52"/>
        <v>High Risk</v>
      </c>
      <c r="R1124" s="2">
        <f t="shared" si="53"/>
        <v>4128.4170043071181</v>
      </c>
    </row>
    <row r="1125" spans="1:18" s="1" customFormat="1" ht="11.5" x14ac:dyDescent="0.25">
      <c r="A1125" s="1" t="s">
        <v>1156</v>
      </c>
      <c r="B1125" s="1" t="s">
        <v>1238</v>
      </c>
      <c r="C1125" s="1" t="s">
        <v>22</v>
      </c>
      <c r="D1125" s="1" t="s">
        <v>16</v>
      </c>
      <c r="E1125" s="1" t="s">
        <v>25</v>
      </c>
      <c r="F1125" s="1" t="s">
        <v>22</v>
      </c>
      <c r="G1125" s="1">
        <v>5800</v>
      </c>
      <c r="H1125" s="1">
        <v>7187</v>
      </c>
      <c r="I1125" s="1">
        <v>519</v>
      </c>
      <c r="J1125" s="1">
        <v>180</v>
      </c>
      <c r="K1125" s="1">
        <v>1</v>
      </c>
      <c r="L1125" s="1" t="s">
        <v>30</v>
      </c>
      <c r="M1125" s="1">
        <f>Table1[[#This Row],[ApplicantIncome]]+Table1[[#This Row],[CoapplicantIncome]]</f>
        <v>12987</v>
      </c>
      <c r="N1125" s="1" t="s">
        <v>20</v>
      </c>
      <c r="O1125" s="1" t="str">
        <f>IF(Table1[[#This Row],[Total_Income]]&lt;3000,"Low",IF(Table1[[#This Row],[Total_Income]]&lt;7000,"Medium","High"))</f>
        <v>High</v>
      </c>
      <c r="P1125" s="1" t="str">
        <f t="shared" si="51"/>
        <v>Approved</v>
      </c>
      <c r="Q1125" s="1" t="str">
        <f t="shared" si="52"/>
        <v>Low Risk</v>
      </c>
      <c r="R1125" s="2">
        <f t="shared" si="53"/>
        <v>4959.8343176745238</v>
      </c>
    </row>
    <row r="1126" spans="1:18" s="1" customFormat="1" ht="11.5" x14ac:dyDescent="0.25">
      <c r="A1126" s="1" t="s">
        <v>1157</v>
      </c>
      <c r="B1126" s="1" t="s">
        <v>1238</v>
      </c>
      <c r="C1126" s="1" t="s">
        <v>22</v>
      </c>
      <c r="D1126" s="1">
        <v>0</v>
      </c>
      <c r="E1126" s="1" t="s">
        <v>17</v>
      </c>
      <c r="F1126" s="1" t="s">
        <v>29</v>
      </c>
      <c r="G1126" s="1">
        <v>11720</v>
      </c>
      <c r="H1126" s="1">
        <v>3329</v>
      </c>
      <c r="I1126" s="1">
        <v>208</v>
      </c>
      <c r="J1126" s="1">
        <v>120</v>
      </c>
      <c r="K1126" s="1">
        <v>0</v>
      </c>
      <c r="L1126" s="1" t="s">
        <v>30</v>
      </c>
      <c r="M1126" s="1">
        <f>Table1[[#This Row],[ApplicantIncome]]+Table1[[#This Row],[CoapplicantIncome]]</f>
        <v>15049</v>
      </c>
      <c r="N1126" s="1" t="s">
        <v>26</v>
      </c>
      <c r="O1126" s="1" t="str">
        <f>IF(Table1[[#This Row],[Total_Income]]&lt;3000,"Low",IF(Table1[[#This Row],[Total_Income]]&lt;7000,"Medium","High"))</f>
        <v>High</v>
      </c>
      <c r="P1126" s="1" t="str">
        <f t="shared" si="51"/>
        <v>Rejected</v>
      </c>
      <c r="Q1126" s="1" t="str">
        <f t="shared" si="52"/>
        <v>High Risk</v>
      </c>
      <c r="R1126" s="2">
        <f t="shared" si="53"/>
        <v>2523.6139625914243</v>
      </c>
    </row>
    <row r="1127" spans="1:18" s="1" customFormat="1" ht="11.5" x14ac:dyDescent="0.25">
      <c r="A1127" s="1" t="s">
        <v>1158</v>
      </c>
      <c r="B1127" s="1" t="s">
        <v>1238</v>
      </c>
      <c r="C1127" s="1" t="s">
        <v>29</v>
      </c>
      <c r="D1127" s="1">
        <v>2</v>
      </c>
      <c r="E1127" s="1" t="s">
        <v>25</v>
      </c>
      <c r="F1127" s="1" t="s">
        <v>22</v>
      </c>
      <c r="G1127" s="1">
        <v>16257</v>
      </c>
      <c r="H1127" s="1">
        <v>9833</v>
      </c>
      <c r="I1127" s="1">
        <v>299</v>
      </c>
      <c r="J1127" s="1">
        <v>120</v>
      </c>
      <c r="K1127" s="1">
        <v>1</v>
      </c>
      <c r="L1127" s="1" t="s">
        <v>19</v>
      </c>
      <c r="M1127" s="1">
        <f>Table1[[#This Row],[ApplicantIncome]]+Table1[[#This Row],[CoapplicantIncome]]</f>
        <v>26090</v>
      </c>
      <c r="N1127" s="1" t="s">
        <v>26</v>
      </c>
      <c r="O1127" s="1" t="str">
        <f>IF(Table1[[#This Row],[Total_Income]]&lt;3000,"Low",IF(Table1[[#This Row],[Total_Income]]&lt;7000,"Medium","High"))</f>
        <v>High</v>
      </c>
      <c r="P1127" s="1" t="str">
        <f t="shared" si="51"/>
        <v>Rejected</v>
      </c>
      <c r="Q1127" s="1" t="str">
        <f t="shared" si="52"/>
        <v>Low Risk</v>
      </c>
      <c r="R1127" s="2">
        <f t="shared" si="53"/>
        <v>3627.6950712251719</v>
      </c>
    </row>
    <row r="1128" spans="1:18" s="1" customFormat="1" ht="11.5" x14ac:dyDescent="0.25">
      <c r="A1128" s="1" t="s">
        <v>1159</v>
      </c>
      <c r="B1128" s="1" t="s">
        <v>52</v>
      </c>
      <c r="C1128" s="1" t="s">
        <v>29</v>
      </c>
      <c r="D1128" s="1">
        <v>1</v>
      </c>
      <c r="E1128" s="1" t="s">
        <v>17</v>
      </c>
      <c r="F1128" s="1" t="s">
        <v>29</v>
      </c>
      <c r="G1128" s="1">
        <v>19329</v>
      </c>
      <c r="H1128" s="1">
        <v>6071</v>
      </c>
      <c r="I1128" s="1">
        <v>518</v>
      </c>
      <c r="J1128" s="1">
        <v>120</v>
      </c>
      <c r="K1128" s="1">
        <v>0</v>
      </c>
      <c r="L1128" s="1" t="s">
        <v>30</v>
      </c>
      <c r="M1128" s="1">
        <f>Table1[[#This Row],[ApplicantIncome]]+Table1[[#This Row],[CoapplicantIncome]]</f>
        <v>25400</v>
      </c>
      <c r="N1128" s="1" t="s">
        <v>26</v>
      </c>
      <c r="O1128" s="1" t="str">
        <f>IF(Table1[[#This Row],[Total_Income]]&lt;3000,"Low",IF(Table1[[#This Row],[Total_Income]]&lt;7000,"Medium","High"))</f>
        <v>High</v>
      </c>
      <c r="P1128" s="1" t="str">
        <f t="shared" si="51"/>
        <v>Rejected</v>
      </c>
      <c r="Q1128" s="1" t="str">
        <f t="shared" si="52"/>
        <v>High Risk</v>
      </c>
      <c r="R1128" s="2">
        <f t="shared" si="53"/>
        <v>6284.7693876074891</v>
      </c>
    </row>
    <row r="1129" spans="1:18" s="1" customFormat="1" ht="11.5" x14ac:dyDescent="0.25">
      <c r="A1129" s="1" t="s">
        <v>1160</v>
      </c>
      <c r="B1129" s="1" t="s">
        <v>28</v>
      </c>
      <c r="C1129" s="1" t="s">
        <v>22</v>
      </c>
      <c r="D1129" s="1">
        <v>2</v>
      </c>
      <c r="E1129" s="1" t="s">
        <v>17</v>
      </c>
      <c r="F1129" s="1" t="s">
        <v>29</v>
      </c>
      <c r="G1129" s="1">
        <v>14841</v>
      </c>
      <c r="H1129" s="1">
        <v>9090</v>
      </c>
      <c r="I1129" s="1">
        <v>577</v>
      </c>
      <c r="J1129" s="1">
        <v>360</v>
      </c>
      <c r="K1129" s="1">
        <v>0</v>
      </c>
      <c r="L1129" s="1" t="s">
        <v>30</v>
      </c>
      <c r="M1129" s="1">
        <f>Table1[[#This Row],[ApplicantIncome]]+Table1[[#This Row],[CoapplicantIncome]]</f>
        <v>23931</v>
      </c>
      <c r="N1129" s="1" t="s">
        <v>20</v>
      </c>
      <c r="O1129" s="1" t="str">
        <f>IF(Table1[[#This Row],[Total_Income]]&lt;3000,"Low",IF(Table1[[#This Row],[Total_Income]]&lt;7000,"Medium","High"))</f>
        <v>High</v>
      </c>
      <c r="P1129" s="1" t="str">
        <f t="shared" si="51"/>
        <v>Approved</v>
      </c>
      <c r="Q1129" s="1" t="str">
        <f t="shared" si="52"/>
        <v>High Risk</v>
      </c>
      <c r="R1129" s="2">
        <f t="shared" si="53"/>
        <v>4233.8215912840005</v>
      </c>
    </row>
    <row r="1130" spans="1:18" s="1" customFormat="1" ht="11.5" x14ac:dyDescent="0.25">
      <c r="A1130" s="1" t="s">
        <v>1161</v>
      </c>
      <c r="B1130" s="1" t="s">
        <v>1238</v>
      </c>
      <c r="C1130" s="1" t="s">
        <v>29</v>
      </c>
      <c r="D1130" s="1">
        <v>1</v>
      </c>
      <c r="E1130" s="1" t="s">
        <v>25</v>
      </c>
      <c r="F1130" s="1" t="s">
        <v>22</v>
      </c>
      <c r="G1130" s="1">
        <v>6255</v>
      </c>
      <c r="H1130" s="1">
        <v>3338</v>
      </c>
      <c r="I1130" s="1">
        <v>145</v>
      </c>
      <c r="J1130" s="1">
        <v>360</v>
      </c>
      <c r="K1130" s="1">
        <v>0</v>
      </c>
      <c r="L1130" s="1" t="s">
        <v>41</v>
      </c>
      <c r="M1130" s="1">
        <f>Table1[[#This Row],[ApplicantIncome]]+Table1[[#This Row],[CoapplicantIncome]]</f>
        <v>9593</v>
      </c>
      <c r="N1130" s="1" t="s">
        <v>26</v>
      </c>
      <c r="O1130" s="1" t="str">
        <f>IF(Table1[[#This Row],[Total_Income]]&lt;3000,"Low",IF(Table1[[#This Row],[Total_Income]]&lt;7000,"Medium","High"))</f>
        <v>High</v>
      </c>
      <c r="P1130" s="1" t="str">
        <f t="shared" si="51"/>
        <v>Rejected</v>
      </c>
      <c r="Q1130" s="1" t="str">
        <f t="shared" si="52"/>
        <v>High Risk</v>
      </c>
      <c r="R1130" s="2">
        <f t="shared" si="53"/>
        <v>1063.9586321250956</v>
      </c>
    </row>
    <row r="1131" spans="1:18" s="1" customFormat="1" ht="11.5" x14ac:dyDescent="0.25">
      <c r="A1131" s="1" t="s">
        <v>1162</v>
      </c>
      <c r="B1131" s="1" t="s">
        <v>1238</v>
      </c>
      <c r="C1131" s="1" t="s">
        <v>29</v>
      </c>
      <c r="D1131" s="1" t="s">
        <v>16</v>
      </c>
      <c r="E1131" s="1" t="s">
        <v>17</v>
      </c>
      <c r="F1131" s="1" t="s">
        <v>22</v>
      </c>
      <c r="G1131" s="1">
        <v>11426</v>
      </c>
      <c r="H1131" s="1">
        <v>8800</v>
      </c>
      <c r="I1131" s="1">
        <v>404</v>
      </c>
      <c r="J1131" s="1">
        <v>180</v>
      </c>
      <c r="K1131" s="1">
        <v>0</v>
      </c>
      <c r="L1131" s="1" t="s">
        <v>41</v>
      </c>
      <c r="M1131" s="1">
        <f>Table1[[#This Row],[ApplicantIncome]]+Table1[[#This Row],[CoapplicantIncome]]</f>
        <v>20226</v>
      </c>
      <c r="N1131" s="1" t="s">
        <v>20</v>
      </c>
      <c r="O1131" s="1" t="str">
        <f>IF(Table1[[#This Row],[Total_Income]]&lt;3000,"Low",IF(Table1[[#This Row],[Total_Income]]&lt;7000,"Medium","High"))</f>
        <v>High</v>
      </c>
      <c r="P1131" s="1" t="str">
        <f t="shared" si="51"/>
        <v>Approved</v>
      </c>
      <c r="Q1131" s="1" t="str">
        <f t="shared" si="52"/>
        <v>High Risk</v>
      </c>
      <c r="R1131" s="2">
        <f t="shared" si="53"/>
        <v>3860.8344206946199</v>
      </c>
    </row>
    <row r="1132" spans="1:18" s="1" customFormat="1" ht="11.5" x14ac:dyDescent="0.25">
      <c r="A1132" s="1" t="s">
        <v>1163</v>
      </c>
      <c r="B1132" s="1" t="s">
        <v>52</v>
      </c>
      <c r="C1132" s="1" t="s">
        <v>22</v>
      </c>
      <c r="D1132" s="1">
        <v>0</v>
      </c>
      <c r="E1132" s="1" t="s">
        <v>17</v>
      </c>
      <c r="F1132" s="1" t="s">
        <v>22</v>
      </c>
      <c r="G1132" s="1">
        <v>6482</v>
      </c>
      <c r="H1132" s="1">
        <v>7272</v>
      </c>
      <c r="I1132" s="1">
        <v>137</v>
      </c>
      <c r="J1132" s="1">
        <v>360</v>
      </c>
      <c r="K1132" s="1">
        <v>1</v>
      </c>
      <c r="L1132" s="1" t="s">
        <v>30</v>
      </c>
      <c r="M1132" s="1">
        <f>Table1[[#This Row],[ApplicantIncome]]+Table1[[#This Row],[CoapplicantIncome]]</f>
        <v>13754</v>
      </c>
      <c r="N1132" s="1" t="s">
        <v>20</v>
      </c>
      <c r="O1132" s="1" t="str">
        <f>IF(Table1[[#This Row],[Total_Income]]&lt;3000,"Low",IF(Table1[[#This Row],[Total_Income]]&lt;7000,"Medium","High"))</f>
        <v>High</v>
      </c>
      <c r="P1132" s="1" t="str">
        <f t="shared" si="51"/>
        <v>Approved</v>
      </c>
      <c r="Q1132" s="1" t="str">
        <f t="shared" si="52"/>
        <v>Low Risk</v>
      </c>
      <c r="R1132" s="2">
        <f t="shared" si="53"/>
        <v>1005.2574662147454</v>
      </c>
    </row>
    <row r="1133" spans="1:18" s="1" customFormat="1" ht="11.5" x14ac:dyDescent="0.25">
      <c r="A1133" s="1" t="s">
        <v>1164</v>
      </c>
      <c r="B1133" s="1" t="s">
        <v>28</v>
      </c>
      <c r="C1133" s="1" t="s">
        <v>29</v>
      </c>
      <c r="D1133" s="1" t="s">
        <v>16</v>
      </c>
      <c r="E1133" s="1" t="s">
        <v>25</v>
      </c>
      <c r="F1133" s="1" t="s">
        <v>22</v>
      </c>
      <c r="G1133" s="1">
        <v>2540</v>
      </c>
      <c r="H1133" s="1">
        <v>7315</v>
      </c>
      <c r="I1133" s="1">
        <v>191</v>
      </c>
      <c r="J1133" s="1">
        <v>120</v>
      </c>
      <c r="K1133" s="1">
        <v>1</v>
      </c>
      <c r="L1133" s="1" t="s">
        <v>19</v>
      </c>
      <c r="M1133" s="1">
        <f>Table1[[#This Row],[ApplicantIncome]]+Table1[[#This Row],[CoapplicantIncome]]</f>
        <v>9855</v>
      </c>
      <c r="N1133" s="1" t="s">
        <v>26</v>
      </c>
      <c r="O1133" s="1" t="str">
        <f>IF(Table1[[#This Row],[Total_Income]]&lt;3000,"Low",IF(Table1[[#This Row],[Total_Income]]&lt;7000,"Medium","High"))</f>
        <v>High</v>
      </c>
      <c r="P1133" s="1" t="str">
        <f t="shared" si="51"/>
        <v>Rejected</v>
      </c>
      <c r="Q1133" s="1" t="str">
        <f t="shared" si="52"/>
        <v>Low Risk</v>
      </c>
      <c r="R1133" s="2">
        <f t="shared" si="53"/>
        <v>2317.3570521873171</v>
      </c>
    </row>
    <row r="1134" spans="1:18" s="1" customFormat="1" ht="11.5" x14ac:dyDescent="0.25">
      <c r="A1134" s="1" t="s">
        <v>1165</v>
      </c>
      <c r="B1134" s="1" t="s">
        <v>1238</v>
      </c>
      <c r="C1134" s="1" t="s">
        <v>22</v>
      </c>
      <c r="D1134" s="1" t="s">
        <v>16</v>
      </c>
      <c r="E1134" s="1" t="s">
        <v>17</v>
      </c>
      <c r="F1134" s="1" t="s">
        <v>22</v>
      </c>
      <c r="G1134" s="1">
        <v>4479</v>
      </c>
      <c r="H1134" s="1">
        <v>3546</v>
      </c>
      <c r="I1134" s="1">
        <v>315</v>
      </c>
      <c r="J1134" s="1">
        <v>360</v>
      </c>
      <c r="K1134" s="1">
        <v>1</v>
      </c>
      <c r="L1134" s="1" t="s">
        <v>30</v>
      </c>
      <c r="M1134" s="1">
        <f>Table1[[#This Row],[ApplicantIncome]]+Table1[[#This Row],[CoapplicantIncome]]</f>
        <v>8025</v>
      </c>
      <c r="N1134" s="1" t="s">
        <v>20</v>
      </c>
      <c r="O1134" s="1" t="str">
        <f>IF(Table1[[#This Row],[Total_Income]]&lt;3000,"Low",IF(Table1[[#This Row],[Total_Income]]&lt;7000,"Medium","High"))</f>
        <v>High</v>
      </c>
      <c r="P1134" s="1" t="str">
        <f t="shared" si="51"/>
        <v>Approved</v>
      </c>
      <c r="Q1134" s="1" t="str">
        <f t="shared" si="52"/>
        <v>Low Risk</v>
      </c>
      <c r="R1134" s="2">
        <f t="shared" si="53"/>
        <v>2311.3584077200348</v>
      </c>
    </row>
    <row r="1135" spans="1:18" s="1" customFormat="1" ht="11.5" x14ac:dyDescent="0.25">
      <c r="A1135" s="1" t="s">
        <v>1166</v>
      </c>
      <c r="B1135" s="1" t="s">
        <v>1238</v>
      </c>
      <c r="C1135" s="1" t="s">
        <v>29</v>
      </c>
      <c r="D1135" s="1">
        <v>0</v>
      </c>
      <c r="E1135" s="1" t="s">
        <v>25</v>
      </c>
      <c r="F1135" s="1" t="s">
        <v>22</v>
      </c>
      <c r="G1135" s="1">
        <v>1936</v>
      </c>
      <c r="H1135" s="1">
        <v>1471</v>
      </c>
      <c r="I1135" s="1">
        <v>494</v>
      </c>
      <c r="J1135" s="1">
        <v>360</v>
      </c>
      <c r="K1135" s="1">
        <v>0</v>
      </c>
      <c r="L1135" s="1" t="s">
        <v>19</v>
      </c>
      <c r="M1135" s="1">
        <f>Table1[[#This Row],[ApplicantIncome]]+Table1[[#This Row],[CoapplicantIncome]]</f>
        <v>3407</v>
      </c>
      <c r="N1135" s="1" t="s">
        <v>20</v>
      </c>
      <c r="O1135" s="1" t="str">
        <f>IF(Table1[[#This Row],[Total_Income]]&lt;3000,"Low",IF(Table1[[#This Row],[Total_Income]]&lt;7000,"Medium","High"))</f>
        <v>Medium</v>
      </c>
      <c r="P1135" s="1" t="str">
        <f t="shared" si="51"/>
        <v>Approved</v>
      </c>
      <c r="Q1135" s="1" t="str">
        <f t="shared" si="52"/>
        <v>High Risk</v>
      </c>
      <c r="R1135" s="2">
        <f t="shared" si="53"/>
        <v>3624.7969949641183</v>
      </c>
    </row>
    <row r="1136" spans="1:18" s="1" customFormat="1" ht="11.5" x14ac:dyDescent="0.25">
      <c r="A1136" s="1" t="s">
        <v>1167</v>
      </c>
      <c r="B1136" s="1" t="s">
        <v>1238</v>
      </c>
      <c r="C1136" s="1" t="s">
        <v>22</v>
      </c>
      <c r="D1136" s="1" t="s">
        <v>16</v>
      </c>
      <c r="E1136" s="1" t="s">
        <v>25</v>
      </c>
      <c r="F1136" s="1" t="s">
        <v>22</v>
      </c>
      <c r="G1136" s="1">
        <v>8942</v>
      </c>
      <c r="H1136" s="1">
        <v>3552</v>
      </c>
      <c r="I1136" s="1">
        <v>377</v>
      </c>
      <c r="J1136" s="1">
        <v>360</v>
      </c>
      <c r="K1136" s="1">
        <v>1</v>
      </c>
      <c r="L1136" s="1" t="s">
        <v>19</v>
      </c>
      <c r="M1136" s="1">
        <f>Table1[[#This Row],[ApplicantIncome]]+Table1[[#This Row],[CoapplicantIncome]]</f>
        <v>12494</v>
      </c>
      <c r="N1136" s="1" t="s">
        <v>20</v>
      </c>
      <c r="O1136" s="1" t="str">
        <f>IF(Table1[[#This Row],[Total_Income]]&lt;3000,"Low",IF(Table1[[#This Row],[Total_Income]]&lt;7000,"Medium","High"))</f>
        <v>High</v>
      </c>
      <c r="P1136" s="1" t="str">
        <f t="shared" si="51"/>
        <v>Approved</v>
      </c>
      <c r="Q1136" s="1" t="str">
        <f t="shared" si="52"/>
        <v>Low Risk</v>
      </c>
      <c r="R1136" s="2">
        <f t="shared" si="53"/>
        <v>2766.292443525248</v>
      </c>
    </row>
    <row r="1137" spans="1:18" s="1" customFormat="1" ht="11.5" x14ac:dyDescent="0.25">
      <c r="A1137" s="1" t="s">
        <v>1168</v>
      </c>
      <c r="B1137" s="1" t="s">
        <v>1238</v>
      </c>
      <c r="C1137" s="1" t="s">
        <v>22</v>
      </c>
      <c r="D1137" s="1">
        <v>1</v>
      </c>
      <c r="E1137" s="1" t="s">
        <v>17</v>
      </c>
      <c r="F1137" s="1" t="s">
        <v>29</v>
      </c>
      <c r="G1137" s="1">
        <v>19949</v>
      </c>
      <c r="H1137" s="1">
        <v>9742</v>
      </c>
      <c r="I1137" s="1">
        <v>374</v>
      </c>
      <c r="J1137" s="1">
        <v>180</v>
      </c>
      <c r="K1137" s="1">
        <v>0</v>
      </c>
      <c r="L1137" s="1" t="s">
        <v>19</v>
      </c>
      <c r="M1137" s="1">
        <f>Table1[[#This Row],[ApplicantIncome]]+Table1[[#This Row],[CoapplicantIncome]]</f>
        <v>29691</v>
      </c>
      <c r="N1137" s="1" t="s">
        <v>20</v>
      </c>
      <c r="O1137" s="1" t="str">
        <f>IF(Table1[[#This Row],[Total_Income]]&lt;3000,"Low",IF(Table1[[#This Row],[Total_Income]]&lt;7000,"Medium","High"))</f>
        <v>High</v>
      </c>
      <c r="P1137" s="1" t="str">
        <f t="shared" si="51"/>
        <v>Approved</v>
      </c>
      <c r="Q1137" s="1" t="str">
        <f t="shared" si="52"/>
        <v>High Risk</v>
      </c>
      <c r="R1137" s="2">
        <f t="shared" si="53"/>
        <v>3574.1387953955145</v>
      </c>
    </row>
    <row r="1138" spans="1:18" s="1" customFormat="1" ht="11.5" x14ac:dyDescent="0.25">
      <c r="A1138" s="1" t="s">
        <v>1169</v>
      </c>
      <c r="B1138" s="1" t="s">
        <v>52</v>
      </c>
      <c r="C1138" s="1" t="s">
        <v>22</v>
      </c>
      <c r="D1138" s="1" t="s">
        <v>16</v>
      </c>
      <c r="E1138" s="1" t="s">
        <v>25</v>
      </c>
      <c r="F1138" s="1" t="s">
        <v>22</v>
      </c>
      <c r="G1138" s="1">
        <v>7185</v>
      </c>
      <c r="H1138" s="1">
        <v>7942</v>
      </c>
      <c r="I1138" s="1">
        <v>670</v>
      </c>
      <c r="J1138" s="1">
        <v>120</v>
      </c>
      <c r="K1138" s="1">
        <v>0</v>
      </c>
      <c r="L1138" s="1" t="s">
        <v>41</v>
      </c>
      <c r="M1138" s="1">
        <f>Table1[[#This Row],[ApplicantIncome]]+Table1[[#This Row],[CoapplicantIncome]]</f>
        <v>15127</v>
      </c>
      <c r="N1138" s="1" t="s">
        <v>26</v>
      </c>
      <c r="O1138" s="1" t="str">
        <f>IF(Table1[[#This Row],[Total_Income]]&lt;3000,"Low",IF(Table1[[#This Row],[Total_Income]]&lt;7000,"Medium","High"))</f>
        <v>High</v>
      </c>
      <c r="P1138" s="1" t="str">
        <f t="shared" si="51"/>
        <v>Rejected</v>
      </c>
      <c r="Q1138" s="1" t="str">
        <f t="shared" si="52"/>
        <v>High Risk</v>
      </c>
      <c r="R1138" s="2">
        <f t="shared" si="53"/>
        <v>8128.9488218089136</v>
      </c>
    </row>
    <row r="1139" spans="1:18" s="1" customFormat="1" ht="11.5" x14ac:dyDescent="0.25">
      <c r="A1139" s="1" t="s">
        <v>1170</v>
      </c>
      <c r="B1139" s="1" t="s">
        <v>52</v>
      </c>
      <c r="C1139" s="1" t="s">
        <v>29</v>
      </c>
      <c r="D1139" s="1">
        <v>0</v>
      </c>
      <c r="E1139" s="1" t="s">
        <v>17</v>
      </c>
      <c r="F1139" s="1" t="s">
        <v>22</v>
      </c>
      <c r="G1139" s="1">
        <v>5650</v>
      </c>
      <c r="H1139" s="1">
        <v>9605</v>
      </c>
      <c r="I1139" s="1">
        <v>629</v>
      </c>
      <c r="J1139" s="1">
        <v>360</v>
      </c>
      <c r="K1139" s="1">
        <v>1</v>
      </c>
      <c r="L1139" s="1" t="s">
        <v>19</v>
      </c>
      <c r="M1139" s="1">
        <f>Table1[[#This Row],[ApplicantIncome]]+Table1[[#This Row],[CoapplicantIncome]]</f>
        <v>15255</v>
      </c>
      <c r="N1139" s="1" t="s">
        <v>20</v>
      </c>
      <c r="O1139" s="1" t="str">
        <f>IF(Table1[[#This Row],[Total_Income]]&lt;3000,"Low",IF(Table1[[#This Row],[Total_Income]]&lt;7000,"Medium","High"))</f>
        <v>High</v>
      </c>
      <c r="P1139" s="1" t="str">
        <f t="shared" si="51"/>
        <v>Approved</v>
      </c>
      <c r="Q1139" s="1" t="str">
        <f t="shared" si="52"/>
        <v>Low Risk</v>
      </c>
      <c r="R1139" s="2">
        <f t="shared" si="53"/>
        <v>4615.3791697012757</v>
      </c>
    </row>
    <row r="1140" spans="1:18" s="1" customFormat="1" ht="11.5" x14ac:dyDescent="0.25">
      <c r="A1140" s="1" t="s">
        <v>1171</v>
      </c>
      <c r="B1140" s="1" t="s">
        <v>52</v>
      </c>
      <c r="C1140" s="1" t="s">
        <v>22</v>
      </c>
      <c r="D1140" s="1">
        <v>2</v>
      </c>
      <c r="E1140" s="1" t="s">
        <v>25</v>
      </c>
      <c r="F1140" s="1" t="s">
        <v>29</v>
      </c>
      <c r="G1140" s="1">
        <v>7945</v>
      </c>
      <c r="H1140" s="1">
        <v>1138</v>
      </c>
      <c r="I1140" s="1">
        <v>351</v>
      </c>
      <c r="J1140" s="1">
        <v>360</v>
      </c>
      <c r="K1140" s="1">
        <v>0</v>
      </c>
      <c r="L1140" s="1" t="s">
        <v>30</v>
      </c>
      <c r="M1140" s="1">
        <f>Table1[[#This Row],[ApplicantIncome]]+Table1[[#This Row],[CoapplicantIncome]]</f>
        <v>9083</v>
      </c>
      <c r="N1140" s="1" t="s">
        <v>26</v>
      </c>
      <c r="O1140" s="1" t="str">
        <f>IF(Table1[[#This Row],[Total_Income]]&lt;3000,"Low",IF(Table1[[#This Row],[Total_Income]]&lt;7000,"Medium","High"))</f>
        <v>High</v>
      </c>
      <c r="P1140" s="1" t="str">
        <f t="shared" si="51"/>
        <v>Rejected</v>
      </c>
      <c r="Q1140" s="1" t="str">
        <f t="shared" si="52"/>
        <v>High Risk</v>
      </c>
      <c r="R1140" s="2">
        <f t="shared" si="53"/>
        <v>2575.5136543166104</v>
      </c>
    </row>
    <row r="1141" spans="1:18" s="1" customFormat="1" ht="11.5" x14ac:dyDescent="0.25">
      <c r="A1141" s="1" t="s">
        <v>1172</v>
      </c>
      <c r="B1141" s="1" t="s">
        <v>1238</v>
      </c>
      <c r="C1141" s="1" t="s">
        <v>22</v>
      </c>
      <c r="D1141" s="1">
        <v>0</v>
      </c>
      <c r="E1141" s="1" t="s">
        <v>25</v>
      </c>
      <c r="F1141" s="1" t="s">
        <v>22</v>
      </c>
      <c r="G1141" s="1">
        <v>7061</v>
      </c>
      <c r="H1141" s="1">
        <v>1730</v>
      </c>
      <c r="I1141" s="1">
        <v>302</v>
      </c>
      <c r="J1141" s="1">
        <v>360</v>
      </c>
      <c r="K1141" s="1">
        <v>0</v>
      </c>
      <c r="L1141" s="1" t="s">
        <v>30</v>
      </c>
      <c r="M1141" s="1">
        <f>Table1[[#This Row],[ApplicantIncome]]+Table1[[#This Row],[CoapplicantIncome]]</f>
        <v>8791</v>
      </c>
      <c r="N1141" s="1" t="s">
        <v>26</v>
      </c>
      <c r="O1141" s="1" t="str">
        <f>IF(Table1[[#This Row],[Total_Income]]&lt;3000,"Low",IF(Table1[[#This Row],[Total_Income]]&lt;7000,"Medium","High"))</f>
        <v>High</v>
      </c>
      <c r="P1141" s="1" t="str">
        <f t="shared" si="51"/>
        <v>Rejected</v>
      </c>
      <c r="Q1141" s="1" t="str">
        <f t="shared" si="52"/>
        <v>High Risk</v>
      </c>
      <c r="R1141" s="2">
        <f t="shared" si="53"/>
        <v>2215.9690131157163</v>
      </c>
    </row>
    <row r="1142" spans="1:18" s="1" customFormat="1" ht="11.5" x14ac:dyDescent="0.25">
      <c r="A1142" s="1" t="s">
        <v>1173</v>
      </c>
      <c r="B1142" s="1" t="s">
        <v>1238</v>
      </c>
      <c r="C1142" s="1" t="s">
        <v>22</v>
      </c>
      <c r="D1142" s="1">
        <v>0</v>
      </c>
      <c r="E1142" s="1" t="s">
        <v>17</v>
      </c>
      <c r="F1142" s="1" t="s">
        <v>22</v>
      </c>
      <c r="G1142" s="1">
        <v>8704</v>
      </c>
      <c r="H1142" s="1">
        <v>9483</v>
      </c>
      <c r="I1142" s="1">
        <v>533</v>
      </c>
      <c r="J1142" s="1">
        <v>180</v>
      </c>
      <c r="K1142" s="1">
        <v>0</v>
      </c>
      <c r="L1142" s="1" t="s">
        <v>19</v>
      </c>
      <c r="M1142" s="1">
        <f>Table1[[#This Row],[ApplicantIncome]]+Table1[[#This Row],[CoapplicantIncome]]</f>
        <v>18187</v>
      </c>
      <c r="N1142" s="1" t="s">
        <v>20</v>
      </c>
      <c r="O1142" s="1" t="str">
        <f>IF(Table1[[#This Row],[Total_Income]]&lt;3000,"Low",IF(Table1[[#This Row],[Total_Income]]&lt;7000,"Medium","High"))</f>
        <v>High</v>
      </c>
      <c r="P1142" s="1" t="str">
        <f t="shared" si="51"/>
        <v>Approved</v>
      </c>
      <c r="Q1142" s="1" t="str">
        <f t="shared" si="52"/>
        <v>High Risk</v>
      </c>
      <c r="R1142" s="2">
        <f t="shared" si="53"/>
        <v>5093.6256094807732</v>
      </c>
    </row>
    <row r="1143" spans="1:18" s="1" customFormat="1" ht="11.5" x14ac:dyDescent="0.25">
      <c r="A1143" s="1" t="s">
        <v>1174</v>
      </c>
      <c r="B1143" s="1" t="s">
        <v>52</v>
      </c>
      <c r="C1143" s="1" t="s">
        <v>22</v>
      </c>
      <c r="D1143" s="1">
        <v>1</v>
      </c>
      <c r="E1143" s="1" t="s">
        <v>25</v>
      </c>
      <c r="F1143" s="1" t="s">
        <v>29</v>
      </c>
      <c r="G1143" s="1">
        <v>14407</v>
      </c>
      <c r="H1143" s="1">
        <v>8535</v>
      </c>
      <c r="I1143" s="1">
        <v>561</v>
      </c>
      <c r="J1143" s="1">
        <v>180</v>
      </c>
      <c r="K1143" s="1">
        <v>0</v>
      </c>
      <c r="L1143" s="1" t="s">
        <v>30</v>
      </c>
      <c r="M1143" s="1">
        <f>Table1[[#This Row],[ApplicantIncome]]+Table1[[#This Row],[CoapplicantIncome]]</f>
        <v>22942</v>
      </c>
      <c r="N1143" s="1" t="s">
        <v>26</v>
      </c>
      <c r="O1143" s="1" t="str">
        <f>IF(Table1[[#This Row],[Total_Income]]&lt;3000,"Low",IF(Table1[[#This Row],[Total_Income]]&lt;7000,"Medium","High"))</f>
        <v>High</v>
      </c>
      <c r="P1143" s="1" t="str">
        <f t="shared" si="51"/>
        <v>Rejected</v>
      </c>
      <c r="Q1143" s="1" t="str">
        <f t="shared" si="52"/>
        <v>High Risk</v>
      </c>
      <c r="R1143" s="2">
        <f t="shared" si="53"/>
        <v>5361.2081930932718</v>
      </c>
    </row>
    <row r="1144" spans="1:18" s="1" customFormat="1" ht="11.5" x14ac:dyDescent="0.25">
      <c r="A1144" s="1" t="s">
        <v>1175</v>
      </c>
      <c r="B1144" s="1" t="s">
        <v>1238</v>
      </c>
      <c r="C1144" s="1" t="s">
        <v>29</v>
      </c>
      <c r="D1144" s="1">
        <v>2</v>
      </c>
      <c r="E1144" s="1" t="s">
        <v>25</v>
      </c>
      <c r="F1144" s="1" t="s">
        <v>29</v>
      </c>
      <c r="G1144" s="1">
        <v>13640</v>
      </c>
      <c r="H1144" s="1">
        <v>9366</v>
      </c>
      <c r="I1144" s="1">
        <v>259</v>
      </c>
      <c r="J1144" s="1">
        <v>360</v>
      </c>
      <c r="K1144" s="1">
        <v>0</v>
      </c>
      <c r="L1144" s="1" t="s">
        <v>19</v>
      </c>
      <c r="M1144" s="1">
        <f>Table1[[#This Row],[ApplicantIncome]]+Table1[[#This Row],[CoapplicantIncome]]</f>
        <v>23006</v>
      </c>
      <c r="N1144" s="1" t="s">
        <v>20</v>
      </c>
      <c r="O1144" s="1" t="str">
        <f>IF(Table1[[#This Row],[Total_Income]]&lt;3000,"Low",IF(Table1[[#This Row],[Total_Income]]&lt;7000,"Medium","High"))</f>
        <v>High</v>
      </c>
      <c r="P1144" s="1" t="str">
        <f t="shared" si="51"/>
        <v>Approved</v>
      </c>
      <c r="Q1144" s="1" t="str">
        <f t="shared" si="52"/>
        <v>High Risk</v>
      </c>
      <c r="R1144" s="2">
        <f t="shared" si="53"/>
        <v>1900.4502463475844</v>
      </c>
    </row>
    <row r="1145" spans="1:18" s="1" customFormat="1" ht="11.5" x14ac:dyDescent="0.25">
      <c r="A1145" s="1" t="s">
        <v>1176</v>
      </c>
      <c r="B1145" s="1" t="s">
        <v>52</v>
      </c>
      <c r="C1145" s="1" t="s">
        <v>22</v>
      </c>
      <c r="D1145" s="1">
        <v>2</v>
      </c>
      <c r="E1145" s="1" t="s">
        <v>17</v>
      </c>
      <c r="F1145" s="1" t="s">
        <v>22</v>
      </c>
      <c r="G1145" s="1">
        <v>5841</v>
      </c>
      <c r="H1145" s="1">
        <v>1141</v>
      </c>
      <c r="I1145" s="1">
        <v>107</v>
      </c>
      <c r="J1145" s="1">
        <v>360</v>
      </c>
      <c r="K1145" s="1">
        <v>0</v>
      </c>
      <c r="L1145" s="1" t="s">
        <v>41</v>
      </c>
      <c r="M1145" s="1">
        <f>Table1[[#This Row],[ApplicantIncome]]+Table1[[#This Row],[CoapplicantIncome]]</f>
        <v>6982</v>
      </c>
      <c r="N1145" s="1" t="s">
        <v>26</v>
      </c>
      <c r="O1145" s="1" t="str">
        <f>IF(Table1[[#This Row],[Total_Income]]&lt;3000,"Low",IF(Table1[[#This Row],[Total_Income]]&lt;7000,"Medium","High"))</f>
        <v>Medium</v>
      </c>
      <c r="P1145" s="1" t="str">
        <f t="shared" si="51"/>
        <v>Rejected</v>
      </c>
      <c r="Q1145" s="1" t="str">
        <f t="shared" si="52"/>
        <v>High Risk</v>
      </c>
      <c r="R1145" s="2">
        <f t="shared" si="53"/>
        <v>785.12809405093253</v>
      </c>
    </row>
    <row r="1146" spans="1:18" s="1" customFormat="1" ht="11.5" x14ac:dyDescent="0.25">
      <c r="A1146" s="1" t="s">
        <v>1177</v>
      </c>
      <c r="B1146" s="1" t="s">
        <v>52</v>
      </c>
      <c r="C1146" s="1" t="s">
        <v>22</v>
      </c>
      <c r="D1146" s="1">
        <v>0</v>
      </c>
      <c r="E1146" s="1" t="s">
        <v>17</v>
      </c>
      <c r="F1146" s="1" t="s">
        <v>22</v>
      </c>
      <c r="G1146" s="1">
        <v>18934</v>
      </c>
      <c r="H1146" s="1">
        <v>4649</v>
      </c>
      <c r="I1146" s="1">
        <v>545</v>
      </c>
      <c r="J1146" s="1">
        <v>360</v>
      </c>
      <c r="K1146" s="1">
        <v>1</v>
      </c>
      <c r="L1146" s="1" t="s">
        <v>41</v>
      </c>
      <c r="M1146" s="1">
        <f>Table1[[#This Row],[ApplicantIncome]]+Table1[[#This Row],[CoapplicantIncome]]</f>
        <v>23583</v>
      </c>
      <c r="N1146" s="1" t="s">
        <v>26</v>
      </c>
      <c r="O1146" s="1" t="str">
        <f>IF(Table1[[#This Row],[Total_Income]]&lt;3000,"Low",IF(Table1[[#This Row],[Total_Income]]&lt;7000,"Medium","High"))</f>
        <v>High</v>
      </c>
      <c r="P1146" s="1" t="str">
        <f t="shared" si="51"/>
        <v>Rejected</v>
      </c>
      <c r="Q1146" s="1" t="str">
        <f t="shared" si="52"/>
        <v>Low Risk</v>
      </c>
      <c r="R1146" s="2">
        <f t="shared" si="53"/>
        <v>3999.0169276426004</v>
      </c>
    </row>
    <row r="1147" spans="1:18" s="1" customFormat="1" ht="11.5" x14ac:dyDescent="0.25">
      <c r="A1147" s="1" t="s">
        <v>1178</v>
      </c>
      <c r="B1147" s="1" t="s">
        <v>28</v>
      </c>
      <c r="C1147" s="1" t="s">
        <v>29</v>
      </c>
      <c r="D1147" s="1">
        <v>1</v>
      </c>
      <c r="E1147" s="1" t="s">
        <v>17</v>
      </c>
      <c r="F1147" s="1" t="s">
        <v>22</v>
      </c>
      <c r="G1147" s="1">
        <v>3068</v>
      </c>
      <c r="H1147" s="1">
        <v>4751</v>
      </c>
      <c r="I1147" s="1">
        <v>335</v>
      </c>
      <c r="J1147" s="1">
        <v>120</v>
      </c>
      <c r="K1147" s="1">
        <v>0</v>
      </c>
      <c r="L1147" s="1" t="s">
        <v>19</v>
      </c>
      <c r="M1147" s="1">
        <f>Table1[[#This Row],[ApplicantIncome]]+Table1[[#This Row],[CoapplicantIncome]]</f>
        <v>7819</v>
      </c>
      <c r="N1147" s="1" t="s">
        <v>20</v>
      </c>
      <c r="O1147" s="1" t="str">
        <f>IF(Table1[[#This Row],[Total_Income]]&lt;3000,"Low",IF(Table1[[#This Row],[Total_Income]]&lt;7000,"Medium","High"))</f>
        <v>High</v>
      </c>
      <c r="P1147" s="1" t="str">
        <f t="shared" si="51"/>
        <v>Approved</v>
      </c>
      <c r="Q1147" s="1" t="str">
        <f t="shared" si="52"/>
        <v>High Risk</v>
      </c>
      <c r="R1147" s="2">
        <f t="shared" si="53"/>
        <v>4064.4744109044568</v>
      </c>
    </row>
    <row r="1148" spans="1:18" s="1" customFormat="1" ht="11.5" x14ac:dyDescent="0.25">
      <c r="A1148" s="1" t="s">
        <v>1179</v>
      </c>
      <c r="B1148" s="1" t="s">
        <v>28</v>
      </c>
      <c r="C1148" s="1" t="s">
        <v>29</v>
      </c>
      <c r="D1148" s="1">
        <v>1</v>
      </c>
      <c r="E1148" s="1" t="s">
        <v>25</v>
      </c>
      <c r="F1148" s="1" t="s">
        <v>29</v>
      </c>
      <c r="G1148" s="1">
        <v>3284</v>
      </c>
      <c r="H1148" s="1">
        <v>8235</v>
      </c>
      <c r="I1148" s="1">
        <v>580</v>
      </c>
      <c r="J1148" s="1">
        <v>360</v>
      </c>
      <c r="K1148" s="1">
        <v>0</v>
      </c>
      <c r="L1148" s="1" t="s">
        <v>41</v>
      </c>
      <c r="M1148" s="1">
        <f>Table1[[#This Row],[ApplicantIncome]]+Table1[[#This Row],[CoapplicantIncome]]</f>
        <v>11519</v>
      </c>
      <c r="N1148" s="1" t="s">
        <v>20</v>
      </c>
      <c r="O1148" s="1" t="str">
        <f>IF(Table1[[#This Row],[Total_Income]]&lt;3000,"Low",IF(Table1[[#This Row],[Total_Income]]&lt;7000,"Medium","High"))</f>
        <v>High</v>
      </c>
      <c r="P1148" s="1" t="str">
        <f t="shared" si="51"/>
        <v>Approved</v>
      </c>
      <c r="Q1148" s="1" t="str">
        <f t="shared" si="52"/>
        <v>High Risk</v>
      </c>
      <c r="R1148" s="2">
        <f t="shared" si="53"/>
        <v>4255.8345285003825</v>
      </c>
    </row>
    <row r="1149" spans="1:18" s="1" customFormat="1" ht="11.5" x14ac:dyDescent="0.25">
      <c r="A1149" s="1" t="s">
        <v>1180</v>
      </c>
      <c r="B1149" s="1" t="s">
        <v>1238</v>
      </c>
      <c r="C1149" s="1" t="s">
        <v>29</v>
      </c>
      <c r="D1149" s="1">
        <v>0</v>
      </c>
      <c r="E1149" s="1" t="s">
        <v>25</v>
      </c>
      <c r="F1149" s="1" t="s">
        <v>29</v>
      </c>
      <c r="G1149" s="1">
        <v>4997</v>
      </c>
      <c r="H1149" s="1">
        <v>7384</v>
      </c>
      <c r="I1149" s="1">
        <v>661</v>
      </c>
      <c r="J1149" s="1">
        <v>360</v>
      </c>
      <c r="K1149" s="1">
        <v>0</v>
      </c>
      <c r="L1149" s="1" t="s">
        <v>30</v>
      </c>
      <c r="M1149" s="1">
        <f>Table1[[#This Row],[ApplicantIncome]]+Table1[[#This Row],[CoapplicantIncome]]</f>
        <v>12381</v>
      </c>
      <c r="N1149" s="1" t="s">
        <v>20</v>
      </c>
      <c r="O1149" s="1" t="str">
        <f>IF(Table1[[#This Row],[Total_Income]]&lt;3000,"Low",IF(Table1[[#This Row],[Total_Income]]&lt;7000,"Medium","High"))</f>
        <v>High</v>
      </c>
      <c r="P1149" s="1" t="str">
        <f t="shared" si="51"/>
        <v>Approved</v>
      </c>
      <c r="Q1149" s="1" t="str">
        <f t="shared" si="52"/>
        <v>High Risk</v>
      </c>
      <c r="R1149" s="2">
        <f t="shared" si="53"/>
        <v>4850.1838333426767</v>
      </c>
    </row>
    <row r="1150" spans="1:18" s="1" customFormat="1" ht="11.5" x14ac:dyDescent="0.25">
      <c r="A1150" s="1" t="s">
        <v>1181</v>
      </c>
      <c r="B1150" s="1" t="s">
        <v>52</v>
      </c>
      <c r="C1150" s="1" t="s">
        <v>22</v>
      </c>
      <c r="D1150" s="1">
        <v>0</v>
      </c>
      <c r="E1150" s="1" t="s">
        <v>25</v>
      </c>
      <c r="F1150" s="1" t="s">
        <v>29</v>
      </c>
      <c r="G1150" s="1">
        <v>9410</v>
      </c>
      <c r="H1150" s="1">
        <v>1326</v>
      </c>
      <c r="I1150" s="1">
        <v>647</v>
      </c>
      <c r="J1150" s="1">
        <v>180</v>
      </c>
      <c r="K1150" s="1">
        <v>1</v>
      </c>
      <c r="L1150" s="1" t="s">
        <v>41</v>
      </c>
      <c r="M1150" s="1">
        <f>Table1[[#This Row],[ApplicantIncome]]+Table1[[#This Row],[CoapplicantIncome]]</f>
        <v>10736</v>
      </c>
      <c r="N1150" s="1" t="s">
        <v>26</v>
      </c>
      <c r="O1150" s="1" t="str">
        <f>IF(Table1[[#This Row],[Total_Income]]&lt;3000,"Low",IF(Table1[[#This Row],[Total_Income]]&lt;7000,"Medium","High"))</f>
        <v>High</v>
      </c>
      <c r="P1150" s="1" t="str">
        <f t="shared" si="51"/>
        <v>Rejected</v>
      </c>
      <c r="Q1150" s="1" t="str">
        <f t="shared" si="52"/>
        <v>Low Risk</v>
      </c>
      <c r="R1150" s="2">
        <f t="shared" si="53"/>
        <v>6183.068985617374</v>
      </c>
    </row>
    <row r="1151" spans="1:18" s="1" customFormat="1" ht="11.5" x14ac:dyDescent="0.25">
      <c r="A1151" s="1" t="s">
        <v>1182</v>
      </c>
      <c r="B1151" s="1" t="s">
        <v>52</v>
      </c>
      <c r="C1151" s="1" t="s">
        <v>29</v>
      </c>
      <c r="D1151" s="1">
        <v>0</v>
      </c>
      <c r="E1151" s="1" t="s">
        <v>25</v>
      </c>
      <c r="F1151" s="1" t="s">
        <v>22</v>
      </c>
      <c r="G1151" s="1">
        <v>10611</v>
      </c>
      <c r="H1151" s="1">
        <v>3249</v>
      </c>
      <c r="I1151" s="1">
        <v>676</v>
      </c>
      <c r="J1151" s="1">
        <v>120</v>
      </c>
      <c r="K1151" s="1">
        <v>1</v>
      </c>
      <c r="L1151" s="1" t="s">
        <v>30</v>
      </c>
      <c r="M1151" s="1">
        <f>Table1[[#This Row],[ApplicantIncome]]+Table1[[#This Row],[CoapplicantIncome]]</f>
        <v>13860</v>
      </c>
      <c r="N1151" s="1" t="s">
        <v>20</v>
      </c>
      <c r="O1151" s="1" t="str">
        <f>IF(Table1[[#This Row],[Total_Income]]&lt;3000,"Low",IF(Table1[[#This Row],[Total_Income]]&lt;7000,"Medium","High"))</f>
        <v>High</v>
      </c>
      <c r="P1151" s="1" t="str">
        <f t="shared" si="51"/>
        <v>Approved</v>
      </c>
      <c r="Q1151" s="1" t="str">
        <f t="shared" si="52"/>
        <v>Low Risk</v>
      </c>
      <c r="R1151" s="2">
        <f t="shared" si="53"/>
        <v>8201.745378422127</v>
      </c>
    </row>
    <row r="1152" spans="1:18" s="1" customFormat="1" ht="11.5" x14ac:dyDescent="0.25">
      <c r="A1152" s="1" t="s">
        <v>1183</v>
      </c>
      <c r="B1152" s="1" t="s">
        <v>52</v>
      </c>
      <c r="C1152" s="1" t="s">
        <v>29</v>
      </c>
      <c r="D1152" s="1">
        <v>0</v>
      </c>
      <c r="E1152" s="1" t="s">
        <v>17</v>
      </c>
      <c r="F1152" s="1" t="s">
        <v>22</v>
      </c>
      <c r="G1152" s="1">
        <v>12664</v>
      </c>
      <c r="H1152" s="1">
        <v>5890</v>
      </c>
      <c r="I1152" s="1">
        <v>135</v>
      </c>
      <c r="J1152" s="1">
        <v>180</v>
      </c>
      <c r="K1152" s="1">
        <v>0</v>
      </c>
      <c r="L1152" s="1" t="s">
        <v>19</v>
      </c>
      <c r="M1152" s="1">
        <f>Table1[[#This Row],[ApplicantIncome]]+Table1[[#This Row],[CoapplicantIncome]]</f>
        <v>18554</v>
      </c>
      <c r="N1152" s="1" t="s">
        <v>20</v>
      </c>
      <c r="O1152" s="1" t="str">
        <f>IF(Table1[[#This Row],[Total_Income]]&lt;3000,"Low",IF(Table1[[#This Row],[Total_Income]]&lt;7000,"Medium","High"))</f>
        <v>High</v>
      </c>
      <c r="P1152" s="1" t="str">
        <f t="shared" si="51"/>
        <v>Approved</v>
      </c>
      <c r="Q1152" s="1" t="str">
        <f t="shared" si="52"/>
        <v>High Risk</v>
      </c>
      <c r="R1152" s="2">
        <f t="shared" si="53"/>
        <v>1290.1303138459743</v>
      </c>
    </row>
    <row r="1153" spans="1:18" s="1" customFormat="1" ht="11.5" x14ac:dyDescent="0.25">
      <c r="A1153" s="1" t="s">
        <v>1184</v>
      </c>
      <c r="B1153" s="1" t="s">
        <v>52</v>
      </c>
      <c r="C1153" s="1" t="s">
        <v>22</v>
      </c>
      <c r="D1153" s="1">
        <v>0</v>
      </c>
      <c r="E1153" s="1" t="s">
        <v>25</v>
      </c>
      <c r="F1153" s="1" t="s">
        <v>22</v>
      </c>
      <c r="G1153" s="1">
        <v>19813</v>
      </c>
      <c r="H1153" s="1">
        <v>2097</v>
      </c>
      <c r="I1153" s="1">
        <v>476</v>
      </c>
      <c r="J1153" s="1">
        <v>360</v>
      </c>
      <c r="K1153" s="1">
        <v>0</v>
      </c>
      <c r="L1153" s="1" t="s">
        <v>19</v>
      </c>
      <c r="M1153" s="1">
        <f>Table1[[#This Row],[ApplicantIncome]]+Table1[[#This Row],[CoapplicantIncome]]</f>
        <v>21910</v>
      </c>
      <c r="N1153" s="1" t="s">
        <v>20</v>
      </c>
      <c r="O1153" s="1" t="str">
        <f>IF(Table1[[#This Row],[Total_Income]]&lt;3000,"Low",IF(Table1[[#This Row],[Total_Income]]&lt;7000,"Medium","High"))</f>
        <v>High</v>
      </c>
      <c r="P1153" s="1" t="str">
        <f t="shared" si="51"/>
        <v>Approved</v>
      </c>
      <c r="Q1153" s="1" t="str">
        <f t="shared" si="52"/>
        <v>High Risk</v>
      </c>
      <c r="R1153" s="2">
        <f t="shared" si="53"/>
        <v>3492.7193716658307</v>
      </c>
    </row>
    <row r="1154" spans="1:18" s="1" customFormat="1" ht="11.5" x14ac:dyDescent="0.25">
      <c r="A1154" s="1" t="s">
        <v>1185</v>
      </c>
      <c r="B1154" s="1" t="s">
        <v>1238</v>
      </c>
      <c r="C1154" s="1" t="s">
        <v>29</v>
      </c>
      <c r="D1154" s="1">
        <v>1</v>
      </c>
      <c r="E1154" s="1" t="s">
        <v>25</v>
      </c>
      <c r="F1154" s="1" t="s">
        <v>22</v>
      </c>
      <c r="G1154" s="1">
        <v>12740</v>
      </c>
      <c r="H1154" s="1">
        <v>3471</v>
      </c>
      <c r="I1154" s="1">
        <v>214</v>
      </c>
      <c r="J1154" s="1">
        <v>360</v>
      </c>
      <c r="K1154" s="1">
        <v>0</v>
      </c>
      <c r="L1154" s="1" t="s">
        <v>30</v>
      </c>
      <c r="M1154" s="1">
        <f>Table1[[#This Row],[ApplicantIncome]]+Table1[[#This Row],[CoapplicantIncome]]</f>
        <v>16211</v>
      </c>
      <c r="N1154" s="1" t="s">
        <v>26</v>
      </c>
      <c r="O1154" s="1" t="str">
        <f>IF(Table1[[#This Row],[Total_Income]]&lt;3000,"Low",IF(Table1[[#This Row],[Total_Income]]&lt;7000,"Medium","High"))</f>
        <v>High</v>
      </c>
      <c r="P1154" s="1" t="str">
        <f t="shared" ref="P1154:P1201" si="54">IF(N1154="Y","Approved","Rejected")</f>
        <v>Rejected</v>
      </c>
      <c r="Q1154" s="1" t="str">
        <f t="shared" ref="Q1154:Q1201" si="55">IF(K1154=1,"Low Risk","High Risk")</f>
        <v>High Risk</v>
      </c>
      <c r="R1154" s="2">
        <f t="shared" ref="R1154:R1201" si="56">-PMT(8%/12,J1154,I1154*1000)</f>
        <v>1570.2561881018651</v>
      </c>
    </row>
    <row r="1155" spans="1:18" s="1" customFormat="1" ht="11.5" x14ac:dyDescent="0.25">
      <c r="A1155" s="1" t="s">
        <v>1186</v>
      </c>
      <c r="B1155" s="1" t="s">
        <v>28</v>
      </c>
      <c r="C1155" s="1" t="s">
        <v>29</v>
      </c>
      <c r="D1155" s="1">
        <v>1</v>
      </c>
      <c r="E1155" s="1" t="s">
        <v>17</v>
      </c>
      <c r="F1155" s="1" t="s">
        <v>22</v>
      </c>
      <c r="G1155" s="1">
        <v>10733</v>
      </c>
      <c r="H1155" s="1">
        <v>7258</v>
      </c>
      <c r="I1155" s="1">
        <v>517</v>
      </c>
      <c r="J1155" s="1">
        <v>120</v>
      </c>
      <c r="K1155" s="1">
        <v>1</v>
      </c>
      <c r="L1155" s="1" t="s">
        <v>19</v>
      </c>
      <c r="M1155" s="1">
        <f>Table1[[#This Row],[ApplicantIncome]]+Table1[[#This Row],[CoapplicantIncome]]</f>
        <v>17991</v>
      </c>
      <c r="N1155" s="1" t="s">
        <v>20</v>
      </c>
      <c r="O1155" s="1" t="str">
        <f>IF(Table1[[#This Row],[Total_Income]]&lt;3000,"Low",IF(Table1[[#This Row],[Total_Income]]&lt;7000,"Medium","High"))</f>
        <v>High</v>
      </c>
      <c r="P1155" s="1" t="str">
        <f t="shared" si="54"/>
        <v>Approved</v>
      </c>
      <c r="Q1155" s="1" t="str">
        <f t="shared" si="55"/>
        <v>Low Risk</v>
      </c>
      <c r="R1155" s="2">
        <f t="shared" si="56"/>
        <v>6272.6366281719529</v>
      </c>
    </row>
    <row r="1156" spans="1:18" s="1" customFormat="1" ht="11.5" x14ac:dyDescent="0.25">
      <c r="A1156" s="1" t="s">
        <v>1187</v>
      </c>
      <c r="B1156" s="1" t="s">
        <v>52</v>
      </c>
      <c r="C1156" s="1" t="s">
        <v>22</v>
      </c>
      <c r="D1156" s="1">
        <v>1</v>
      </c>
      <c r="E1156" s="1" t="s">
        <v>17</v>
      </c>
      <c r="F1156" s="1" t="s">
        <v>22</v>
      </c>
      <c r="G1156" s="1">
        <v>5139</v>
      </c>
      <c r="H1156" s="1">
        <v>4252</v>
      </c>
      <c r="I1156" s="1">
        <v>152</v>
      </c>
      <c r="J1156" s="1">
        <v>360</v>
      </c>
      <c r="K1156" s="1">
        <v>0</v>
      </c>
      <c r="L1156" s="1" t="s">
        <v>41</v>
      </c>
      <c r="M1156" s="1">
        <f>Table1[[#This Row],[ApplicantIncome]]+Table1[[#This Row],[CoapplicantIncome]]</f>
        <v>9391</v>
      </c>
      <c r="N1156" s="1" t="s">
        <v>20</v>
      </c>
      <c r="O1156" s="1" t="str">
        <f>IF(Table1[[#This Row],[Total_Income]]&lt;3000,"Low",IF(Table1[[#This Row],[Total_Income]]&lt;7000,"Medium","High"))</f>
        <v>High</v>
      </c>
      <c r="P1156" s="1" t="str">
        <f t="shared" si="54"/>
        <v>Approved</v>
      </c>
      <c r="Q1156" s="1" t="str">
        <f t="shared" si="55"/>
        <v>High Risk</v>
      </c>
      <c r="R1156" s="2">
        <f t="shared" si="56"/>
        <v>1115.3221522966519</v>
      </c>
    </row>
    <row r="1157" spans="1:18" s="1" customFormat="1" ht="11.5" x14ac:dyDescent="0.25">
      <c r="A1157" s="1" t="s">
        <v>1188</v>
      </c>
      <c r="B1157" s="1" t="s">
        <v>52</v>
      </c>
      <c r="C1157" s="1" t="s">
        <v>29</v>
      </c>
      <c r="D1157" s="1" t="s">
        <v>16</v>
      </c>
      <c r="E1157" s="1" t="s">
        <v>17</v>
      </c>
      <c r="F1157" s="1" t="s">
        <v>22</v>
      </c>
      <c r="G1157" s="1">
        <v>1560</v>
      </c>
      <c r="H1157" s="1">
        <v>1215</v>
      </c>
      <c r="I1157" s="1">
        <v>339</v>
      </c>
      <c r="J1157" s="1">
        <v>120</v>
      </c>
      <c r="K1157" s="1">
        <v>0</v>
      </c>
      <c r="L1157" s="1" t="s">
        <v>19</v>
      </c>
      <c r="M1157" s="1">
        <f>Table1[[#This Row],[ApplicantIncome]]+Table1[[#This Row],[CoapplicantIncome]]</f>
        <v>2775</v>
      </c>
      <c r="N1157" s="1" t="s">
        <v>26</v>
      </c>
      <c r="O1157" s="1" t="str">
        <f>IF(Table1[[#This Row],[Total_Income]]&lt;3000,"Low",IF(Table1[[#This Row],[Total_Income]]&lt;7000,"Medium","High"))</f>
        <v>Low</v>
      </c>
      <c r="P1157" s="1" t="str">
        <f t="shared" si="54"/>
        <v>Rejected</v>
      </c>
      <c r="Q1157" s="1" t="str">
        <f t="shared" si="55"/>
        <v>High Risk</v>
      </c>
      <c r="R1157" s="2">
        <f t="shared" si="56"/>
        <v>4113.0054486465997</v>
      </c>
    </row>
    <row r="1158" spans="1:18" s="1" customFormat="1" ht="11.5" x14ac:dyDescent="0.25">
      <c r="A1158" s="1" t="s">
        <v>1189</v>
      </c>
      <c r="B1158" s="1" t="s">
        <v>52</v>
      </c>
      <c r="C1158" s="1" t="s">
        <v>22</v>
      </c>
      <c r="D1158" s="1">
        <v>2</v>
      </c>
      <c r="E1158" s="1" t="s">
        <v>17</v>
      </c>
      <c r="F1158" s="1" t="s">
        <v>29</v>
      </c>
      <c r="G1158" s="1">
        <v>10659</v>
      </c>
      <c r="H1158" s="1">
        <v>3036</v>
      </c>
      <c r="I1158" s="1">
        <v>453</v>
      </c>
      <c r="J1158" s="1">
        <v>360</v>
      </c>
      <c r="K1158" s="1">
        <v>1</v>
      </c>
      <c r="L1158" s="1" t="s">
        <v>41</v>
      </c>
      <c r="M1158" s="1">
        <f>Table1[[#This Row],[ApplicantIncome]]+Table1[[#This Row],[CoapplicantIncome]]</f>
        <v>13695</v>
      </c>
      <c r="N1158" s="1" t="s">
        <v>26</v>
      </c>
      <c r="O1158" s="1" t="str">
        <f>IF(Table1[[#This Row],[Total_Income]]&lt;3000,"Low",IF(Table1[[#This Row],[Total_Income]]&lt;7000,"Medium","High"))</f>
        <v>High</v>
      </c>
      <c r="P1158" s="1" t="str">
        <f t="shared" si="54"/>
        <v>Rejected</v>
      </c>
      <c r="Q1158" s="1" t="str">
        <f t="shared" si="55"/>
        <v>Low Risk</v>
      </c>
      <c r="R1158" s="2">
        <f t="shared" si="56"/>
        <v>3323.9535196735742</v>
      </c>
    </row>
    <row r="1159" spans="1:18" s="1" customFormat="1" ht="11.5" x14ac:dyDescent="0.25">
      <c r="A1159" s="1" t="s">
        <v>1190</v>
      </c>
      <c r="B1159" s="1" t="s">
        <v>1238</v>
      </c>
      <c r="C1159" s="1" t="s">
        <v>22</v>
      </c>
      <c r="D1159" s="1">
        <v>2</v>
      </c>
      <c r="E1159" s="1" t="s">
        <v>17</v>
      </c>
      <c r="F1159" s="1" t="s">
        <v>22</v>
      </c>
      <c r="G1159" s="1">
        <v>8768</v>
      </c>
      <c r="H1159" s="1">
        <v>8156</v>
      </c>
      <c r="I1159" s="1">
        <v>287</v>
      </c>
      <c r="J1159" s="1">
        <v>120</v>
      </c>
      <c r="K1159" s="1">
        <v>1</v>
      </c>
      <c r="L1159" s="1" t="s">
        <v>19</v>
      </c>
      <c r="M1159" s="1">
        <f>Table1[[#This Row],[ApplicantIncome]]+Table1[[#This Row],[CoapplicantIncome]]</f>
        <v>16924</v>
      </c>
      <c r="N1159" s="1" t="s">
        <v>20</v>
      </c>
      <c r="O1159" s="1" t="str">
        <f>IF(Table1[[#This Row],[Total_Income]]&lt;3000,"Low",IF(Table1[[#This Row],[Total_Income]]&lt;7000,"Medium","High"))</f>
        <v>High</v>
      </c>
      <c r="P1159" s="1" t="str">
        <f t="shared" si="54"/>
        <v>Approved</v>
      </c>
      <c r="Q1159" s="1" t="str">
        <f t="shared" si="55"/>
        <v>Low Risk</v>
      </c>
      <c r="R1159" s="2">
        <f t="shared" si="56"/>
        <v>3482.1019579987437</v>
      </c>
    </row>
    <row r="1160" spans="1:18" s="1" customFormat="1" ht="11.5" x14ac:dyDescent="0.25">
      <c r="A1160" s="1" t="s">
        <v>1191</v>
      </c>
      <c r="B1160" s="1" t="s">
        <v>1238</v>
      </c>
      <c r="C1160" s="1" t="s">
        <v>22</v>
      </c>
      <c r="D1160" s="1">
        <v>0</v>
      </c>
      <c r="E1160" s="1" t="s">
        <v>17</v>
      </c>
      <c r="F1160" s="1" t="s">
        <v>22</v>
      </c>
      <c r="G1160" s="1">
        <v>19348</v>
      </c>
      <c r="H1160" s="1">
        <v>6889</v>
      </c>
      <c r="I1160" s="1">
        <v>583</v>
      </c>
      <c r="J1160" s="1">
        <v>360</v>
      </c>
      <c r="K1160" s="1">
        <v>0</v>
      </c>
      <c r="L1160" s="1" t="s">
        <v>41</v>
      </c>
      <c r="M1160" s="1">
        <f>Table1[[#This Row],[ApplicantIncome]]+Table1[[#This Row],[CoapplicantIncome]]</f>
        <v>26237</v>
      </c>
      <c r="N1160" s="1" t="s">
        <v>26</v>
      </c>
      <c r="O1160" s="1" t="str">
        <f>IF(Table1[[#This Row],[Total_Income]]&lt;3000,"Low",IF(Table1[[#This Row],[Total_Income]]&lt;7000,"Medium","High"))</f>
        <v>High</v>
      </c>
      <c r="P1160" s="1" t="str">
        <f t="shared" si="54"/>
        <v>Rejected</v>
      </c>
      <c r="Q1160" s="1" t="str">
        <f t="shared" si="55"/>
        <v>High Risk</v>
      </c>
      <c r="R1160" s="2">
        <f t="shared" si="56"/>
        <v>4277.8474657167626</v>
      </c>
    </row>
    <row r="1161" spans="1:18" s="1" customFormat="1" ht="11.5" x14ac:dyDescent="0.25">
      <c r="A1161" s="1" t="s">
        <v>1192</v>
      </c>
      <c r="B1161" s="1" t="s">
        <v>28</v>
      </c>
      <c r="C1161" s="1" t="s">
        <v>22</v>
      </c>
      <c r="D1161" s="1">
        <v>1</v>
      </c>
      <c r="E1161" s="1" t="s">
        <v>25</v>
      </c>
      <c r="F1161" s="1" t="s">
        <v>29</v>
      </c>
      <c r="G1161" s="1">
        <v>4315</v>
      </c>
      <c r="H1161" s="1">
        <v>5306</v>
      </c>
      <c r="I1161" s="1">
        <v>158</v>
      </c>
      <c r="J1161" s="1">
        <v>360</v>
      </c>
      <c r="K1161" s="1">
        <v>0</v>
      </c>
      <c r="L1161" s="1" t="s">
        <v>19</v>
      </c>
      <c r="M1161" s="1">
        <f>Table1[[#This Row],[ApplicantIncome]]+Table1[[#This Row],[CoapplicantIncome]]</f>
        <v>9621</v>
      </c>
      <c r="N1161" s="1" t="s">
        <v>26</v>
      </c>
      <c r="O1161" s="1" t="str">
        <f>IF(Table1[[#This Row],[Total_Income]]&lt;3000,"Low",IF(Table1[[#This Row],[Total_Income]]&lt;7000,"Medium","High"))</f>
        <v>High</v>
      </c>
      <c r="P1161" s="1" t="str">
        <f t="shared" si="54"/>
        <v>Rejected</v>
      </c>
      <c r="Q1161" s="1" t="str">
        <f t="shared" si="55"/>
        <v>High Risk</v>
      </c>
      <c r="R1161" s="2">
        <f t="shared" si="56"/>
        <v>1159.3480267294144</v>
      </c>
    </row>
    <row r="1162" spans="1:18" s="1" customFormat="1" ht="11.5" x14ac:dyDescent="0.25">
      <c r="A1162" s="1" t="s">
        <v>1193</v>
      </c>
      <c r="B1162" s="1" t="s">
        <v>1238</v>
      </c>
      <c r="C1162" s="1" t="s">
        <v>22</v>
      </c>
      <c r="D1162" s="1" t="s">
        <v>16</v>
      </c>
      <c r="E1162" s="1" t="s">
        <v>25</v>
      </c>
      <c r="F1162" s="1" t="s">
        <v>29</v>
      </c>
      <c r="G1162" s="1">
        <v>15163</v>
      </c>
      <c r="H1162" s="1">
        <v>9405</v>
      </c>
      <c r="I1162" s="1">
        <v>306</v>
      </c>
      <c r="J1162" s="1">
        <v>360</v>
      </c>
      <c r="K1162" s="1">
        <v>1</v>
      </c>
      <c r="L1162" s="1" t="s">
        <v>41</v>
      </c>
      <c r="M1162" s="1">
        <f>Table1[[#This Row],[ApplicantIncome]]+Table1[[#This Row],[CoapplicantIncome]]</f>
        <v>24568</v>
      </c>
      <c r="N1162" s="1" t="s">
        <v>26</v>
      </c>
      <c r="O1162" s="1" t="str">
        <f>IF(Table1[[#This Row],[Total_Income]]&lt;3000,"Low",IF(Table1[[#This Row],[Total_Income]]&lt;7000,"Medium","High"))</f>
        <v>High</v>
      </c>
      <c r="P1162" s="1" t="str">
        <f t="shared" si="54"/>
        <v>Rejected</v>
      </c>
      <c r="Q1162" s="1" t="str">
        <f t="shared" si="55"/>
        <v>Low Risk</v>
      </c>
      <c r="R1162" s="2">
        <f t="shared" si="56"/>
        <v>2245.3195960708913</v>
      </c>
    </row>
    <row r="1163" spans="1:18" s="1" customFormat="1" ht="11.5" x14ac:dyDescent="0.25">
      <c r="A1163" s="1" t="s">
        <v>1194</v>
      </c>
      <c r="B1163" s="1" t="s">
        <v>1238</v>
      </c>
      <c r="C1163" s="1" t="s">
        <v>22</v>
      </c>
      <c r="D1163" s="1" t="s">
        <v>16</v>
      </c>
      <c r="E1163" s="1" t="s">
        <v>25</v>
      </c>
      <c r="F1163" s="1" t="s">
        <v>29</v>
      </c>
      <c r="G1163" s="1">
        <v>19349</v>
      </c>
      <c r="H1163" s="1">
        <v>6848</v>
      </c>
      <c r="I1163" s="1">
        <v>330</v>
      </c>
      <c r="J1163" s="1">
        <v>360</v>
      </c>
      <c r="K1163" s="1">
        <v>0</v>
      </c>
      <c r="L1163" s="1" t="s">
        <v>30</v>
      </c>
      <c r="M1163" s="1">
        <f>Table1[[#This Row],[ApplicantIncome]]+Table1[[#This Row],[CoapplicantIncome]]</f>
        <v>26197</v>
      </c>
      <c r="N1163" s="1" t="s">
        <v>26</v>
      </c>
      <c r="O1163" s="1" t="str">
        <f>IF(Table1[[#This Row],[Total_Income]]&lt;3000,"Low",IF(Table1[[#This Row],[Total_Income]]&lt;7000,"Medium","High"))</f>
        <v>High</v>
      </c>
      <c r="P1163" s="1" t="str">
        <f t="shared" si="54"/>
        <v>Rejected</v>
      </c>
      <c r="Q1163" s="1" t="str">
        <f t="shared" si="55"/>
        <v>High Risk</v>
      </c>
      <c r="R1163" s="2">
        <f t="shared" si="56"/>
        <v>2421.4230938019414</v>
      </c>
    </row>
    <row r="1164" spans="1:18" s="1" customFormat="1" ht="11.5" x14ac:dyDescent="0.25">
      <c r="A1164" s="1" t="s">
        <v>1195</v>
      </c>
      <c r="B1164" s="1" t="s">
        <v>52</v>
      </c>
      <c r="C1164" s="1" t="s">
        <v>22</v>
      </c>
      <c r="D1164" s="1">
        <v>2</v>
      </c>
      <c r="E1164" s="1" t="s">
        <v>17</v>
      </c>
      <c r="F1164" s="1" t="s">
        <v>22</v>
      </c>
      <c r="G1164" s="1">
        <v>5232</v>
      </c>
      <c r="H1164" s="1">
        <v>5718</v>
      </c>
      <c r="I1164" s="1">
        <v>505</v>
      </c>
      <c r="J1164" s="1">
        <v>360</v>
      </c>
      <c r="K1164" s="1">
        <v>0</v>
      </c>
      <c r="L1164" s="1" t="s">
        <v>41</v>
      </c>
      <c r="M1164" s="1">
        <f>Table1[[#This Row],[ApplicantIncome]]+Table1[[#This Row],[CoapplicantIncome]]</f>
        <v>10950</v>
      </c>
      <c r="N1164" s="1" t="s">
        <v>20</v>
      </c>
      <c r="O1164" s="1" t="str">
        <f>IF(Table1[[#This Row],[Total_Income]]&lt;3000,"Low",IF(Table1[[#This Row],[Total_Income]]&lt;7000,"Medium","High"))</f>
        <v>High</v>
      </c>
      <c r="P1164" s="1" t="str">
        <f t="shared" si="54"/>
        <v>Approved</v>
      </c>
      <c r="Q1164" s="1" t="str">
        <f t="shared" si="55"/>
        <v>High Risk</v>
      </c>
      <c r="R1164" s="2">
        <f t="shared" si="56"/>
        <v>3705.5110980908498</v>
      </c>
    </row>
    <row r="1165" spans="1:18" s="1" customFormat="1" ht="11.5" x14ac:dyDescent="0.25">
      <c r="A1165" s="1" t="s">
        <v>1196</v>
      </c>
      <c r="B1165" s="1" t="s">
        <v>1238</v>
      </c>
      <c r="C1165" s="1" t="s">
        <v>22</v>
      </c>
      <c r="D1165" s="1" t="s">
        <v>16</v>
      </c>
      <c r="E1165" s="1" t="s">
        <v>17</v>
      </c>
      <c r="F1165" s="1" t="s">
        <v>22</v>
      </c>
      <c r="G1165" s="1">
        <v>13485</v>
      </c>
      <c r="H1165" s="1">
        <v>1395</v>
      </c>
      <c r="I1165" s="1">
        <v>571</v>
      </c>
      <c r="J1165" s="1">
        <v>180</v>
      </c>
      <c r="K1165" s="1">
        <v>0</v>
      </c>
      <c r="L1165" s="1" t="s">
        <v>19</v>
      </c>
      <c r="M1165" s="1">
        <f>Table1[[#This Row],[ApplicantIncome]]+Table1[[#This Row],[CoapplicantIncome]]</f>
        <v>14880</v>
      </c>
      <c r="N1165" s="1" t="s">
        <v>26</v>
      </c>
      <c r="O1165" s="1" t="str">
        <f>IF(Table1[[#This Row],[Total_Income]]&lt;3000,"Low",IF(Table1[[#This Row],[Total_Income]]&lt;7000,"Medium","High"))</f>
        <v>High</v>
      </c>
      <c r="P1165" s="1" t="str">
        <f t="shared" si="54"/>
        <v>Rejected</v>
      </c>
      <c r="Q1165" s="1" t="str">
        <f t="shared" si="55"/>
        <v>High Risk</v>
      </c>
      <c r="R1165" s="2">
        <f t="shared" si="56"/>
        <v>5456.7734015263068</v>
      </c>
    </row>
    <row r="1166" spans="1:18" s="1" customFormat="1" ht="11.5" x14ac:dyDescent="0.25">
      <c r="A1166" s="1" t="s">
        <v>1197</v>
      </c>
      <c r="B1166" s="1" t="s">
        <v>28</v>
      </c>
      <c r="C1166" s="1" t="s">
        <v>22</v>
      </c>
      <c r="D1166" s="1">
        <v>2</v>
      </c>
      <c r="E1166" s="1" t="s">
        <v>17</v>
      </c>
      <c r="F1166" s="1" t="s">
        <v>22</v>
      </c>
      <c r="G1166" s="1">
        <v>12156</v>
      </c>
      <c r="H1166" s="1">
        <v>4474</v>
      </c>
      <c r="I1166" s="1">
        <v>349</v>
      </c>
      <c r="J1166" s="1">
        <v>360</v>
      </c>
      <c r="K1166" s="1">
        <v>1</v>
      </c>
      <c r="L1166" s="1" t="s">
        <v>30</v>
      </c>
      <c r="M1166" s="1">
        <f>Table1[[#This Row],[ApplicantIncome]]+Table1[[#This Row],[CoapplicantIncome]]</f>
        <v>16630</v>
      </c>
      <c r="N1166" s="1" t="s">
        <v>20</v>
      </c>
      <c r="O1166" s="1" t="str">
        <f>IF(Table1[[#This Row],[Total_Income]]&lt;3000,"Low",IF(Table1[[#This Row],[Total_Income]]&lt;7000,"Medium","High"))</f>
        <v>High</v>
      </c>
      <c r="P1166" s="1" t="str">
        <f t="shared" si="54"/>
        <v>Approved</v>
      </c>
      <c r="Q1166" s="1" t="str">
        <f t="shared" si="55"/>
        <v>Low Risk</v>
      </c>
      <c r="R1166" s="2">
        <f t="shared" si="56"/>
        <v>2560.8383628390229</v>
      </c>
    </row>
    <row r="1167" spans="1:18" s="1" customFormat="1" ht="11.5" x14ac:dyDescent="0.25">
      <c r="A1167" s="1" t="s">
        <v>1198</v>
      </c>
      <c r="B1167" s="1" t="s">
        <v>52</v>
      </c>
      <c r="C1167" s="1" t="s">
        <v>22</v>
      </c>
      <c r="D1167" s="1">
        <v>2</v>
      </c>
      <c r="E1167" s="1" t="s">
        <v>17</v>
      </c>
      <c r="F1167" s="1" t="s">
        <v>22</v>
      </c>
      <c r="G1167" s="1">
        <v>18037</v>
      </c>
      <c r="H1167" s="1">
        <v>8960</v>
      </c>
      <c r="I1167" s="1">
        <v>127</v>
      </c>
      <c r="J1167" s="1">
        <v>360</v>
      </c>
      <c r="K1167" s="1">
        <v>0</v>
      </c>
      <c r="L1167" s="1" t="s">
        <v>19</v>
      </c>
      <c r="M1167" s="1">
        <f>Table1[[#This Row],[ApplicantIncome]]+Table1[[#This Row],[CoapplicantIncome]]</f>
        <v>26997</v>
      </c>
      <c r="N1167" s="1" t="s">
        <v>20</v>
      </c>
      <c r="O1167" s="1" t="str">
        <f>IF(Table1[[#This Row],[Total_Income]]&lt;3000,"Low",IF(Table1[[#This Row],[Total_Income]]&lt;7000,"Medium","High"))</f>
        <v>High</v>
      </c>
      <c r="P1167" s="1" t="str">
        <f t="shared" si="54"/>
        <v>Approved</v>
      </c>
      <c r="Q1167" s="1" t="str">
        <f t="shared" si="55"/>
        <v>High Risk</v>
      </c>
      <c r="R1167" s="2">
        <f t="shared" si="56"/>
        <v>931.88100882680783</v>
      </c>
    </row>
    <row r="1168" spans="1:18" s="1" customFormat="1" ht="11.5" x14ac:dyDescent="0.25">
      <c r="A1168" s="1" t="s">
        <v>1199</v>
      </c>
      <c r="B1168" s="1" t="s">
        <v>52</v>
      </c>
      <c r="C1168" s="1" t="s">
        <v>22</v>
      </c>
      <c r="D1168" s="1">
        <v>2</v>
      </c>
      <c r="E1168" s="1" t="s">
        <v>17</v>
      </c>
      <c r="F1168" s="1" t="s">
        <v>22</v>
      </c>
      <c r="G1168" s="1">
        <v>17396</v>
      </c>
      <c r="H1168" s="1">
        <v>7301</v>
      </c>
      <c r="I1168" s="1">
        <v>186</v>
      </c>
      <c r="J1168" s="1">
        <v>360</v>
      </c>
      <c r="K1168" s="1">
        <v>0</v>
      </c>
      <c r="L1168" s="1" t="s">
        <v>41</v>
      </c>
      <c r="M1168" s="1">
        <f>Table1[[#This Row],[ApplicantIncome]]+Table1[[#This Row],[CoapplicantIncome]]</f>
        <v>24697</v>
      </c>
      <c r="N1168" s="1" t="s">
        <v>20</v>
      </c>
      <c r="O1168" s="1" t="str">
        <f>IF(Table1[[#This Row],[Total_Income]]&lt;3000,"Low",IF(Table1[[#This Row],[Total_Income]]&lt;7000,"Medium","High"))</f>
        <v>High</v>
      </c>
      <c r="P1168" s="1" t="str">
        <f t="shared" si="54"/>
        <v>Approved</v>
      </c>
      <c r="Q1168" s="1" t="str">
        <f t="shared" si="55"/>
        <v>High Risk</v>
      </c>
      <c r="R1168" s="2">
        <f t="shared" si="56"/>
        <v>1364.8021074156397</v>
      </c>
    </row>
    <row r="1169" spans="1:18" s="1" customFormat="1" ht="11.5" x14ac:dyDescent="0.25">
      <c r="A1169" s="1" t="s">
        <v>1200</v>
      </c>
      <c r="B1169" s="1" t="s">
        <v>52</v>
      </c>
      <c r="C1169" s="1" t="s">
        <v>22</v>
      </c>
      <c r="D1169" s="1">
        <v>2</v>
      </c>
      <c r="E1169" s="1" t="s">
        <v>17</v>
      </c>
      <c r="F1169" s="1" t="s">
        <v>29</v>
      </c>
      <c r="G1169" s="1">
        <v>18979</v>
      </c>
      <c r="H1169" s="1">
        <v>9090</v>
      </c>
      <c r="I1169" s="1">
        <v>465</v>
      </c>
      <c r="J1169" s="1">
        <v>360</v>
      </c>
      <c r="K1169" s="1">
        <v>1</v>
      </c>
      <c r="L1169" s="1" t="s">
        <v>19</v>
      </c>
      <c r="M1169" s="1">
        <f>Table1[[#This Row],[ApplicantIncome]]+Table1[[#This Row],[CoapplicantIncome]]</f>
        <v>28069</v>
      </c>
      <c r="N1169" s="1" t="s">
        <v>26</v>
      </c>
      <c r="O1169" s="1" t="str">
        <f>IF(Table1[[#This Row],[Total_Income]]&lt;3000,"Low",IF(Table1[[#This Row],[Total_Income]]&lt;7000,"Medium","High"))</f>
        <v>High</v>
      </c>
      <c r="P1169" s="1" t="str">
        <f t="shared" si="54"/>
        <v>Rejected</v>
      </c>
      <c r="Q1169" s="1" t="str">
        <f t="shared" si="55"/>
        <v>Low Risk</v>
      </c>
      <c r="R1169" s="2">
        <f t="shared" si="56"/>
        <v>3412.0052685390992</v>
      </c>
    </row>
    <row r="1170" spans="1:18" s="1" customFormat="1" ht="11.5" x14ac:dyDescent="0.25">
      <c r="A1170" s="1" t="s">
        <v>1201</v>
      </c>
      <c r="B1170" s="1" t="s">
        <v>52</v>
      </c>
      <c r="C1170" s="1" t="s">
        <v>22</v>
      </c>
      <c r="D1170" s="1">
        <v>1</v>
      </c>
      <c r="E1170" s="1" t="s">
        <v>25</v>
      </c>
      <c r="F1170" s="1" t="s">
        <v>22</v>
      </c>
      <c r="G1170" s="1">
        <v>10862</v>
      </c>
      <c r="H1170" s="1">
        <v>267</v>
      </c>
      <c r="I1170" s="1">
        <v>599</v>
      </c>
      <c r="J1170" s="1">
        <v>360</v>
      </c>
      <c r="K1170" s="1">
        <v>1</v>
      </c>
      <c r="L1170" s="1" t="s">
        <v>30</v>
      </c>
      <c r="M1170" s="1">
        <f>Table1[[#This Row],[ApplicantIncome]]+Table1[[#This Row],[CoapplicantIncome]]</f>
        <v>11129</v>
      </c>
      <c r="N1170" s="1" t="s">
        <v>26</v>
      </c>
      <c r="O1170" s="1" t="str">
        <f>IF(Table1[[#This Row],[Total_Income]]&lt;3000,"Low",IF(Table1[[#This Row],[Total_Income]]&lt;7000,"Medium","High"))</f>
        <v>High</v>
      </c>
      <c r="P1170" s="1" t="str">
        <f t="shared" si="54"/>
        <v>Rejected</v>
      </c>
      <c r="Q1170" s="1" t="str">
        <f t="shared" si="55"/>
        <v>Low Risk</v>
      </c>
      <c r="R1170" s="2">
        <f t="shared" si="56"/>
        <v>4395.2497975374636</v>
      </c>
    </row>
    <row r="1171" spans="1:18" s="1" customFormat="1" ht="11.5" x14ac:dyDescent="0.25">
      <c r="A1171" s="1" t="s">
        <v>1202</v>
      </c>
      <c r="B1171" s="1" t="s">
        <v>1238</v>
      </c>
      <c r="C1171" s="1" t="s">
        <v>29</v>
      </c>
      <c r="D1171" s="1">
        <v>1</v>
      </c>
      <c r="E1171" s="1" t="s">
        <v>25</v>
      </c>
      <c r="F1171" s="1" t="s">
        <v>29</v>
      </c>
      <c r="G1171" s="1">
        <v>17980</v>
      </c>
      <c r="H1171" s="1">
        <v>8958</v>
      </c>
      <c r="I1171" s="1">
        <v>77</v>
      </c>
      <c r="J1171" s="1">
        <v>360</v>
      </c>
      <c r="K1171" s="1">
        <v>0</v>
      </c>
      <c r="L1171" s="1" t="s">
        <v>41</v>
      </c>
      <c r="M1171" s="1">
        <f>Table1[[#This Row],[ApplicantIncome]]+Table1[[#This Row],[CoapplicantIncome]]</f>
        <v>26938</v>
      </c>
      <c r="N1171" s="1" t="s">
        <v>26</v>
      </c>
      <c r="O1171" s="1" t="str">
        <f>IF(Table1[[#This Row],[Total_Income]]&lt;3000,"Low",IF(Table1[[#This Row],[Total_Income]]&lt;7000,"Medium","High"))</f>
        <v>High</v>
      </c>
      <c r="P1171" s="1" t="str">
        <f t="shared" si="54"/>
        <v>Rejected</v>
      </c>
      <c r="Q1171" s="1" t="str">
        <f t="shared" si="55"/>
        <v>High Risk</v>
      </c>
      <c r="R1171" s="2">
        <f t="shared" si="56"/>
        <v>564.9987218871197</v>
      </c>
    </row>
    <row r="1172" spans="1:18" s="1" customFormat="1" ht="11.5" x14ac:dyDescent="0.25">
      <c r="A1172" s="1" t="s">
        <v>1203</v>
      </c>
      <c r="B1172" s="1" t="s">
        <v>1238</v>
      </c>
      <c r="C1172" s="1" t="s">
        <v>22</v>
      </c>
      <c r="D1172" s="1">
        <v>1</v>
      </c>
      <c r="E1172" s="1" t="s">
        <v>17</v>
      </c>
      <c r="F1172" s="1" t="s">
        <v>29</v>
      </c>
      <c r="G1172" s="1">
        <v>11978</v>
      </c>
      <c r="H1172" s="1">
        <v>8241</v>
      </c>
      <c r="I1172" s="1">
        <v>241</v>
      </c>
      <c r="J1172" s="1">
        <v>180</v>
      </c>
      <c r="K1172" s="1">
        <v>0</v>
      </c>
      <c r="L1172" s="1" t="s">
        <v>41</v>
      </c>
      <c r="M1172" s="1">
        <f>Table1[[#This Row],[ApplicantIncome]]+Table1[[#This Row],[CoapplicantIncome]]</f>
        <v>20219</v>
      </c>
      <c r="N1172" s="1" t="s">
        <v>20</v>
      </c>
      <c r="O1172" s="1" t="str">
        <f>IF(Table1[[#This Row],[Total_Income]]&lt;3000,"Low",IF(Table1[[#This Row],[Total_Income]]&lt;7000,"Medium","High"))</f>
        <v>High</v>
      </c>
      <c r="P1172" s="1" t="str">
        <f t="shared" si="54"/>
        <v>Approved</v>
      </c>
      <c r="Q1172" s="1" t="str">
        <f t="shared" si="55"/>
        <v>High Risk</v>
      </c>
      <c r="R1172" s="2">
        <f t="shared" si="56"/>
        <v>2303.1215232361469</v>
      </c>
    </row>
    <row r="1173" spans="1:18" s="1" customFormat="1" ht="11.5" x14ac:dyDescent="0.25">
      <c r="A1173" s="1" t="s">
        <v>1204</v>
      </c>
      <c r="B1173" s="1" t="s">
        <v>52</v>
      </c>
      <c r="C1173" s="1" t="s">
        <v>22</v>
      </c>
      <c r="D1173" s="1">
        <v>2</v>
      </c>
      <c r="E1173" s="1" t="s">
        <v>17</v>
      </c>
      <c r="F1173" s="1" t="s">
        <v>22</v>
      </c>
      <c r="G1173" s="1">
        <v>19081</v>
      </c>
      <c r="H1173" s="1">
        <v>5326</v>
      </c>
      <c r="I1173" s="1">
        <v>504</v>
      </c>
      <c r="J1173" s="1">
        <v>360</v>
      </c>
      <c r="K1173" s="1">
        <v>0</v>
      </c>
      <c r="L1173" s="1" t="s">
        <v>30</v>
      </c>
      <c r="M1173" s="1">
        <f>Table1[[#This Row],[ApplicantIncome]]+Table1[[#This Row],[CoapplicantIncome]]</f>
        <v>24407</v>
      </c>
      <c r="N1173" s="1" t="s">
        <v>20</v>
      </c>
      <c r="O1173" s="1" t="str">
        <f>IF(Table1[[#This Row],[Total_Income]]&lt;3000,"Low",IF(Table1[[#This Row],[Total_Income]]&lt;7000,"Medium","High"))</f>
        <v>High</v>
      </c>
      <c r="P1173" s="1" t="str">
        <f t="shared" si="54"/>
        <v>Approved</v>
      </c>
      <c r="Q1173" s="1" t="str">
        <f t="shared" si="55"/>
        <v>High Risk</v>
      </c>
      <c r="R1173" s="2">
        <f t="shared" si="56"/>
        <v>3698.1734523520558</v>
      </c>
    </row>
    <row r="1174" spans="1:18" s="1" customFormat="1" ht="11.5" x14ac:dyDescent="0.25">
      <c r="A1174" s="1" t="s">
        <v>1205</v>
      </c>
      <c r="B1174" s="1" t="s">
        <v>1238</v>
      </c>
      <c r="C1174" s="1" t="s">
        <v>29</v>
      </c>
      <c r="D1174" s="1">
        <v>0</v>
      </c>
      <c r="E1174" s="1" t="s">
        <v>17</v>
      </c>
      <c r="F1174" s="1" t="s">
        <v>22</v>
      </c>
      <c r="G1174" s="1">
        <v>6750</v>
      </c>
      <c r="H1174" s="1">
        <v>9824</v>
      </c>
      <c r="I1174" s="1">
        <v>598</v>
      </c>
      <c r="J1174" s="1">
        <v>360</v>
      </c>
      <c r="K1174" s="1">
        <v>0</v>
      </c>
      <c r="L1174" s="1" t="s">
        <v>19</v>
      </c>
      <c r="M1174" s="1">
        <f>Table1[[#This Row],[ApplicantIncome]]+Table1[[#This Row],[CoapplicantIncome]]</f>
        <v>16574</v>
      </c>
      <c r="N1174" s="1" t="s">
        <v>26</v>
      </c>
      <c r="O1174" s="1" t="str">
        <f>IF(Table1[[#This Row],[Total_Income]]&lt;3000,"Low",IF(Table1[[#This Row],[Total_Income]]&lt;7000,"Medium","High"))</f>
        <v>High</v>
      </c>
      <c r="P1174" s="1" t="str">
        <f t="shared" si="54"/>
        <v>Rejected</v>
      </c>
      <c r="Q1174" s="1" t="str">
        <f t="shared" si="55"/>
        <v>High Risk</v>
      </c>
      <c r="R1174" s="2">
        <f t="shared" si="56"/>
        <v>4387.9121517986696</v>
      </c>
    </row>
    <row r="1175" spans="1:18" s="1" customFormat="1" ht="11.5" x14ac:dyDescent="0.25">
      <c r="A1175" s="1" t="s">
        <v>1206</v>
      </c>
      <c r="B1175" s="1" t="s">
        <v>52</v>
      </c>
      <c r="C1175" s="1" t="s">
        <v>22</v>
      </c>
      <c r="D1175" s="1">
        <v>0</v>
      </c>
      <c r="E1175" s="1" t="s">
        <v>17</v>
      </c>
      <c r="F1175" s="1" t="s">
        <v>22</v>
      </c>
      <c r="G1175" s="1">
        <v>7543</v>
      </c>
      <c r="H1175" s="1">
        <v>1235</v>
      </c>
      <c r="I1175" s="1">
        <v>224</v>
      </c>
      <c r="J1175" s="1">
        <v>360</v>
      </c>
      <c r="K1175" s="1">
        <v>0</v>
      </c>
      <c r="L1175" s="1" t="s">
        <v>41</v>
      </c>
      <c r="M1175" s="1">
        <f>Table1[[#This Row],[ApplicantIncome]]+Table1[[#This Row],[CoapplicantIncome]]</f>
        <v>8778</v>
      </c>
      <c r="N1175" s="1" t="s">
        <v>20</v>
      </c>
      <c r="O1175" s="1" t="str">
        <f>IF(Table1[[#This Row],[Total_Income]]&lt;3000,"Low",IF(Table1[[#This Row],[Total_Income]]&lt;7000,"Medium","High"))</f>
        <v>High</v>
      </c>
      <c r="P1175" s="1" t="str">
        <f t="shared" si="54"/>
        <v>Approved</v>
      </c>
      <c r="Q1175" s="1" t="str">
        <f t="shared" si="55"/>
        <v>High Risk</v>
      </c>
      <c r="R1175" s="2">
        <f t="shared" si="56"/>
        <v>1643.6326454898028</v>
      </c>
    </row>
    <row r="1176" spans="1:18" s="1" customFormat="1" ht="11.5" x14ac:dyDescent="0.25">
      <c r="A1176" s="1" t="s">
        <v>1207</v>
      </c>
      <c r="B1176" s="1" t="s">
        <v>52</v>
      </c>
      <c r="C1176" s="1" t="s">
        <v>22</v>
      </c>
      <c r="D1176" s="1">
        <v>0</v>
      </c>
      <c r="E1176" s="1" t="s">
        <v>25</v>
      </c>
      <c r="F1176" s="1" t="s">
        <v>29</v>
      </c>
      <c r="G1176" s="1">
        <v>7666</v>
      </c>
      <c r="H1176" s="1">
        <v>2674</v>
      </c>
      <c r="I1176" s="1">
        <v>59</v>
      </c>
      <c r="J1176" s="1">
        <v>180</v>
      </c>
      <c r="K1176" s="1">
        <v>0</v>
      </c>
      <c r="L1176" s="1" t="s">
        <v>41</v>
      </c>
      <c r="M1176" s="1">
        <f>Table1[[#This Row],[ApplicantIncome]]+Table1[[#This Row],[CoapplicantIncome]]</f>
        <v>10340</v>
      </c>
      <c r="N1176" s="1" t="s">
        <v>20</v>
      </c>
      <c r="O1176" s="1" t="str">
        <f>IF(Table1[[#This Row],[Total_Income]]&lt;3000,"Low",IF(Table1[[#This Row],[Total_Income]]&lt;7000,"Medium","High"))</f>
        <v>High</v>
      </c>
      <c r="P1176" s="1" t="str">
        <f t="shared" si="54"/>
        <v>Approved</v>
      </c>
      <c r="Q1176" s="1" t="str">
        <f t="shared" si="55"/>
        <v>High Risk</v>
      </c>
      <c r="R1176" s="2">
        <f t="shared" si="56"/>
        <v>563.83472975490736</v>
      </c>
    </row>
    <row r="1177" spans="1:18" s="1" customFormat="1" ht="11.5" x14ac:dyDescent="0.25">
      <c r="A1177" s="1" t="s">
        <v>1208</v>
      </c>
      <c r="B1177" s="1" t="s">
        <v>1238</v>
      </c>
      <c r="C1177" s="1" t="s">
        <v>22</v>
      </c>
      <c r="D1177" s="1">
        <v>1</v>
      </c>
      <c r="E1177" s="1" t="s">
        <v>25</v>
      </c>
      <c r="F1177" s="1" t="s">
        <v>29</v>
      </c>
      <c r="G1177" s="1">
        <v>1754</v>
      </c>
      <c r="H1177" s="1">
        <v>7491</v>
      </c>
      <c r="I1177" s="1">
        <v>402</v>
      </c>
      <c r="J1177" s="1">
        <v>180</v>
      </c>
      <c r="K1177" s="1">
        <v>1</v>
      </c>
      <c r="L1177" s="1" t="s">
        <v>41</v>
      </c>
      <c r="M1177" s="1">
        <f>Table1[[#This Row],[ApplicantIncome]]+Table1[[#This Row],[CoapplicantIncome]]</f>
        <v>9245</v>
      </c>
      <c r="N1177" s="1" t="s">
        <v>20</v>
      </c>
      <c r="O1177" s="1" t="str">
        <f>IF(Table1[[#This Row],[Total_Income]]&lt;3000,"Low",IF(Table1[[#This Row],[Total_Income]]&lt;7000,"Medium","High"))</f>
        <v>High</v>
      </c>
      <c r="P1177" s="1" t="str">
        <f t="shared" si="54"/>
        <v>Approved</v>
      </c>
      <c r="Q1177" s="1" t="str">
        <f t="shared" si="55"/>
        <v>Low Risk</v>
      </c>
      <c r="R1177" s="2">
        <f t="shared" si="56"/>
        <v>3841.7213790080123</v>
      </c>
    </row>
    <row r="1178" spans="1:18" s="1" customFormat="1" ht="11.5" x14ac:dyDescent="0.25">
      <c r="A1178" s="1" t="s">
        <v>1209</v>
      </c>
      <c r="B1178" s="1" t="s">
        <v>28</v>
      </c>
      <c r="C1178" s="1" t="s">
        <v>29</v>
      </c>
      <c r="D1178" s="1" t="s">
        <v>16</v>
      </c>
      <c r="E1178" s="1" t="s">
        <v>17</v>
      </c>
      <c r="F1178" s="1" t="s">
        <v>22</v>
      </c>
      <c r="G1178" s="1">
        <v>9484</v>
      </c>
      <c r="H1178" s="1">
        <v>3488</v>
      </c>
      <c r="I1178" s="1">
        <v>428</v>
      </c>
      <c r="J1178" s="1">
        <v>120</v>
      </c>
      <c r="K1178" s="1">
        <v>1</v>
      </c>
      <c r="L1178" s="1" t="s">
        <v>30</v>
      </c>
      <c r="M1178" s="1">
        <f>Table1[[#This Row],[ApplicantIncome]]+Table1[[#This Row],[CoapplicantIncome]]</f>
        <v>12972</v>
      </c>
      <c r="N1178" s="1" t="s">
        <v>26</v>
      </c>
      <c r="O1178" s="1" t="str">
        <f>IF(Table1[[#This Row],[Total_Income]]&lt;3000,"Low",IF(Table1[[#This Row],[Total_Income]]&lt;7000,"Medium","High"))</f>
        <v>High</v>
      </c>
      <c r="P1178" s="1" t="str">
        <f t="shared" si="54"/>
        <v>Rejected</v>
      </c>
      <c r="Q1178" s="1" t="str">
        <f t="shared" si="55"/>
        <v>Low Risk</v>
      </c>
      <c r="R1178" s="2">
        <f t="shared" si="56"/>
        <v>5192.8210384092763</v>
      </c>
    </row>
    <row r="1179" spans="1:18" s="1" customFormat="1" ht="11.5" x14ac:dyDescent="0.25">
      <c r="A1179" s="1" t="s">
        <v>1210</v>
      </c>
      <c r="B1179" s="1" t="s">
        <v>28</v>
      </c>
      <c r="C1179" s="1" t="s">
        <v>29</v>
      </c>
      <c r="D1179" s="1">
        <v>1</v>
      </c>
      <c r="E1179" s="1" t="s">
        <v>25</v>
      </c>
      <c r="F1179" s="1" t="s">
        <v>29</v>
      </c>
      <c r="G1179" s="1">
        <v>6620</v>
      </c>
      <c r="H1179" s="1">
        <v>1563</v>
      </c>
      <c r="I1179" s="1">
        <v>432</v>
      </c>
      <c r="J1179" s="1">
        <v>120</v>
      </c>
      <c r="K1179" s="1">
        <v>0</v>
      </c>
      <c r="L1179" s="1" t="s">
        <v>30</v>
      </c>
      <c r="M1179" s="1">
        <f>Table1[[#This Row],[ApplicantIncome]]+Table1[[#This Row],[CoapplicantIncome]]</f>
        <v>8183</v>
      </c>
      <c r="N1179" s="1" t="s">
        <v>26</v>
      </c>
      <c r="O1179" s="1" t="str">
        <f>IF(Table1[[#This Row],[Total_Income]]&lt;3000,"Low",IF(Table1[[#This Row],[Total_Income]]&lt;7000,"Medium","High"))</f>
        <v>High</v>
      </c>
      <c r="P1179" s="1" t="str">
        <f t="shared" si="54"/>
        <v>Rejected</v>
      </c>
      <c r="Q1179" s="1" t="str">
        <f t="shared" si="55"/>
        <v>High Risk</v>
      </c>
      <c r="R1179" s="2">
        <f t="shared" si="56"/>
        <v>5241.3520761514192</v>
      </c>
    </row>
    <row r="1180" spans="1:18" s="1" customFormat="1" ht="11.5" x14ac:dyDescent="0.25">
      <c r="A1180" s="1" t="s">
        <v>1211</v>
      </c>
      <c r="B1180" s="1" t="s">
        <v>1238</v>
      </c>
      <c r="C1180" s="1" t="s">
        <v>22</v>
      </c>
      <c r="D1180" s="1">
        <v>0</v>
      </c>
      <c r="E1180" s="1" t="s">
        <v>17</v>
      </c>
      <c r="F1180" s="1" t="s">
        <v>22</v>
      </c>
      <c r="G1180" s="1">
        <v>10297</v>
      </c>
      <c r="H1180" s="1">
        <v>8875</v>
      </c>
      <c r="I1180" s="1">
        <v>218</v>
      </c>
      <c r="J1180" s="1">
        <v>360</v>
      </c>
      <c r="K1180" s="1">
        <v>1</v>
      </c>
      <c r="L1180" s="1" t="s">
        <v>41</v>
      </c>
      <c r="M1180" s="1">
        <f>Table1[[#This Row],[ApplicantIncome]]+Table1[[#This Row],[CoapplicantIncome]]</f>
        <v>19172</v>
      </c>
      <c r="N1180" s="1" t="s">
        <v>20</v>
      </c>
      <c r="O1180" s="1" t="str">
        <f>IF(Table1[[#This Row],[Total_Income]]&lt;3000,"Low",IF(Table1[[#This Row],[Total_Income]]&lt;7000,"Medium","High"))</f>
        <v>High</v>
      </c>
      <c r="P1180" s="1" t="str">
        <f t="shared" si="54"/>
        <v>Approved</v>
      </c>
      <c r="Q1180" s="1" t="str">
        <f t="shared" si="55"/>
        <v>Low Risk</v>
      </c>
      <c r="R1180" s="2">
        <f t="shared" si="56"/>
        <v>1599.6067710570401</v>
      </c>
    </row>
    <row r="1181" spans="1:18" s="1" customFormat="1" ht="11.5" x14ac:dyDescent="0.25">
      <c r="A1181" s="1" t="s">
        <v>1212</v>
      </c>
      <c r="B1181" s="1" t="s">
        <v>28</v>
      </c>
      <c r="C1181" s="1" t="s">
        <v>22</v>
      </c>
      <c r="D1181" s="1">
        <v>0</v>
      </c>
      <c r="E1181" s="1" t="s">
        <v>25</v>
      </c>
      <c r="F1181" s="1" t="s">
        <v>22</v>
      </c>
      <c r="G1181" s="1">
        <v>16325</v>
      </c>
      <c r="H1181" s="1">
        <v>6362</v>
      </c>
      <c r="I1181" s="1">
        <v>286</v>
      </c>
      <c r="J1181" s="1">
        <v>180</v>
      </c>
      <c r="K1181" s="1">
        <v>0</v>
      </c>
      <c r="L1181" s="1" t="s">
        <v>41</v>
      </c>
      <c r="M1181" s="1">
        <f>Table1[[#This Row],[ApplicantIncome]]+Table1[[#This Row],[CoapplicantIncome]]</f>
        <v>22687</v>
      </c>
      <c r="N1181" s="1" t="s">
        <v>20</v>
      </c>
      <c r="O1181" s="1" t="str">
        <f>IF(Table1[[#This Row],[Total_Income]]&lt;3000,"Low",IF(Table1[[#This Row],[Total_Income]]&lt;7000,"Medium","High"))</f>
        <v>High</v>
      </c>
      <c r="P1181" s="1" t="str">
        <f t="shared" si="54"/>
        <v>Approved</v>
      </c>
      <c r="Q1181" s="1" t="str">
        <f t="shared" si="55"/>
        <v>High Risk</v>
      </c>
      <c r="R1181" s="2">
        <f t="shared" si="56"/>
        <v>2733.1649611848052</v>
      </c>
    </row>
    <row r="1182" spans="1:18" s="1" customFormat="1" ht="11.5" x14ac:dyDescent="0.25">
      <c r="A1182" s="1" t="s">
        <v>1213</v>
      </c>
      <c r="B1182" s="1" t="s">
        <v>1238</v>
      </c>
      <c r="C1182" s="1" t="s">
        <v>22</v>
      </c>
      <c r="D1182" s="1">
        <v>0</v>
      </c>
      <c r="E1182" s="1" t="s">
        <v>25</v>
      </c>
      <c r="F1182" s="1" t="s">
        <v>22</v>
      </c>
      <c r="G1182" s="1">
        <v>11136</v>
      </c>
      <c r="H1182" s="1">
        <v>9468</v>
      </c>
      <c r="I1182" s="1">
        <v>357</v>
      </c>
      <c r="J1182" s="1">
        <v>360</v>
      </c>
      <c r="K1182" s="1">
        <v>1</v>
      </c>
      <c r="L1182" s="1" t="s">
        <v>19</v>
      </c>
      <c r="M1182" s="1">
        <f>Table1[[#This Row],[ApplicantIncome]]+Table1[[#This Row],[CoapplicantIncome]]</f>
        <v>20604</v>
      </c>
      <c r="N1182" s="1" t="s">
        <v>26</v>
      </c>
      <c r="O1182" s="1" t="str">
        <f>IF(Table1[[#This Row],[Total_Income]]&lt;3000,"Low",IF(Table1[[#This Row],[Total_Income]]&lt;7000,"Medium","High"))</f>
        <v>High</v>
      </c>
      <c r="P1182" s="1" t="str">
        <f t="shared" si="54"/>
        <v>Rejected</v>
      </c>
      <c r="Q1182" s="1" t="str">
        <f t="shared" si="55"/>
        <v>Low Risk</v>
      </c>
      <c r="R1182" s="2">
        <f t="shared" si="56"/>
        <v>2619.5395287493729</v>
      </c>
    </row>
    <row r="1183" spans="1:18" s="1" customFormat="1" ht="11.5" x14ac:dyDescent="0.25">
      <c r="A1183" s="1" t="s">
        <v>1214</v>
      </c>
      <c r="B1183" s="1" t="s">
        <v>28</v>
      </c>
      <c r="C1183" s="1" t="s">
        <v>22</v>
      </c>
      <c r="D1183" s="1">
        <v>2</v>
      </c>
      <c r="E1183" s="1" t="s">
        <v>25</v>
      </c>
      <c r="F1183" s="1" t="s">
        <v>22</v>
      </c>
      <c r="G1183" s="1">
        <v>12220</v>
      </c>
      <c r="H1183" s="1">
        <v>1247</v>
      </c>
      <c r="I1183" s="1">
        <v>200</v>
      </c>
      <c r="J1183" s="1">
        <v>180</v>
      </c>
      <c r="K1183" s="1">
        <v>0</v>
      </c>
      <c r="L1183" s="1" t="s">
        <v>41</v>
      </c>
      <c r="M1183" s="1">
        <f>Table1[[#This Row],[ApplicantIncome]]+Table1[[#This Row],[CoapplicantIncome]]</f>
        <v>13467</v>
      </c>
      <c r="N1183" s="1" t="s">
        <v>20</v>
      </c>
      <c r="O1183" s="1" t="str">
        <f>IF(Table1[[#This Row],[Total_Income]]&lt;3000,"Low",IF(Table1[[#This Row],[Total_Income]]&lt;7000,"Medium","High"))</f>
        <v>High</v>
      </c>
      <c r="P1183" s="1" t="str">
        <f t="shared" si="54"/>
        <v>Approved</v>
      </c>
      <c r="Q1183" s="1" t="str">
        <f t="shared" si="55"/>
        <v>High Risk</v>
      </c>
      <c r="R1183" s="2">
        <f t="shared" si="56"/>
        <v>1911.304168660703</v>
      </c>
    </row>
    <row r="1184" spans="1:18" s="1" customFormat="1" ht="11.5" x14ac:dyDescent="0.25">
      <c r="A1184" s="1" t="s">
        <v>1215</v>
      </c>
      <c r="B1184" s="1" t="s">
        <v>1238</v>
      </c>
      <c r="C1184" s="1" t="s">
        <v>22</v>
      </c>
      <c r="D1184" s="1">
        <v>1</v>
      </c>
      <c r="E1184" s="1" t="s">
        <v>17</v>
      </c>
      <c r="F1184" s="1" t="s">
        <v>29</v>
      </c>
      <c r="G1184" s="1">
        <v>14162</v>
      </c>
      <c r="H1184" s="1">
        <v>5546</v>
      </c>
      <c r="I1184" s="1">
        <v>466</v>
      </c>
      <c r="J1184" s="1">
        <v>360</v>
      </c>
      <c r="K1184" s="1">
        <v>1</v>
      </c>
      <c r="L1184" s="1" t="s">
        <v>19</v>
      </c>
      <c r="M1184" s="1">
        <f>Table1[[#This Row],[ApplicantIncome]]+Table1[[#This Row],[CoapplicantIncome]]</f>
        <v>19708</v>
      </c>
      <c r="N1184" s="1" t="s">
        <v>20</v>
      </c>
      <c r="O1184" s="1" t="str">
        <f>IF(Table1[[#This Row],[Total_Income]]&lt;3000,"Low",IF(Table1[[#This Row],[Total_Income]]&lt;7000,"Medium","High"))</f>
        <v>High</v>
      </c>
      <c r="P1184" s="1" t="str">
        <f t="shared" si="54"/>
        <v>Approved</v>
      </c>
      <c r="Q1184" s="1" t="str">
        <f t="shared" si="55"/>
        <v>Low Risk</v>
      </c>
      <c r="R1184" s="2">
        <f t="shared" si="56"/>
        <v>3419.3429142778932</v>
      </c>
    </row>
    <row r="1185" spans="1:18" s="1" customFormat="1" ht="11.5" x14ac:dyDescent="0.25">
      <c r="A1185" s="1" t="s">
        <v>1216</v>
      </c>
      <c r="B1185" s="1" t="s">
        <v>52</v>
      </c>
      <c r="C1185" s="1" t="s">
        <v>29</v>
      </c>
      <c r="D1185" s="1" t="s">
        <v>16</v>
      </c>
      <c r="E1185" s="1" t="s">
        <v>17</v>
      </c>
      <c r="F1185" s="1" t="s">
        <v>22</v>
      </c>
      <c r="G1185" s="1">
        <v>8862</v>
      </c>
      <c r="H1185" s="1">
        <v>8879</v>
      </c>
      <c r="I1185" s="1">
        <v>576</v>
      </c>
      <c r="J1185" s="1">
        <v>120</v>
      </c>
      <c r="K1185" s="1">
        <v>0</v>
      </c>
      <c r="L1185" s="1" t="s">
        <v>41</v>
      </c>
      <c r="M1185" s="1">
        <f>Table1[[#This Row],[ApplicantIncome]]+Table1[[#This Row],[CoapplicantIncome]]</f>
        <v>17741</v>
      </c>
      <c r="N1185" s="1" t="s">
        <v>26</v>
      </c>
      <c r="O1185" s="1" t="str">
        <f>IF(Table1[[#This Row],[Total_Income]]&lt;3000,"Low",IF(Table1[[#This Row],[Total_Income]]&lt;7000,"Medium","High"))</f>
        <v>High</v>
      </c>
      <c r="P1185" s="1" t="str">
        <f t="shared" si="54"/>
        <v>Rejected</v>
      </c>
      <c r="Q1185" s="1" t="str">
        <f t="shared" si="55"/>
        <v>High Risk</v>
      </c>
      <c r="R1185" s="2">
        <f t="shared" si="56"/>
        <v>6988.4694348685589</v>
      </c>
    </row>
    <row r="1186" spans="1:18" s="1" customFormat="1" ht="11.5" x14ac:dyDescent="0.25">
      <c r="A1186" s="1" t="s">
        <v>1217</v>
      </c>
      <c r="B1186" s="1" t="s">
        <v>52</v>
      </c>
      <c r="C1186" s="1" t="s">
        <v>29</v>
      </c>
      <c r="D1186" s="1">
        <v>0</v>
      </c>
      <c r="E1186" s="1" t="s">
        <v>25</v>
      </c>
      <c r="F1186" s="1" t="s">
        <v>22</v>
      </c>
      <c r="G1186" s="1">
        <v>19270</v>
      </c>
      <c r="H1186" s="1">
        <v>4750</v>
      </c>
      <c r="I1186" s="1">
        <v>606</v>
      </c>
      <c r="J1186" s="1">
        <v>360</v>
      </c>
      <c r="K1186" s="1">
        <v>0</v>
      </c>
      <c r="L1186" s="1" t="s">
        <v>19</v>
      </c>
      <c r="M1186" s="1">
        <f>Table1[[#This Row],[ApplicantIncome]]+Table1[[#This Row],[CoapplicantIncome]]</f>
        <v>24020</v>
      </c>
      <c r="N1186" s="1" t="s">
        <v>26</v>
      </c>
      <c r="O1186" s="1" t="str">
        <f>IF(Table1[[#This Row],[Total_Income]]&lt;3000,"Low",IF(Table1[[#This Row],[Total_Income]]&lt;7000,"Medium","High"))</f>
        <v>High</v>
      </c>
      <c r="P1186" s="1" t="str">
        <f t="shared" si="54"/>
        <v>Rejected</v>
      </c>
      <c r="Q1186" s="1" t="str">
        <f t="shared" si="55"/>
        <v>High Risk</v>
      </c>
      <c r="R1186" s="2">
        <f t="shared" si="56"/>
        <v>4446.6133177090196</v>
      </c>
    </row>
    <row r="1187" spans="1:18" s="1" customFormat="1" ht="11.5" x14ac:dyDescent="0.25">
      <c r="A1187" s="1" t="s">
        <v>1218</v>
      </c>
      <c r="B1187" s="1" t="s">
        <v>52</v>
      </c>
      <c r="C1187" s="1" t="s">
        <v>22</v>
      </c>
      <c r="D1187" s="1">
        <v>0</v>
      </c>
      <c r="E1187" s="1" t="s">
        <v>17</v>
      </c>
      <c r="F1187" s="1" t="s">
        <v>22</v>
      </c>
      <c r="G1187" s="1">
        <v>1663</v>
      </c>
      <c r="H1187" s="1">
        <v>8470</v>
      </c>
      <c r="I1187" s="1">
        <v>269</v>
      </c>
      <c r="J1187" s="1">
        <v>360</v>
      </c>
      <c r="K1187" s="1">
        <v>0</v>
      </c>
      <c r="L1187" s="1" t="s">
        <v>41</v>
      </c>
      <c r="M1187" s="1">
        <f>Table1[[#This Row],[ApplicantIncome]]+Table1[[#This Row],[CoapplicantIncome]]</f>
        <v>10133</v>
      </c>
      <c r="N1187" s="1" t="s">
        <v>20</v>
      </c>
      <c r="O1187" s="1" t="str">
        <f>IF(Table1[[#This Row],[Total_Income]]&lt;3000,"Low",IF(Table1[[#This Row],[Total_Income]]&lt;7000,"Medium","High"))</f>
        <v>High</v>
      </c>
      <c r="P1187" s="1" t="str">
        <f t="shared" si="54"/>
        <v>Approved</v>
      </c>
      <c r="Q1187" s="1" t="str">
        <f t="shared" si="55"/>
        <v>High Risk</v>
      </c>
      <c r="R1187" s="2">
        <f t="shared" si="56"/>
        <v>1973.8267037355217</v>
      </c>
    </row>
    <row r="1188" spans="1:18" s="1" customFormat="1" ht="11.5" x14ac:dyDescent="0.25">
      <c r="A1188" s="1" t="s">
        <v>1219</v>
      </c>
      <c r="B1188" s="1" t="s">
        <v>28</v>
      </c>
      <c r="C1188" s="1" t="s">
        <v>29</v>
      </c>
      <c r="D1188" s="1" t="s">
        <v>16</v>
      </c>
      <c r="E1188" s="1" t="s">
        <v>17</v>
      </c>
      <c r="F1188" s="1" t="s">
        <v>22</v>
      </c>
      <c r="G1188" s="1">
        <v>1735</v>
      </c>
      <c r="H1188" s="1">
        <v>5415</v>
      </c>
      <c r="I1188" s="1">
        <v>417</v>
      </c>
      <c r="J1188" s="1">
        <v>360</v>
      </c>
      <c r="K1188" s="1">
        <v>0</v>
      </c>
      <c r="L1188" s="1" t="s">
        <v>41</v>
      </c>
      <c r="M1188" s="1">
        <f>Table1[[#This Row],[ApplicantIncome]]+Table1[[#This Row],[CoapplicantIncome]]</f>
        <v>7150</v>
      </c>
      <c r="N1188" s="1" t="s">
        <v>20</v>
      </c>
      <c r="O1188" s="1" t="str">
        <f>IF(Table1[[#This Row],[Total_Income]]&lt;3000,"Low",IF(Table1[[#This Row],[Total_Income]]&lt;7000,"Medium","High"))</f>
        <v>High</v>
      </c>
      <c r="P1188" s="1" t="str">
        <f t="shared" si="54"/>
        <v>Approved</v>
      </c>
      <c r="Q1188" s="1" t="str">
        <f t="shared" si="55"/>
        <v>High Risk</v>
      </c>
      <c r="R1188" s="2">
        <f t="shared" si="56"/>
        <v>3059.7982730769991</v>
      </c>
    </row>
    <row r="1189" spans="1:18" s="1" customFormat="1" ht="11.5" x14ac:dyDescent="0.25">
      <c r="A1189" s="1" t="s">
        <v>1220</v>
      </c>
      <c r="B1189" s="1" t="s">
        <v>52</v>
      </c>
      <c r="C1189" s="1" t="s">
        <v>22</v>
      </c>
      <c r="D1189" s="1">
        <v>1</v>
      </c>
      <c r="E1189" s="1" t="s">
        <v>17</v>
      </c>
      <c r="F1189" s="1" t="s">
        <v>22</v>
      </c>
      <c r="G1189" s="1">
        <v>7266</v>
      </c>
      <c r="H1189" s="1">
        <v>4982</v>
      </c>
      <c r="I1189" s="1">
        <v>450</v>
      </c>
      <c r="J1189" s="1">
        <v>120</v>
      </c>
      <c r="K1189" s="1">
        <v>0</v>
      </c>
      <c r="L1189" s="1" t="s">
        <v>30</v>
      </c>
      <c r="M1189" s="1">
        <f>Table1[[#This Row],[ApplicantIncome]]+Table1[[#This Row],[CoapplicantIncome]]</f>
        <v>12248</v>
      </c>
      <c r="N1189" s="1" t="s">
        <v>26</v>
      </c>
      <c r="O1189" s="1" t="str">
        <f>IF(Table1[[#This Row],[Total_Income]]&lt;3000,"Low",IF(Table1[[#This Row],[Total_Income]]&lt;7000,"Medium","High"))</f>
        <v>High</v>
      </c>
      <c r="P1189" s="1" t="str">
        <f t="shared" si="54"/>
        <v>Rejected</v>
      </c>
      <c r="Q1189" s="1" t="str">
        <f t="shared" si="55"/>
        <v>High Risk</v>
      </c>
      <c r="R1189" s="2">
        <f t="shared" si="56"/>
        <v>5459.7417459910612</v>
      </c>
    </row>
    <row r="1190" spans="1:18" s="1" customFormat="1" ht="11.5" x14ac:dyDescent="0.25">
      <c r="A1190" s="1" t="s">
        <v>1221</v>
      </c>
      <c r="B1190" s="1" t="s">
        <v>52</v>
      </c>
      <c r="C1190" s="1" t="s">
        <v>22</v>
      </c>
      <c r="D1190" s="1" t="s">
        <v>16</v>
      </c>
      <c r="E1190" s="1" t="s">
        <v>25</v>
      </c>
      <c r="F1190" s="1" t="s">
        <v>22</v>
      </c>
      <c r="G1190" s="1">
        <v>4777</v>
      </c>
      <c r="H1190" s="1">
        <v>5284</v>
      </c>
      <c r="I1190" s="1">
        <v>219</v>
      </c>
      <c r="J1190" s="1">
        <v>360</v>
      </c>
      <c r="K1190" s="1">
        <v>1</v>
      </c>
      <c r="L1190" s="1" t="s">
        <v>41</v>
      </c>
      <c r="M1190" s="1">
        <f>Table1[[#This Row],[ApplicantIncome]]+Table1[[#This Row],[CoapplicantIncome]]</f>
        <v>10061</v>
      </c>
      <c r="N1190" s="1" t="s">
        <v>20</v>
      </c>
      <c r="O1190" s="1" t="str">
        <f>IF(Table1[[#This Row],[Total_Income]]&lt;3000,"Low",IF(Table1[[#This Row],[Total_Income]]&lt;7000,"Medium","High"))</f>
        <v>High</v>
      </c>
      <c r="P1190" s="1" t="str">
        <f t="shared" si="54"/>
        <v>Approved</v>
      </c>
      <c r="Q1190" s="1" t="str">
        <f t="shared" si="55"/>
        <v>Low Risk</v>
      </c>
      <c r="R1190" s="2">
        <f t="shared" si="56"/>
        <v>1606.9444167958338</v>
      </c>
    </row>
    <row r="1191" spans="1:18" s="1" customFormat="1" ht="11.5" x14ac:dyDescent="0.25">
      <c r="A1191" s="1" t="s">
        <v>1222</v>
      </c>
      <c r="B1191" s="1" t="s">
        <v>1238</v>
      </c>
      <c r="C1191" s="1" t="s">
        <v>22</v>
      </c>
      <c r="D1191" s="1">
        <v>1</v>
      </c>
      <c r="E1191" s="1" t="s">
        <v>17</v>
      </c>
      <c r="F1191" s="1" t="s">
        <v>29</v>
      </c>
      <c r="G1191" s="1">
        <v>8798</v>
      </c>
      <c r="H1191" s="1">
        <v>8984</v>
      </c>
      <c r="I1191" s="1">
        <v>112</v>
      </c>
      <c r="J1191" s="1">
        <v>360</v>
      </c>
      <c r="K1191" s="1">
        <v>1</v>
      </c>
      <c r="L1191" s="1" t="s">
        <v>19</v>
      </c>
      <c r="M1191" s="1">
        <f>Table1[[#This Row],[ApplicantIncome]]+Table1[[#This Row],[CoapplicantIncome]]</f>
        <v>17782</v>
      </c>
      <c r="N1191" s="1" t="s">
        <v>26</v>
      </c>
      <c r="O1191" s="1" t="str">
        <f>IF(Table1[[#This Row],[Total_Income]]&lt;3000,"Low",IF(Table1[[#This Row],[Total_Income]]&lt;7000,"Medium","High"))</f>
        <v>High</v>
      </c>
      <c r="P1191" s="1" t="str">
        <f t="shared" si="54"/>
        <v>Rejected</v>
      </c>
      <c r="Q1191" s="1" t="str">
        <f t="shared" si="55"/>
        <v>Low Risk</v>
      </c>
      <c r="R1191" s="2">
        <f t="shared" si="56"/>
        <v>821.81632274490141</v>
      </c>
    </row>
    <row r="1192" spans="1:18" s="1" customFormat="1" ht="11.5" x14ac:dyDescent="0.25">
      <c r="A1192" s="1" t="s">
        <v>1223</v>
      </c>
      <c r="B1192" s="1" t="s">
        <v>1238</v>
      </c>
      <c r="C1192" s="1" t="s">
        <v>22</v>
      </c>
      <c r="D1192" s="1">
        <v>2</v>
      </c>
      <c r="E1192" s="1" t="s">
        <v>25</v>
      </c>
      <c r="F1192" s="1" t="s">
        <v>22</v>
      </c>
      <c r="G1192" s="1">
        <v>12264</v>
      </c>
      <c r="H1192" s="1">
        <v>673</v>
      </c>
      <c r="I1192" s="1">
        <v>97</v>
      </c>
      <c r="J1192" s="1">
        <v>360</v>
      </c>
      <c r="K1192" s="1">
        <v>0</v>
      </c>
      <c r="L1192" s="1" t="s">
        <v>19</v>
      </c>
      <c r="M1192" s="1">
        <f>Table1[[#This Row],[ApplicantIncome]]+Table1[[#This Row],[CoapplicantIncome]]</f>
        <v>12937</v>
      </c>
      <c r="N1192" s="1" t="s">
        <v>20</v>
      </c>
      <c r="O1192" s="1" t="str">
        <f>IF(Table1[[#This Row],[Total_Income]]&lt;3000,"Low",IF(Table1[[#This Row],[Total_Income]]&lt;7000,"Medium","High"))</f>
        <v>High</v>
      </c>
      <c r="P1192" s="1" t="str">
        <f t="shared" si="54"/>
        <v>Approved</v>
      </c>
      <c r="Q1192" s="1" t="str">
        <f t="shared" si="55"/>
        <v>High Risk</v>
      </c>
      <c r="R1192" s="2">
        <f t="shared" si="56"/>
        <v>711.75163666299488</v>
      </c>
    </row>
    <row r="1193" spans="1:18" s="1" customFormat="1" ht="11.5" x14ac:dyDescent="0.25">
      <c r="A1193" s="1" t="s">
        <v>1224</v>
      </c>
      <c r="B1193" s="1" t="s">
        <v>28</v>
      </c>
      <c r="C1193" s="1" t="s">
        <v>22</v>
      </c>
      <c r="D1193" s="1" t="s">
        <v>16</v>
      </c>
      <c r="E1193" s="1" t="s">
        <v>17</v>
      </c>
      <c r="F1193" s="1" t="s">
        <v>22</v>
      </c>
      <c r="G1193" s="1">
        <v>17446</v>
      </c>
      <c r="H1193" s="1">
        <v>9110</v>
      </c>
      <c r="I1193" s="1">
        <v>462</v>
      </c>
      <c r="J1193" s="1">
        <v>180</v>
      </c>
      <c r="K1193" s="1">
        <v>0</v>
      </c>
      <c r="L1193" s="1" t="s">
        <v>30</v>
      </c>
      <c r="M1193" s="1">
        <f>Table1[[#This Row],[ApplicantIncome]]+Table1[[#This Row],[CoapplicantIncome]]</f>
        <v>26556</v>
      </c>
      <c r="N1193" s="1" t="s">
        <v>26</v>
      </c>
      <c r="O1193" s="1" t="str">
        <f>IF(Table1[[#This Row],[Total_Income]]&lt;3000,"Low",IF(Table1[[#This Row],[Total_Income]]&lt;7000,"Medium","High"))</f>
        <v>High</v>
      </c>
      <c r="P1193" s="1" t="str">
        <f t="shared" si="54"/>
        <v>Rejected</v>
      </c>
      <c r="Q1193" s="1" t="str">
        <f t="shared" si="55"/>
        <v>High Risk</v>
      </c>
      <c r="R1193" s="2">
        <f t="shared" si="56"/>
        <v>4415.1126296062239</v>
      </c>
    </row>
    <row r="1194" spans="1:18" s="1" customFormat="1" ht="11.5" x14ac:dyDescent="0.25">
      <c r="A1194" s="1" t="s">
        <v>1225</v>
      </c>
      <c r="B1194" s="1" t="s">
        <v>52</v>
      </c>
      <c r="C1194" s="1" t="s">
        <v>29</v>
      </c>
      <c r="D1194" s="1">
        <v>0</v>
      </c>
      <c r="E1194" s="1" t="s">
        <v>25</v>
      </c>
      <c r="F1194" s="1" t="s">
        <v>22</v>
      </c>
      <c r="G1194" s="1">
        <v>3294</v>
      </c>
      <c r="H1194" s="1">
        <v>786</v>
      </c>
      <c r="I1194" s="1">
        <v>543</v>
      </c>
      <c r="J1194" s="1">
        <v>120</v>
      </c>
      <c r="K1194" s="1">
        <v>0</v>
      </c>
      <c r="L1194" s="1" t="s">
        <v>19</v>
      </c>
      <c r="M1194" s="1">
        <f>Table1[[#This Row],[ApplicantIncome]]+Table1[[#This Row],[CoapplicantIncome]]</f>
        <v>4080</v>
      </c>
      <c r="N1194" s="1" t="s">
        <v>20</v>
      </c>
      <c r="O1194" s="1" t="str">
        <f>IF(Table1[[#This Row],[Total_Income]]&lt;3000,"Low",IF(Table1[[#This Row],[Total_Income]]&lt;7000,"Medium","High"))</f>
        <v>Medium</v>
      </c>
      <c r="P1194" s="1" t="str">
        <f t="shared" si="54"/>
        <v>Approved</v>
      </c>
      <c r="Q1194" s="1" t="str">
        <f t="shared" si="55"/>
        <v>High Risk</v>
      </c>
      <c r="R1194" s="2">
        <f t="shared" si="56"/>
        <v>6588.0883734958807</v>
      </c>
    </row>
    <row r="1195" spans="1:18" s="1" customFormat="1" ht="11.5" x14ac:dyDescent="0.25">
      <c r="A1195" s="1" t="s">
        <v>1226</v>
      </c>
      <c r="B1195" s="1" t="s">
        <v>28</v>
      </c>
      <c r="C1195" s="1" t="s">
        <v>22</v>
      </c>
      <c r="D1195" s="1">
        <v>2</v>
      </c>
      <c r="E1195" s="1" t="s">
        <v>17</v>
      </c>
      <c r="F1195" s="1" t="s">
        <v>29</v>
      </c>
      <c r="G1195" s="1">
        <v>5645</v>
      </c>
      <c r="H1195" s="1">
        <v>6893</v>
      </c>
      <c r="I1195" s="1">
        <v>561</v>
      </c>
      <c r="J1195" s="1">
        <v>180</v>
      </c>
      <c r="K1195" s="1">
        <v>0</v>
      </c>
      <c r="L1195" s="1" t="s">
        <v>19</v>
      </c>
      <c r="M1195" s="1">
        <f>Table1[[#This Row],[ApplicantIncome]]+Table1[[#This Row],[CoapplicantIncome]]</f>
        <v>12538</v>
      </c>
      <c r="N1195" s="1" t="s">
        <v>20</v>
      </c>
      <c r="O1195" s="1" t="str">
        <f>IF(Table1[[#This Row],[Total_Income]]&lt;3000,"Low",IF(Table1[[#This Row],[Total_Income]]&lt;7000,"Medium","High"))</f>
        <v>High</v>
      </c>
      <c r="P1195" s="1" t="str">
        <f t="shared" si="54"/>
        <v>Approved</v>
      </c>
      <c r="Q1195" s="1" t="str">
        <f t="shared" si="55"/>
        <v>High Risk</v>
      </c>
      <c r="R1195" s="2">
        <f t="shared" si="56"/>
        <v>5361.2081930932718</v>
      </c>
    </row>
    <row r="1196" spans="1:18" s="1" customFormat="1" ht="11.5" x14ac:dyDescent="0.25">
      <c r="A1196" s="1" t="s">
        <v>1227</v>
      </c>
      <c r="B1196" s="1" t="s">
        <v>28</v>
      </c>
      <c r="C1196" s="1" t="s">
        <v>22</v>
      </c>
      <c r="D1196" s="1">
        <v>0</v>
      </c>
      <c r="E1196" s="1" t="s">
        <v>17</v>
      </c>
      <c r="F1196" s="1" t="s">
        <v>29</v>
      </c>
      <c r="G1196" s="1">
        <v>10023</v>
      </c>
      <c r="H1196" s="1">
        <v>6251</v>
      </c>
      <c r="I1196" s="1">
        <v>210</v>
      </c>
      <c r="J1196" s="1">
        <v>360</v>
      </c>
      <c r="K1196" s="1">
        <v>0</v>
      </c>
      <c r="L1196" s="1" t="s">
        <v>41</v>
      </c>
      <c r="M1196" s="1">
        <f>Table1[[#This Row],[ApplicantIncome]]+Table1[[#This Row],[CoapplicantIncome]]</f>
        <v>16274</v>
      </c>
      <c r="N1196" s="1" t="s">
        <v>26</v>
      </c>
      <c r="O1196" s="1" t="str">
        <f>IF(Table1[[#This Row],[Total_Income]]&lt;3000,"Low",IF(Table1[[#This Row],[Total_Income]]&lt;7000,"Medium","High"))</f>
        <v>High</v>
      </c>
      <c r="P1196" s="1" t="str">
        <f t="shared" si="54"/>
        <v>Rejected</v>
      </c>
      <c r="Q1196" s="1" t="str">
        <f t="shared" si="55"/>
        <v>High Risk</v>
      </c>
      <c r="R1196" s="2">
        <f t="shared" si="56"/>
        <v>1540.90560514669</v>
      </c>
    </row>
    <row r="1197" spans="1:18" s="1" customFormat="1" ht="11.5" x14ac:dyDescent="0.25">
      <c r="A1197" s="1" t="s">
        <v>1228</v>
      </c>
      <c r="B1197" s="1" t="s">
        <v>28</v>
      </c>
      <c r="C1197" s="1" t="s">
        <v>22</v>
      </c>
      <c r="D1197" s="1">
        <v>2</v>
      </c>
      <c r="E1197" s="1" t="s">
        <v>25</v>
      </c>
      <c r="F1197" s="1" t="s">
        <v>29</v>
      </c>
      <c r="G1197" s="1">
        <v>5678</v>
      </c>
      <c r="H1197" s="1">
        <v>3152</v>
      </c>
      <c r="I1197" s="1">
        <v>298</v>
      </c>
      <c r="J1197" s="1">
        <v>120</v>
      </c>
      <c r="K1197" s="1">
        <v>0</v>
      </c>
      <c r="L1197" s="1" t="s">
        <v>30</v>
      </c>
      <c r="M1197" s="1">
        <f>Table1[[#This Row],[ApplicantIncome]]+Table1[[#This Row],[CoapplicantIncome]]</f>
        <v>8830</v>
      </c>
      <c r="N1197" s="1" t="s">
        <v>20</v>
      </c>
      <c r="O1197" s="1" t="str">
        <f>IF(Table1[[#This Row],[Total_Income]]&lt;3000,"Low",IF(Table1[[#This Row],[Total_Income]]&lt;7000,"Medium","High"))</f>
        <v>High</v>
      </c>
      <c r="P1197" s="1" t="str">
        <f t="shared" si="54"/>
        <v>Approved</v>
      </c>
      <c r="Q1197" s="1" t="str">
        <f t="shared" si="55"/>
        <v>High Risk</v>
      </c>
      <c r="R1197" s="2">
        <f t="shared" si="56"/>
        <v>3615.5623117896366</v>
      </c>
    </row>
    <row r="1198" spans="1:18" s="1" customFormat="1" ht="11.5" x14ac:dyDescent="0.25">
      <c r="A1198" s="1" t="s">
        <v>1229</v>
      </c>
      <c r="B1198" s="1" t="s">
        <v>1238</v>
      </c>
      <c r="C1198" s="1" t="s">
        <v>29</v>
      </c>
      <c r="D1198" s="1" t="s">
        <v>16</v>
      </c>
      <c r="E1198" s="1" t="s">
        <v>17</v>
      </c>
      <c r="F1198" s="1" t="s">
        <v>22</v>
      </c>
      <c r="G1198" s="1">
        <v>2084</v>
      </c>
      <c r="H1198" s="1">
        <v>6444</v>
      </c>
      <c r="I1198" s="1">
        <v>260</v>
      </c>
      <c r="J1198" s="1">
        <v>180</v>
      </c>
      <c r="K1198" s="1">
        <v>0</v>
      </c>
      <c r="L1198" s="1" t="s">
        <v>41</v>
      </c>
      <c r="M1198" s="1">
        <f>Table1[[#This Row],[ApplicantIncome]]+Table1[[#This Row],[CoapplicantIncome]]</f>
        <v>8528</v>
      </c>
      <c r="N1198" s="1" t="s">
        <v>26</v>
      </c>
      <c r="O1198" s="1" t="str">
        <f>IF(Table1[[#This Row],[Total_Income]]&lt;3000,"Low",IF(Table1[[#This Row],[Total_Income]]&lt;7000,"Medium","High"))</f>
        <v>High</v>
      </c>
      <c r="P1198" s="1" t="str">
        <f t="shared" si="54"/>
        <v>Rejected</v>
      </c>
      <c r="Q1198" s="1" t="str">
        <f t="shared" si="55"/>
        <v>High Risk</v>
      </c>
      <c r="R1198" s="2">
        <f t="shared" si="56"/>
        <v>2484.6954192589137</v>
      </c>
    </row>
    <row r="1199" spans="1:18" s="1" customFormat="1" ht="11.5" x14ac:dyDescent="0.25">
      <c r="A1199" s="1" t="s">
        <v>1230</v>
      </c>
      <c r="B1199" s="1" t="s">
        <v>52</v>
      </c>
      <c r="C1199" s="1" t="s">
        <v>22</v>
      </c>
      <c r="D1199" s="1" t="s">
        <v>16</v>
      </c>
      <c r="E1199" s="1" t="s">
        <v>17</v>
      </c>
      <c r="F1199" s="1" t="s">
        <v>22</v>
      </c>
      <c r="G1199" s="1">
        <v>13938</v>
      </c>
      <c r="H1199" s="1">
        <v>7894</v>
      </c>
      <c r="I1199" s="1">
        <v>102</v>
      </c>
      <c r="J1199" s="1">
        <v>180</v>
      </c>
      <c r="K1199" s="1">
        <v>0</v>
      </c>
      <c r="L1199" s="1" t="s">
        <v>19</v>
      </c>
      <c r="M1199" s="1">
        <f>Table1[[#This Row],[ApplicantIncome]]+Table1[[#This Row],[CoapplicantIncome]]</f>
        <v>21832</v>
      </c>
      <c r="N1199" s="1" t="s">
        <v>20</v>
      </c>
      <c r="O1199" s="1" t="str">
        <f>IF(Table1[[#This Row],[Total_Income]]&lt;3000,"Low",IF(Table1[[#This Row],[Total_Income]]&lt;7000,"Medium","High"))</f>
        <v>High</v>
      </c>
      <c r="P1199" s="1" t="str">
        <f t="shared" si="54"/>
        <v>Approved</v>
      </c>
      <c r="Q1199" s="1" t="str">
        <f t="shared" si="55"/>
        <v>High Risk</v>
      </c>
      <c r="R1199" s="2">
        <f t="shared" si="56"/>
        <v>974.76512601695845</v>
      </c>
    </row>
    <row r="1200" spans="1:18" s="1" customFormat="1" ht="11.5" x14ac:dyDescent="0.25">
      <c r="A1200" s="1" t="s">
        <v>1231</v>
      </c>
      <c r="B1200" s="1" t="s">
        <v>1238</v>
      </c>
      <c r="C1200" s="1" t="s">
        <v>29</v>
      </c>
      <c r="D1200" s="1" t="s">
        <v>16</v>
      </c>
      <c r="E1200" s="1" t="s">
        <v>17</v>
      </c>
      <c r="F1200" s="1" t="s">
        <v>29</v>
      </c>
      <c r="G1200" s="1">
        <v>2114</v>
      </c>
      <c r="H1200" s="1">
        <v>7525</v>
      </c>
      <c r="I1200" s="1">
        <v>248</v>
      </c>
      <c r="J1200" s="1">
        <v>120</v>
      </c>
      <c r="K1200" s="1">
        <v>0</v>
      </c>
      <c r="L1200" s="1" t="s">
        <v>30</v>
      </c>
      <c r="M1200" s="1">
        <f>Table1[[#This Row],[ApplicantIncome]]+Table1[[#This Row],[CoapplicantIncome]]</f>
        <v>9639</v>
      </c>
      <c r="N1200" s="1" t="s">
        <v>26</v>
      </c>
      <c r="O1200" s="1" t="str">
        <f>IF(Table1[[#This Row],[Total_Income]]&lt;3000,"Low",IF(Table1[[#This Row],[Total_Income]]&lt;7000,"Medium","High"))</f>
        <v>High</v>
      </c>
      <c r="P1200" s="1" t="str">
        <f t="shared" si="54"/>
        <v>Rejected</v>
      </c>
      <c r="Q1200" s="1" t="str">
        <f t="shared" si="55"/>
        <v>High Risk</v>
      </c>
      <c r="R1200" s="2">
        <f t="shared" si="56"/>
        <v>3008.9243400128516</v>
      </c>
    </row>
    <row r="1201" spans="1:18" s="1" customFormat="1" ht="11.5" x14ac:dyDescent="0.25">
      <c r="A1201" s="1" t="s">
        <v>1232</v>
      </c>
      <c r="B1201" s="1" t="s">
        <v>52</v>
      </c>
      <c r="C1201" s="1" t="s">
        <v>29</v>
      </c>
      <c r="D1201" s="1">
        <v>2</v>
      </c>
      <c r="E1201" s="1" t="s">
        <v>17</v>
      </c>
      <c r="F1201" s="1" t="s">
        <v>29</v>
      </c>
      <c r="G1201" s="1">
        <v>16435</v>
      </c>
      <c r="H1201" s="1">
        <v>133</v>
      </c>
      <c r="I1201" s="1">
        <v>315</v>
      </c>
      <c r="J1201" s="1">
        <v>120</v>
      </c>
      <c r="K1201" s="1">
        <v>0</v>
      </c>
      <c r="L1201" s="1" t="s">
        <v>30</v>
      </c>
      <c r="M1201" s="1">
        <f>Table1[[#This Row],[ApplicantIncome]]+Table1[[#This Row],[CoapplicantIncome]]</f>
        <v>16568</v>
      </c>
      <c r="N1201" s="1" t="s">
        <v>26</v>
      </c>
      <c r="O1201" s="1" t="str">
        <f>IF(Table1[[#This Row],[Total_Income]]&lt;3000,"Low",IF(Table1[[#This Row],[Total_Income]]&lt;7000,"Medium","High"))</f>
        <v>High</v>
      </c>
      <c r="P1201" s="1" t="str">
        <f t="shared" si="54"/>
        <v>Rejected</v>
      </c>
      <c r="Q1201" s="1" t="str">
        <f t="shared" si="55"/>
        <v>High Risk</v>
      </c>
      <c r="R1201" s="2">
        <f t="shared" si="56"/>
        <v>3821.8192221937434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AC1-E772-4898-B9BD-722D1EFB975B}">
  <dimension ref="A1:I21"/>
  <sheetViews>
    <sheetView zoomScale="88" workbookViewId="0">
      <selection activeCell="D21" sqref="D21"/>
    </sheetView>
  </sheetViews>
  <sheetFormatPr defaultRowHeight="14.5" x14ac:dyDescent="0.35"/>
  <cols>
    <col min="1" max="1" width="15" bestFit="1" customWidth="1"/>
    <col min="2" max="2" width="8.7265625" bestFit="1" customWidth="1"/>
    <col min="3" max="3" width="20.36328125" bestFit="1" customWidth="1"/>
    <col min="4" max="4" width="33.54296875" bestFit="1" customWidth="1"/>
    <col min="5" max="5" width="10.36328125" bestFit="1" customWidth="1"/>
    <col min="6" max="6" width="17.1796875" bestFit="1" customWidth="1"/>
    <col min="7" max="7" width="8.7265625" bestFit="1" customWidth="1"/>
    <col min="8" max="8" width="8.26953125" bestFit="1" customWidth="1"/>
    <col min="9" max="9" width="10.36328125" bestFit="1" customWidth="1"/>
  </cols>
  <sheetData>
    <row r="1" spans="1:9" x14ac:dyDescent="0.35">
      <c r="A1" s="13" t="s">
        <v>1249</v>
      </c>
      <c r="B1" s="14"/>
      <c r="F1" s="12" t="s">
        <v>1252</v>
      </c>
      <c r="G1" s="12"/>
      <c r="H1" s="12"/>
      <c r="I1" s="12"/>
    </row>
    <row r="2" spans="1:9" x14ac:dyDescent="0.35">
      <c r="A2" s="5" t="s">
        <v>1241</v>
      </c>
      <c r="B2" s="6" t="s">
        <v>1248</v>
      </c>
      <c r="F2" s="3" t="s">
        <v>1248</v>
      </c>
      <c r="G2" s="3" t="s">
        <v>1256</v>
      </c>
      <c r="H2" s="4"/>
      <c r="I2" s="4"/>
    </row>
    <row r="3" spans="1:9" x14ac:dyDescent="0.35">
      <c r="A3" s="7" t="s">
        <v>1245</v>
      </c>
      <c r="B3" s="16">
        <v>568</v>
      </c>
      <c r="F3" s="3" t="s">
        <v>1255</v>
      </c>
      <c r="G3" s="4" t="s">
        <v>1245</v>
      </c>
      <c r="H3" s="4" t="s">
        <v>1246</v>
      </c>
      <c r="I3" s="4" t="s">
        <v>1247</v>
      </c>
    </row>
    <row r="4" spans="1:9" x14ac:dyDescent="0.35">
      <c r="A4" s="7" t="s">
        <v>1246</v>
      </c>
      <c r="B4" s="16">
        <v>632</v>
      </c>
      <c r="F4" s="4" t="s">
        <v>1253</v>
      </c>
      <c r="G4" s="17">
        <v>519</v>
      </c>
      <c r="H4" s="17">
        <v>584</v>
      </c>
      <c r="I4" s="17">
        <v>1103</v>
      </c>
    </row>
    <row r="5" spans="1:9" x14ac:dyDescent="0.35">
      <c r="A5" s="7" t="s">
        <v>1247</v>
      </c>
      <c r="B5" s="16">
        <v>1200</v>
      </c>
      <c r="F5" s="4" t="s">
        <v>1262</v>
      </c>
      <c r="G5" s="17">
        <v>2</v>
      </c>
      <c r="H5" s="17">
        <v>4</v>
      </c>
      <c r="I5" s="17">
        <v>6</v>
      </c>
    </row>
    <row r="6" spans="1:9" x14ac:dyDescent="0.35">
      <c r="F6" s="4" t="s">
        <v>1254</v>
      </c>
      <c r="G6" s="17">
        <v>47</v>
      </c>
      <c r="H6" s="17">
        <v>44</v>
      </c>
      <c r="I6" s="17">
        <v>91</v>
      </c>
    </row>
    <row r="7" spans="1:9" x14ac:dyDescent="0.35">
      <c r="F7" s="4" t="s">
        <v>1247</v>
      </c>
      <c r="G7" s="17">
        <v>568</v>
      </c>
      <c r="H7" s="17">
        <v>632</v>
      </c>
      <c r="I7" s="17">
        <v>1200</v>
      </c>
    </row>
    <row r="8" spans="1:9" x14ac:dyDescent="0.35">
      <c r="A8" s="12" t="s">
        <v>1250</v>
      </c>
      <c r="B8" s="12"/>
      <c r="C8" s="12"/>
      <c r="D8" s="12"/>
    </row>
    <row r="9" spans="1:9" x14ac:dyDescent="0.35">
      <c r="A9" s="5" t="s">
        <v>1248</v>
      </c>
      <c r="B9" s="5" t="s">
        <v>1256</v>
      </c>
      <c r="C9" s="6"/>
      <c r="D9" s="6"/>
    </row>
    <row r="10" spans="1:9" x14ac:dyDescent="0.35">
      <c r="A10" s="5" t="s">
        <v>1251</v>
      </c>
      <c r="B10" s="6" t="s">
        <v>1245</v>
      </c>
      <c r="C10" s="6" t="s">
        <v>1246</v>
      </c>
      <c r="D10" s="6" t="s">
        <v>1247</v>
      </c>
      <c r="F10" s="12" t="s">
        <v>1259</v>
      </c>
      <c r="G10" s="12"/>
      <c r="H10" s="12"/>
      <c r="I10" s="12"/>
    </row>
    <row r="11" spans="1:9" x14ac:dyDescent="0.35">
      <c r="A11" s="7" t="s">
        <v>30</v>
      </c>
      <c r="B11" s="16">
        <v>180</v>
      </c>
      <c r="C11" s="16">
        <v>215</v>
      </c>
      <c r="D11" s="16">
        <v>395</v>
      </c>
      <c r="F11" s="3" t="s">
        <v>1248</v>
      </c>
      <c r="G11" s="3" t="s">
        <v>1256</v>
      </c>
      <c r="H11" s="4"/>
      <c r="I11" s="4"/>
    </row>
    <row r="12" spans="1:9" x14ac:dyDescent="0.35">
      <c r="A12" s="7" t="s">
        <v>19</v>
      </c>
      <c r="B12" s="16">
        <v>211</v>
      </c>
      <c r="C12" s="16">
        <v>214</v>
      </c>
      <c r="D12" s="16">
        <v>425</v>
      </c>
      <c r="F12" s="3" t="s">
        <v>1242</v>
      </c>
      <c r="G12" s="4" t="s">
        <v>1245</v>
      </c>
      <c r="H12" s="4" t="s">
        <v>1246</v>
      </c>
      <c r="I12" s="4" t="s">
        <v>1247</v>
      </c>
    </row>
    <row r="13" spans="1:9" x14ac:dyDescent="0.35">
      <c r="A13" s="7" t="s">
        <v>41</v>
      </c>
      <c r="B13" s="16">
        <v>177</v>
      </c>
      <c r="C13" s="16">
        <v>203</v>
      </c>
      <c r="D13" s="16">
        <v>380</v>
      </c>
      <c r="F13" s="4" t="s">
        <v>1257</v>
      </c>
      <c r="G13" s="17">
        <v>387</v>
      </c>
      <c r="H13" s="17">
        <v>413</v>
      </c>
      <c r="I13" s="17">
        <v>800</v>
      </c>
    </row>
    <row r="14" spans="1:9" x14ac:dyDescent="0.35">
      <c r="A14" s="7" t="s">
        <v>1247</v>
      </c>
      <c r="B14" s="16">
        <v>568</v>
      </c>
      <c r="C14" s="16">
        <v>632</v>
      </c>
      <c r="D14" s="16">
        <v>1200</v>
      </c>
      <c r="F14" s="4" t="s">
        <v>1258</v>
      </c>
      <c r="G14" s="17">
        <v>181</v>
      </c>
      <c r="H14" s="17">
        <v>219</v>
      </c>
      <c r="I14" s="17">
        <v>400</v>
      </c>
    </row>
    <row r="15" spans="1:9" x14ac:dyDescent="0.35">
      <c r="F15" s="4" t="s">
        <v>1247</v>
      </c>
      <c r="G15" s="17">
        <v>568</v>
      </c>
      <c r="H15" s="17">
        <v>632</v>
      </c>
      <c r="I15" s="17">
        <v>1200</v>
      </c>
    </row>
    <row r="17" spans="3:4" x14ac:dyDescent="0.35">
      <c r="C17" s="12" t="s">
        <v>1261</v>
      </c>
      <c r="D17" s="12"/>
    </row>
    <row r="18" spans="3:4" x14ac:dyDescent="0.35">
      <c r="C18" s="3" t="s">
        <v>1241</v>
      </c>
      <c r="D18" s="4" t="s">
        <v>1260</v>
      </c>
    </row>
    <row r="19" spans="3:4" x14ac:dyDescent="0.35">
      <c r="C19" s="4" t="s">
        <v>1245</v>
      </c>
      <c r="D19" s="18">
        <v>363.75880281690144</v>
      </c>
    </row>
    <row r="20" spans="3:4" x14ac:dyDescent="0.35">
      <c r="C20" s="4" t="s">
        <v>1246</v>
      </c>
      <c r="D20" s="18">
        <v>381.12341772151899</v>
      </c>
    </row>
    <row r="21" spans="3:4" x14ac:dyDescent="0.35">
      <c r="C21" s="4" t="s">
        <v>1247</v>
      </c>
      <c r="D21" s="18">
        <v>372.90416666666664</v>
      </c>
    </row>
  </sheetData>
  <mergeCells count="5">
    <mergeCell ref="C17:D17"/>
    <mergeCell ref="A8:D8"/>
    <mergeCell ref="F1:I1"/>
    <mergeCell ref="F10:I10"/>
    <mergeCell ref="A1:B1"/>
  </mergeCells>
  <pageMargins left="0.7" right="0.7" top="0.75" bottom="0.75" header="0.3" footer="0.3"/>
  <pageSetup orientation="landscap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79BD-FFED-4568-B7C6-229F54D59AB5}">
  <dimension ref="A1:AW16"/>
  <sheetViews>
    <sheetView tabSelected="1" zoomScale="61" workbookViewId="0">
      <selection activeCell="Y19" sqref="Y19"/>
    </sheetView>
  </sheetViews>
  <sheetFormatPr defaultRowHeight="14.5" x14ac:dyDescent="0.35"/>
  <cols>
    <col min="1" max="1" width="16.6328125" style="8" bestFit="1" customWidth="1"/>
    <col min="2" max="2" width="9.90625" style="8" bestFit="1" customWidth="1"/>
    <col min="3" max="48" width="8.7265625" style="8"/>
    <col min="49" max="49" width="11.6328125" style="8" bestFit="1" customWidth="1"/>
    <col min="50" max="16384" width="8.7265625" style="8"/>
  </cols>
  <sheetData>
    <row r="1" spans="1:49" ht="14.5" customHeight="1" x14ac:dyDescent="0.35">
      <c r="A1" s="15" t="s">
        <v>1263</v>
      </c>
      <c r="B1" s="15"/>
      <c r="C1" s="15"/>
      <c r="D1" s="15"/>
      <c r="E1" s="15"/>
      <c r="F1" s="15"/>
      <c r="G1" s="15"/>
      <c r="H1" s="15"/>
      <c r="I1" s="15"/>
      <c r="J1" s="15"/>
      <c r="K1" s="15"/>
      <c r="L1" s="15"/>
      <c r="M1" s="15"/>
      <c r="N1" s="15"/>
      <c r="O1" s="15"/>
      <c r="P1" s="15"/>
      <c r="Q1" s="15"/>
      <c r="R1" s="15"/>
      <c r="S1" s="15"/>
      <c r="T1" s="15"/>
      <c r="U1" s="15"/>
      <c r="V1" s="15"/>
    </row>
    <row r="2" spans="1:49" ht="14.5" customHeight="1" x14ac:dyDescent="0.35">
      <c r="A2" s="15"/>
      <c r="B2" s="15"/>
      <c r="C2" s="15"/>
      <c r="D2" s="15"/>
      <c r="E2" s="15"/>
      <c r="F2" s="15"/>
      <c r="G2" s="15"/>
      <c r="H2" s="15"/>
      <c r="I2" s="15"/>
      <c r="J2" s="15"/>
      <c r="K2" s="15"/>
      <c r="L2" s="15"/>
      <c r="M2" s="15"/>
      <c r="N2" s="15"/>
      <c r="O2" s="15"/>
      <c r="P2" s="15"/>
      <c r="Q2" s="15"/>
      <c r="R2" s="15"/>
      <c r="S2" s="15"/>
      <c r="T2" s="15"/>
      <c r="U2" s="15"/>
      <c r="V2" s="15"/>
    </row>
    <row r="4" spans="1:49" x14ac:dyDescent="0.35">
      <c r="A4" s="9"/>
      <c r="B4" s="9"/>
    </row>
    <row r="5" spans="1:49" x14ac:dyDescent="0.35">
      <c r="A5" s="9"/>
      <c r="B5" s="10"/>
    </row>
    <row r="6" spans="1:49" x14ac:dyDescent="0.35">
      <c r="A6" s="9"/>
      <c r="B6" s="9"/>
    </row>
    <row r="7" spans="1:49" x14ac:dyDescent="0.35">
      <c r="A7" s="11"/>
      <c r="B7" s="11"/>
    </row>
    <row r="14" spans="1:49" x14ac:dyDescent="0.35">
      <c r="AW14" s="8">
        <f>GETPIVOTDATA("Loan_ID",Pivot_Data!$A$2)</f>
        <v>1200</v>
      </c>
    </row>
    <row r="15" spans="1:49" x14ac:dyDescent="0.35">
      <c r="AW15" s="19">
        <f>GETPIVOTDATA("Loan_ID",Pivot_Data!$F$2,"Loan Status Label","Approved")/GETPIVOTDATA("Loan_ID",Pivot_Data!$A$2)</f>
        <v>0.47333333333333333</v>
      </c>
    </row>
    <row r="16" spans="1:49" x14ac:dyDescent="0.35">
      <c r="AW16" s="20">
        <f>GETPIVOTDATA("LoanAmount (In Thousands)",Pivot_Data!$C$18)</f>
        <v>372.90416666666664</v>
      </c>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Clean_Data</vt:lpstr>
      <vt:lpstr>Pivot_Data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 Kumari</cp:lastModifiedBy>
  <dcterms:created xsi:type="dcterms:W3CDTF">2026-04-12T15:01:46Z</dcterms:created>
  <dcterms:modified xsi:type="dcterms:W3CDTF">2026-04-19T15:44:58Z</dcterms:modified>
</cp:coreProperties>
</file>